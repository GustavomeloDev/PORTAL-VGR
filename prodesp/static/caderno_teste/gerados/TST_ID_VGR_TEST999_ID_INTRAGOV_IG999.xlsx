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38640" windowHeight="15720" tabRatio="703" firstSheet="1" activeTab="1" autoFilterDateGrouping="1"/>
  </bookViews>
  <sheets>
    <sheet name="RUNBOOK" sheetId="1" state="hidden" r:id="rId1"/>
    <sheet name="CADERNO DE TESTE" sheetId="2" state="visible" r:id="rId2"/>
    <sheet name="CARIMBO NOC" sheetId="3" state="visible" r:id="rId3"/>
    <sheet name="TESTE_DE_BANDA_ESAQ" sheetId="4" state="visible" r:id="rId4"/>
    <sheet name="List" sheetId="5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n2" hidden="1">{"'standard'!$A$8:$C$109"}</definedName>
    <definedName name="_______n2" hidden="1">{"'standard'!$A$8:$C$109"}</definedName>
    <definedName name="______n2" hidden="1">{"'standard'!$A$8:$C$109"}</definedName>
    <definedName name="_____n2" hidden="1">{"'standard'!$A$8:$C$109"}</definedName>
    <definedName name="____n2" hidden="1">{"'standard'!$A$8:$C$109"}</definedName>
    <definedName name="___n2" hidden="1">{"'standard'!$A$8:$C$109"}</definedName>
    <definedName name="__123Graph__BCURRENT" hidden="1">#REF!</definedName>
    <definedName name="__123Graph_B" hidden="1">#REF!</definedName>
    <definedName name="__123Graph_BCURRENT" hidden="1">#REF!</definedName>
    <definedName name="__FilterDatabase" hidden="1">#REF!</definedName>
    <definedName name="__n2" hidden="1">{"'standard'!$A$8:$C$109"}</definedName>
    <definedName name="_123Graph__B" hidden="1">#REF!</definedName>
    <definedName name="_À_Vista">#REF!</definedName>
    <definedName name="_al_PISCOFINS">#REF!</definedName>
    <definedName name="_AlçadaCdG">#REF!</definedName>
    <definedName name="_Classificacao">#REF!</definedName>
    <definedName name="_ClassificacaoLinha">#REF!</definedName>
    <definedName name="_CNPJsCliente">#REF!</definedName>
    <definedName name="_ContribuinteICMS">#REF!</definedName>
    <definedName name="_dga2" hidden="1">{#N/A,#N/A,FALSE,"$170M Cash";#N/A,#N/A,FALSE,"$250M Cash";#N/A,#N/A,FALSE,"$325M Cash"}</definedName>
    <definedName name="_EquipeCDG">#REF!</definedName>
    <definedName name="_Estoque">#REF!</definedName>
    <definedName name="_Fabricante">#REF!</definedName>
    <definedName name="_Filiais">#REF!</definedName>
    <definedName name="_FiliaisRJ">#REF!</definedName>
    <definedName name="_FiliaisSP">#REF!</definedName>
    <definedName name="_Fill" hidden="1">#REF!</definedName>
    <definedName name="_fill2" hidden="1">#REF!</definedName>
    <definedName name="_Fornecedor">#REF!</definedName>
    <definedName name="_ICMS_Contr">#REF!</definedName>
    <definedName name="_ICMS_Próprio">#REF!</definedName>
    <definedName name="_ÍNDICE_ITEM">#REF!</definedName>
    <definedName name="_Inter_Imp">#REF!</definedName>
    <definedName name="_Interestadual">#REF!</definedName>
    <definedName name="_IPI_Próprio">#REF!</definedName>
    <definedName name="_ISSTIS">#REF!</definedName>
    <definedName name="_Key1" hidden="1">#REF!</definedName>
    <definedName name="_Key2" hidden="1">#REF!</definedName>
    <definedName name="_Meses_Diluição">#REF!</definedName>
    <definedName name="_MêsNúm">#REF!</definedName>
    <definedName name="_n2" hidden="1">{"'standard'!$A$8:$C$109"}</definedName>
    <definedName name="_NCMsOK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hidden="1">#REF!</definedName>
    <definedName name="_new3" hidden="1">#REF!,#REF!,#REF!</definedName>
    <definedName name="_Order1" hidden="1">0</definedName>
    <definedName name="_Order2" hidden="1">255</definedName>
    <definedName name="_Pagto">#REF!</definedName>
    <definedName name="_PTAX">#REF!</definedName>
    <definedName name="_PTAXZero">#REF!</definedName>
    <definedName name="_R" hidden="1">{#N/A,#N/A,FALSE,"Balances";#N/A,#N/A,FALSE,"ANEX-1";#N/A,#N/A,FALSE,"ANEX.2";#N/A,#N/A,FALSE,"ANEX-3";#N/A,#N/A,FALSE,"ANEX.4";#N/A,#N/A,FALSE,"ANEX-5";#N/A,#N/A,FALSE,"ANEX-7 (último)";#N/A,#N/A,FALSE,"ANEX-6"}</definedName>
    <definedName name="_RangeUF">#REF!</definedName>
    <definedName name="_RegimeTIS">#REF!</definedName>
    <definedName name="_SEDÓLAR">#REF!</definedName>
    <definedName name="_SEREAL">#REF!</definedName>
    <definedName name="_Serv_SDWAN">#REF!</definedName>
    <definedName name="_SIMNÃO">#REF!</definedName>
    <definedName name="_Sites2">#REF!</definedName>
    <definedName name="_Sort" hidden="1">#REF!</definedName>
    <definedName name="_SVAVISTA">#REF!</definedName>
    <definedName name="_SvFat">#REF!</definedName>
    <definedName name="_SvFatM">#REF!</definedName>
    <definedName name="_SvFI">#REF!</definedName>
    <definedName name="_SVMENSAL">#REF!</definedName>
    <definedName name="_SvSDFatM">#REF!</definedName>
    <definedName name="_SvT">#REF!</definedName>
    <definedName name="_Tier2_InicioDetalhe">#REF!</definedName>
    <definedName name="_TipoProduto">#REF!</definedName>
    <definedName name="_UF">#REF!</definedName>
    <definedName name="_UF_D">#REF!</definedName>
    <definedName name="_UF_D_ICMS">#REF!</definedName>
    <definedName name="_UF_O">#REF!</definedName>
    <definedName name="_valida_Difal">#REF!</definedName>
    <definedName name="a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aa" hidden="1">{"'Apr-00'!$B$4:$AD$44"}</definedName>
    <definedName name="aaa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aaaa" hidden="1">#REF!,#REF!,#REF!</definedName>
    <definedName name="aaaaaa" hidden="1">#REF!,#REF!,#REF!</definedName>
    <definedName name="aafbha" hidden="1">#REF!,#REF!</definedName>
    <definedName name="abc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bcd" hidden="1">{#N/A,#N/A,FALSE,"Sensitivity"}</definedName>
    <definedName name="Abri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ccessDatabase" hidden="1">"C:\My Documents\current\Business case moc v2.0 .mdb"</definedName>
    <definedName name="acd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nscount" hidden="1">2</definedName>
    <definedName name="Aprovação">#REF!</definedName>
    <definedName name="ARP_REPLAY">#REF!</definedName>
    <definedName name="Arquitetos">#REF!</definedName>
    <definedName name="as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sd" hidden="1">#REF!,#REF!</definedName>
    <definedName name="ATM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TM_End_Pnt_Grps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ÀVista">#REF!</definedName>
    <definedName name="bb" hidden="1">{"'Apr-00'!$B$4:$AD$44"}</definedName>
    <definedName name="bbbb" hidden="1">#REF!,#REF!,#REF!</definedName>
    <definedName name="bbbbbbbbbbbbbbb" hidden="1">{"'Edit'!$A$1:$V$2277"}</definedName>
    <definedName name="bcd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Bene">SUM(#REF!)</definedName>
    <definedName name="BSC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CategoriasDeDespesas">#REF!</definedName>
    <definedName name="cccc" hidden="1">#REF!,#REF!</definedName>
    <definedName name="cccccccccccccccc" hidden="1">{"HW",#N/A,FALSE,"1998"}</definedName>
    <definedName name="CFDVMgrMode" hidden="1">"DataValidation"</definedName>
    <definedName name="CORP" hidden="1">#REF!</definedName>
    <definedName name="dddd" hidden="1">#REF!,#REF!,#REF!</definedName>
    <definedName name="ddddd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DEMeXToEUR" hidden="1">#REF!</definedName>
    <definedName name="dfhfghg" hidden="1">#REF!,#REF!,#REF!</definedName>
    <definedName name="dfhgfh" hidden="1">#REF!,#REF!</definedName>
    <definedName name="dga" hidden="1">{#N/A,#N/A,FALSE,"$170M Cash";#N/A,#N/A,FALSE,"$250M Cash";#N/A,#N/A,FALSE,"$325M Cash"}</definedName>
    <definedName name="dhsj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ME_Dirty" hidden="1">"False"</definedName>
    <definedName name="DME_LocalFile" hidden="1">"True"</definedName>
    <definedName name="dold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s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sds" hidden="1">#REF!</definedName>
    <definedName name="dsgfhgdfhgt" hidden="1">#REF!,#REF!,#REF!,#REF!,#REF!</definedName>
    <definedName name="Encargos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eowqib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errrdgs" hidden="1">#REF!,#REF!,#REF!</definedName>
    <definedName name="ewqieowqb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ewqjewq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abricante_2T">#REF!</definedName>
    <definedName name="fanculo" hidden="1">#REF!,#REF!</definedName>
    <definedName name="fd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dhfhgdhg" hidden="1">#REF!,#REF!,#REF!,#REF!,#REF!,#REF!,#REF!,#REF!,#REF!,#REF!,#REF!</definedName>
    <definedName name="fdkj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dsa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ff" hidden="1">{"'RF Parameters Worksheet'!$A$1:$V$50"}</definedName>
    <definedName name="ffff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Firmware">#REF!</definedName>
    <definedName name="fjdshb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o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ornecedor">#REF!</definedName>
    <definedName name="Fornecedor_2T">#REF!</definedName>
    <definedName name="Fornecedor_2Tsv">#REF!</definedName>
    <definedName name="GboverFR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gggg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ghfhfd" hidden="1">#REF!,#REF!</definedName>
    <definedName name="HansNet_Totale" hidden="1">{"'Planner Cell based'!$A$1:$H$142"}</definedName>
    <definedName name="Hedge1T">#REF!</definedName>
    <definedName name="hhhh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High">#REF!</definedName>
    <definedName name="hoja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HTML_CodePage" hidden="1">1252</definedName>
    <definedName name="HTML_Control" hidden="1">{"'Edit'!$A$1:$V$2277"}</definedName>
    <definedName name="HTML_Control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HTML_Description" hidden="1">"IBN Products"</definedName>
    <definedName name="HTML_Email" hidden="1">""</definedName>
    <definedName name="HTML_Header" hidden="1">"Edit"</definedName>
    <definedName name="HTML_LastUpdate" hidden="1">"24/05/97"</definedName>
    <definedName name="HTML_LineAfter" hidden="1">FALSE</definedName>
    <definedName name="HTML_LineBefore" hidden="1">TRUE</definedName>
    <definedName name="HTML_Name" hidden="1">"Mike Bibbings"</definedName>
    <definedName name="HTML_OBDlg2" hidden="1">TRUE</definedName>
    <definedName name="HTML_OBDlg4" hidden="1">TRUE</definedName>
    <definedName name="HTML_OS" hidden="1">0</definedName>
    <definedName name="HTML_PathFile" hidden="1">"C:\My Documents\mmelHTML.htm"</definedName>
    <definedName name="HTML_Title" hidden="1">"Master Edit List"</definedName>
    <definedName name="HTMLControl" hidden="1">{"'Edit'!$A$1:$V$2277"}</definedName>
    <definedName name="ieowqe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ikoewqewq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Inad">#REF!</definedName>
    <definedName name="INT_FGT_100E">#REF!</definedName>
    <definedName name="INT_FGT_40F">#REF!</definedName>
    <definedName name="INTEGRA" hidden="1">{"'Edit'!$A$1:$V$2277"}</definedName>
    <definedName name="INTERFACE">#REF!</definedName>
    <definedName name="IPPOLL">#REF!</definedName>
    <definedName name="IR_CSLL">#REF!</definedName>
    <definedName name="j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jj" hidden="1">{#N/A,#N/A,FALSE,"Sensitivity"}</definedName>
    <definedName name="jjjj" hidden="1">{#N/A,#N/A,FALSE,"Balances";#N/A,#N/A,FALSE,"ANEX-1";#N/A,#N/A,FALSE,"ANEX.2";#N/A,#N/A,FALSE,"ANEX-3";#N/A,#N/A,FALSE,"ANEX.4";#N/A,#N/A,FALSE,"ANEX-5";#N/A,#N/A,FALSE,"ANEX-7 (último)";#N/A,#N/A,FALSE,"ANEX-6"}</definedName>
    <definedName name="JKKJ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k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kkkk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limcount" hidden="1">1</definedName>
    <definedName name="LIST_MODEL_NOC">#REF!</definedName>
    <definedName name="LIST_PROD_NOC">#REF!</definedName>
    <definedName name="LIST_TIPO_NOC">#REF!</definedName>
    <definedName name="LISTA_PROD_NOC">#REF!</definedName>
    <definedName name="LISTA_TIPO_NOC">#REF!</definedName>
    <definedName name="Lista1">#REF!</definedName>
    <definedName name="MARGEM_I">#REF!</definedName>
    <definedName name="Margem1T">#REF!</definedName>
    <definedName name="Margem2T">#REF!</definedName>
    <definedName name="MargemSrv">#REF!</definedName>
    <definedName name="MargemSrvVista">#REF!</definedName>
    <definedName name="MargemTIS">#REF!</definedName>
    <definedName name="ME" hidden="1">{"HW",#N/A,FALSE,"1998"}</definedName>
    <definedName name="Mês">#REF!</definedName>
    <definedName name="Meses">#REF!</definedName>
    <definedName name="Mg_PMO1" hidden="1">#REF!</definedName>
    <definedName name="Mg_PMO2" hidden="1">#REF!</definedName>
    <definedName name="miiii" hidden="1">#REF!</definedName>
    <definedName name="MTZ_Fabricante">#REF!</definedName>
    <definedName name="MTZ_Fornecedor">#REF!</definedName>
    <definedName name="MTZ_LN">#REF!</definedName>
    <definedName name="n" hidden="1">{#N/A,#N/A,FALSE,"Balances";#N/A,#N/A,FALSE,"ANEX-1";#N/A,#N/A,FALSE,"ANEX.2";#N/A,#N/A,FALSE,"ANEX-3";#N/A,#N/A,FALSE,"ANEX.4";#N/A,#N/A,FALSE,"ANEX-5";#N/A,#N/A,FALSE,"ANEX-7 (último)";#N/A,#N/A,FALSE,"ANEX-6"}</definedName>
    <definedName name="na" hidden="1">{#N/A,#N/A,FALSE,"$170M Cash";#N/A,#N/A,FALSE,"$250M Cash";#N/A,#N/A,FALSE,"$325M Cash"}</definedName>
    <definedName name="new" hidden="1">#REF!,#REF!,#REF!</definedName>
    <definedName name="nnn" hidden="1">{#N/A,#N/A,FALSE,"$170M Cash";#N/A,#N/A,FALSE,"$250M Cash";#N/A,#N/A,FALSE,"$325M Cash"}</definedName>
    <definedName name="nnnnnnnnnnn" hidden="1">{"HW",#N/A,FALSE,"1998"}</definedName>
    <definedName name="nuevo" hidden="1">#REF!</definedName>
    <definedName name="nuevoii" hidden="1">#REF!</definedName>
    <definedName name="NUMCOL">#REF!</definedName>
    <definedName name="PARTILHA_DIFAL">#REF!</definedName>
    <definedName name="PIV_TIS">#REF!</definedName>
    <definedName name="print" hidden="1">{#N/A,#N/A,FALSE,"$170M Cash";#N/A,#N/A,FALSE,"$250M Cash";#N/A,#N/A,FALSE,"$325M Cash"}</definedName>
    <definedName name="Profissionais">#REF!</definedName>
    <definedName name="PS_Base_Count">#REF!</definedName>
    <definedName name="PS_Manage_Count">#REF!</definedName>
    <definedName name="PS_Service_Key">#REF!</definedName>
    <definedName name="PSK_Master_Line">#REF!</definedName>
    <definedName name="PSM_Last_Line">#REF!</definedName>
    <definedName name="PSM_Master_Line">#REF!</definedName>
    <definedName name="QOSTAB">#REF!</definedName>
    <definedName name="qq" hidden="1">{"'Apr-00'!$B$4:$AD$44"}</definedName>
    <definedName name="qw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qww" hidden="1">#REF!</definedName>
    <definedName name="RADIO" hidden="1">{"HW",#N/A,FALSE,"1998"}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rrrrrrrrrrrrrrrr" hidden="1">{"'Apr-00'!$B$4:$AD$44"}</definedName>
    <definedName name="RUTH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" hidden="1">#REF!,#REF!,#REF!</definedName>
    <definedName name="salva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sas" hidden="1">#REF!</definedName>
    <definedName name="sasd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sd" hidden="1">#REF!,#REF!,#REF!</definedName>
    <definedName name="sddsds" hidden="1">#REF!</definedName>
    <definedName name="sencount" hidden="1">1</definedName>
    <definedName name="Sens" hidden="1">{#N/A,#N/A,FALSE,"Sensitivity"}</definedName>
    <definedName name="SERIAIS_TIPO_G">#REF!,#REF!,#REF!,#REF!,#REF!,#REF!,#REF!,#REF!,#REF!,#REF!,#REF!,#REF!</definedName>
    <definedName name="SGI_TGS">#REF!</definedName>
    <definedName name="Site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2874628</definedName>
    <definedName name="ssss" hidden="1">#REF!,#REF!,#REF!</definedName>
    <definedName name="STATUS">#REF!</definedName>
    <definedName name="STATUS_CAD">#REF!</definedName>
    <definedName name="SV_ServAgro">#REF!</definedName>
    <definedName name="SV_ServAgro_Mensal">#REF!</definedName>
    <definedName name="Termo_Aceite">#REF!</definedName>
    <definedName name="test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2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3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e">#REF!</definedName>
    <definedName name="TGS_ÀVista">#REF!</definedName>
    <definedName name="TGS_Mensal">#REF!</definedName>
    <definedName name="TotalDespesasMensais">SUM(#REF!)</definedName>
    <definedName name="TotalRendaMensal">SUM(#REF!)</definedName>
    <definedName name="TYPE">#REF!</definedName>
    <definedName name="Vigência">#REF!</definedName>
    <definedName name="vvvvvvvvvvvvvvvvv" hidden="1">{"HW",#N/A,FALSE,"1998"}</definedName>
    <definedName name="WHATS" hidden="1">{"'Edit'!$A$1:$V$2277"}</definedName>
    <definedName name="wq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qehwq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BONITO1.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2.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consejo.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_.Santillana.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UADROD._.TESA.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HW." hidden="1">{"HW",#N/A,FALSE,"1998"}</definedName>
    <definedName name="wrn.Informe._.mensual.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PPTO97.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SEPA_P.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ENSUAL.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SC._.Site._.Folder.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rn.print._.all." hidden="1">{#N/A,#N/A,FALSE,"$170M Cash";#N/A,#N/A,FALSE,"$250M Cash";#N/A,#N/A,FALSE,"$325M Cash"}</definedName>
    <definedName name="wrn.ROADSHOW.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Sensitivity." hidden="1">{#N/A,#N/A,FALSE,"Sensitivity"}</definedName>
    <definedName name="wrn.sensitivity2" hidden="1">{#N/A,#N/A,FALSE,"Sensitivity"}</definedName>
    <definedName name="wrn.sensitivity3" hidden="1">{#N/A,#N/A,FALSE,"Sensitivity"}</definedName>
    <definedName name="wrn.TELEFONICA." hidden="1">{#N/A,#N/A,FALSE,"Balances";#N/A,#N/A,FALSE,"ANEX-1";#N/A,#N/A,FALSE,"ANEX.2";#N/A,#N/A,FALSE,"ANEX-3";#N/A,#N/A,FALSE,"ANEX.4";#N/A,#N/A,FALSE,"ANEX-5";#N/A,#N/A,FALSE,"ANEX-7 (último)";#N/A,#N/A,FALSE,"ANEX-6"}</definedName>
    <definedName name="wrn.Telefonica1.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SA.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1.print._.all.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s" hidden="1">#REF!</definedName>
    <definedName name="wwww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o" hidden="1">{#N/A,#N/A,FALSE,"Global by BU";#N/A,#N/A,FALSE,"U.S. by BU";#N/A,#N/A,FALSE,"Canada by BU";#N/A,#N/A,FALSE,"Europe by BU";#N/A,#N/A,FALSE,"Asia by BU";#N/A,#N/A,FALSE,"Cala by BU"}</definedName>
    <definedName name="XXX" hidden="1">#REF!</definedName>
    <definedName name="xxxxxxxxxxxx" hidden="1">{"'Edit'!$A$1:$V$2277"}</definedName>
    <definedName name="yy" hidden="1">{"'Apr-00'!$B$4:$AD$44"}</definedName>
    <definedName name="yyyyyyyyyyyyyyyy" hidden="1">{"'Edit'!$A$1:$V$2277"}</definedName>
    <definedName name="Z_0889E5B7_BDDA_4D58_BF98_D747653364AD_.wvu.FilterData" hidden="1">#REF!</definedName>
    <definedName name="Z_38E7ECD9_542F_44AD_A09F_6D02AAD51321_.wvu.Rows" hidden="1">#REF!</definedName>
    <definedName name="Z_43F3F1A1_5EAE_11D7_8D0D_00D0B77991BE_.wvu.PrintTitles" hidden="1">#REF!</definedName>
    <definedName name="Z_43F3F1A1_5EAE_11D7_8D0D_00D0B77991BE_.wvu.Rows" hidden="1">#REF!</definedName>
    <definedName name="Z_65FD1BDC_757C_11D7_8D0D_00D0B77991BE_.wvu.PrintTitles" hidden="1">#REF!</definedName>
    <definedName name="Z_65FD1BDC_757C_11D7_8D0D_00D0B77991BE_.wvu.Rows" hidden="1">#REF!</definedName>
    <definedName name="Z_8B5D4E45_5F96_11D7_BA09_009027EAF040_.wvu.Rows" hidden="1">#REF!</definedName>
    <definedName name="Z_9D737543_22F2_11D3_ACAF_004F490495C0_.wvu.Cols" hidden="1">#REF!,#REF!,#REF!</definedName>
    <definedName name="Z_9D737543_22F2_11D3_ACAF_004F490495C0_.wvu.FilterData" hidden="1">#REF!</definedName>
    <definedName name="Z_9D737543_22F2_11D3_ACAF_004F490495C0_.wvu.PrintArea" hidden="1">#REF!,#REF!,#REF!,#REF!,#REF!</definedName>
    <definedName name="Z_9D737543_22F2_11D3_ACAF_004F490495C0_.wvu.PrintTitles" hidden="1">#REF!,#REF!</definedName>
    <definedName name="Z_9D737543_22F2_11D3_ACAF_004F490495C0_.wvu.Rows" hidden="1">#REF!,#REF!,#REF!,#REF!,#REF!,#REF!,#REF!,#REF!,#REF!,#REF!,#REF!</definedName>
    <definedName name="Z_9D737544_22F2_11D3_ACAF_004F490495C0_.wvu.Cols" hidden="1">#REF!,#REF!,#REF!</definedName>
    <definedName name="Z_9D737544_22F2_11D3_ACAF_004F490495C0_.wvu.FilterData" hidden="1">#REF!</definedName>
    <definedName name="Z_9D737544_22F2_11D3_ACAF_004F490495C0_.wvu.PrintArea" hidden="1">#REF!</definedName>
    <definedName name="Z_9D737544_22F2_11D3_ACAF_004F490495C0_.wvu.PrintTitles" hidden="1">#REF!,#REF!</definedName>
    <definedName name="Z_9D737544_22F2_11D3_ACAF_004F490495C0_.wvu.Rows" hidden="1">#REF!,#REF!,#REF!,#REF!,#REF!,#REF!,#REF!,#REF!,#REF!,#REF!,#REF!</definedName>
    <definedName name="Z_9D737546_22F2_11D3_ACAF_004F490495C0_.wvu.Cols" hidden="1">#REF!</definedName>
    <definedName name="Z_9D737546_22F2_11D3_ACAF_004F490495C0_.wvu.FilterData" hidden="1">#REF!</definedName>
    <definedName name="Z_9D737546_22F2_11D3_ACAF_004F490495C0_.wvu.PrintArea" hidden="1">#REF!,#REF!,#REF!</definedName>
    <definedName name="Z_9D737546_22F2_11D3_ACAF_004F490495C0_.wvu.PrintTitles" hidden="1">#REF!,#REF!</definedName>
    <definedName name="Z_9D737546_22F2_11D3_ACAF_004F490495C0_.wvu.Rows" hidden="1">#REF!,#REF!,#REF!,#REF!,#REF!,#REF!,#REF!,#REF!,#REF!,#REF!,#REF!</definedName>
    <definedName name="Z_9D737548_22F2_11D3_ACAF_004F490495C0_.wvu.Cols" hidden="1">#REF!,#REF!</definedName>
    <definedName name="Z_9D737548_22F2_11D3_ACAF_004F490495C0_.wvu.FilterData" hidden="1">#REF!</definedName>
    <definedName name="Z_9D737548_22F2_11D3_ACAF_004F490495C0_.wvu.PrintArea" hidden="1">#REF!</definedName>
    <definedName name="Z_9D737548_22F2_11D3_ACAF_004F490495C0_.wvu.PrintTitles" hidden="1">#REF!,#REF!</definedName>
    <definedName name="Z_9D737548_22F2_11D3_ACAF_004F490495C0_.wvu.Rows" hidden="1">#REF!,#REF!,#REF!,#REF!,#REF!,#REF!,#REF!,#REF!,#REF!,#REF!,#REF!</definedName>
    <definedName name="Z_E34CC8B3_E952_4431_8049_4AAD5B1A4634_.wvu.FilterData" hidden="1">#REF!</definedName>
    <definedName name="Z_Semente_PSL">#REF!</definedName>
    <definedName name="Z_Semente_PSv">#REF!</definedName>
    <definedName name="zzzzzzzzzzzzzzz" hidden="1">{"HW",#N/A,FALSE,"1998"}</definedName>
    <definedName name="________n2" localSheetId="0" hidden="1">{"'standard'!$A$8:$C$109"}</definedName>
    <definedName name="_______n2" localSheetId="0" hidden="1">{"'standard'!$A$8:$C$109"}</definedName>
    <definedName name="______n2" localSheetId="0" hidden="1">{"'standard'!$A$8:$C$109"}</definedName>
    <definedName name="_____n2" localSheetId="0" hidden="1">{"'standard'!$A$8:$C$109"}</definedName>
    <definedName name="____n2" localSheetId="0" hidden="1">{"'standard'!$A$8:$C$109"}</definedName>
    <definedName name="___n2" localSheetId="0" hidden="1">{"'standard'!$A$8:$C$109"}</definedName>
    <definedName name="__123Graph__BCURRENT" localSheetId="0" hidden="1">'[1]F&amp;F'!#REF!</definedName>
    <definedName name="__123Graph_B" localSheetId="0" hidden="1">'[2]F&amp;F'!#REF!</definedName>
    <definedName name="__123Graph_BCURRENT" localSheetId="0" hidden="1">'[2]F&amp;F'!#REF!</definedName>
    <definedName name="__n2" localSheetId="0" hidden="1">{"'standard'!$A$8:$C$109"}</definedName>
    <definedName name="_123Graph__B" localSheetId="0" hidden="1">'[1]F&amp;F'!#REF!</definedName>
    <definedName name="_À_Vista" localSheetId="0">[3]LISTAS!$L$39</definedName>
    <definedName name="_al_PISCOFINS" localSheetId="0">[3]PARÂMETROS!$H$16</definedName>
    <definedName name="_AlçadaCdG" localSheetId="0">[3]LISTAS!$AY$26:$AY$29</definedName>
    <definedName name="_Classificacao" localSheetId="0">[3]LISTAS!$D$3:$D$50</definedName>
    <definedName name="_ClassificacaoLinha" localSheetId="0">[3]LISTAS!$D$3:$F$50</definedName>
    <definedName name="_CNPJsCliente" localSheetId="0">'[3]Máscara Fornecedor'!$BI$23:$BI$172</definedName>
    <definedName name="_ContribuinteICMS" localSheetId="0">'[3]Precificador Hardware'!$H$4</definedName>
    <definedName name="_dga2" localSheetId="0" hidden="1">{#N/A,#N/A,FALSE,"$170M Cash";#N/A,#N/A,FALSE,"$250M Cash";#N/A,#N/A,FALSE,"$325M Cash"}</definedName>
    <definedName name="_EquipeCDG" localSheetId="0">[3]CdG!$B$33:$B$38</definedName>
    <definedName name="_Estoque" localSheetId="0">[3]LISTAS!$B$60:$B$61</definedName>
    <definedName name="_Fabricante" localSheetId="0">[3]LISTAS!$O$3:$O$325</definedName>
    <definedName name="_Filiais" localSheetId="0">[3]LISTAS!$AY$3:$AY$4</definedName>
    <definedName name="_FiliaisRJ" localSheetId="0">[3]LISTAS!$AY$4</definedName>
    <definedName name="_FiliaisSP" localSheetId="0">[3]LISTAS!$AY$3:$AY$7</definedName>
    <definedName name="_fill2" localSheetId="0" hidden="1">'[4]#RIF'!#REF!</definedName>
    <definedName name="_Fornecedor" localSheetId="0">[3]LISTAS!$S$3:$S$215</definedName>
    <definedName name="_ICMS_Contr" localSheetId="0">[3]Controle!$C$6</definedName>
    <definedName name="_ICMS_Próprio" localSheetId="0">'[3]TABELA 2016'!$D$7:$AD$314</definedName>
    <definedName name="_ÍNDICE_ITEM" localSheetId="0">'[3]Máscara Fornecedor'!$D$22:$D$174</definedName>
    <definedName name="_Inter_Imp" localSheetId="0">[3]INTERESTADUAL!$B$4</definedName>
    <definedName name="_Interestadual" localSheetId="0">[3]INTERESTADUAL!$D$10:$AD$36</definedName>
    <definedName name="_IPI_Próprio" localSheetId="0">'[3]TABELA 2016'!$AF$7:$AF$314</definedName>
    <definedName name="_ISSTIS" localSheetId="0">'[3]CF TIS'!$F$4:$F$20</definedName>
    <definedName name="_Key1" localSheetId="0" hidden="1">'[2]F&amp;F'!#REF!</definedName>
    <definedName name="_Key2" localSheetId="0" hidden="1">'[2]F&amp;F'!#REF!</definedName>
    <definedName name="_Meses_Diluição" localSheetId="0">'[3]Máscara Fornecedor'!$EH$4:$EH$8</definedName>
    <definedName name="_MêsNúm" localSheetId="0">[3]LISTAS!$H$35:$I$46</definedName>
    <definedName name="_n2" localSheetId="0" hidden="1">{"'standard'!$A$8:$C$109"}</definedName>
    <definedName name="_NCMsOK" localSheetId="0">'[3]TABELA 2016'!$C$7:$C$314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3" localSheetId="0" hidden="1">[5]MSH51C!#REF!,[5]MSH51C!#REF!,[5]MSH51C!$FM$1:$FW$65536</definedName>
    <definedName name="_Pagto" localSheetId="0">[3]LISTAS!$L$39:$L$40</definedName>
    <definedName name="_PTAX" localSheetId="0">'[3]PMO Entregas'!$E$3</definedName>
    <definedName name="_PTAXZero" localSheetId="0">[3]Controle!$C$26</definedName>
    <definedName name="_R" localSheetId="0" hidden="1">{#N/A,#N/A,FALSE,"Balances";#N/A,#N/A,FALSE,"ANEX-1";#N/A,#N/A,FALSE,"ANEX.2";#N/A,#N/A,FALSE,"ANEX-3";#N/A,#N/A,FALSE,"ANEX.4";#N/A,#N/A,FALSE,"ANEX-5";#N/A,#N/A,FALSE,"ANEX-7 (último)";#N/A,#N/A,FALSE,"ANEX-6"}</definedName>
    <definedName name="_RangeUF" localSheetId="0">[3]Proposta!$E$899:$E$947</definedName>
    <definedName name="_RegimeTIS" localSheetId="0">'[3]CF TIS'!$E$4:$E$20</definedName>
    <definedName name="_SEDÓLAR" localSheetId="0">[3]LISTAS!$H$56:$H$59</definedName>
    <definedName name="_SEREAL" localSheetId="0">[3]LISTAS!$H$50:$H$54</definedName>
    <definedName name="_Serv_SDWAN" localSheetId="0">[3]LISTAS!$B$65:$B$69</definedName>
    <definedName name="_SIMNÃO" localSheetId="0">[3]PARÂMETROS!$G$28:$H$28</definedName>
    <definedName name="_Sites2" localSheetId="0">[3]LISTAS!$AB$3:$AB$102</definedName>
    <definedName name="_Sort" localSheetId="0" hidden="1">'[2]F&amp;F'!#REF!</definedName>
    <definedName name="_SVAVISTA" localSheetId="0">[3]LISTAS!$AS$3:$AS$434</definedName>
    <definedName name="_SvFat" localSheetId="0">[3]LISTAS!$B$8:$B$19</definedName>
    <definedName name="_SvFatM" localSheetId="0">[3]LISTAS!$B$23:$B$31</definedName>
    <definedName name="_SvFI" localSheetId="0">[3]LISTAS!$B$55:$B$56</definedName>
    <definedName name="_SVMENSAL" localSheetId="0">[3]LISTAS!$AV$3:$AV$434</definedName>
    <definedName name="_SvSDFatM" localSheetId="0">[3]LISTAS!$B$74:$B$76</definedName>
    <definedName name="_SvT" localSheetId="0">'[3]CF TIS'!$D$4:$D$20</definedName>
    <definedName name="_Tier2_InicioDetalhe" localSheetId="0">'[3]Máscara Fornecedor'!$K$22</definedName>
    <definedName name="_TipoProduto" localSheetId="0">[3]LISTAS!$B$3:$B$4</definedName>
    <definedName name="_UF" localSheetId="0">[3]LISTAS!$H$3:$H$30</definedName>
    <definedName name="_UF_D" localSheetId="0">[3]INTERESTADUAL!$D$9:$AD$9</definedName>
    <definedName name="_UF_D_ICMS" localSheetId="0">'[3]TABELA 2016'!$D$6:$AD$6</definedName>
    <definedName name="_UF_O" localSheetId="0">[3]INTERESTADUAL!$C$10:$C$36</definedName>
    <definedName name="_valida_Difal" localSheetId="0">[3]Proposta!$W$868</definedName>
    <definedName name="a" localSheetId="0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aa" localSheetId="0" hidden="1">{"'Apr-00'!$B$4:$AD$44"}</definedName>
    <definedName name="aaa" localSheetId="0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aaaa" localSheetId="0" hidden="1">[6]MSH51C!$GT$176:$GY$187,[6]MSH51C!#REF!,[6]MSH51C!#REF!</definedName>
    <definedName name="aaaaaa" localSheetId="0" hidden="1">[7]MSH51C!$GT$176:$GY$187,[7]MSH51C!#REF!,[7]MSH51C!#REF!</definedName>
    <definedName name="aafbha" localSheetId="0" hidden="1">[8]MSH51C!$B$1:$J$65536,[8]MSH51C!#REF!</definedName>
    <definedName name="abc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bcd" localSheetId="0" hidden="1">{#N/A,#N/A,FALSE,"Sensitivity"}</definedName>
    <definedName name="Abri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cd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provação" localSheetId="0">[3]Controle!$G$10</definedName>
    <definedName name="Arquitetos" localSheetId="0">[9]Parâmetros!$AM$3:$AM$13</definedName>
    <definedName name="as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sd" localSheetId="0" hidden="1">[8]MSH51C!$B$1:$J$65536,[8]MSH51C!#REF!</definedName>
    <definedName name="ATM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TM_End_Pnt_Grps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ÀVista" localSheetId="0">[3]PARÂMETROS!$B$23</definedName>
    <definedName name="bb" localSheetId="0" hidden="1">{"'Apr-00'!$B$4:$AD$44"}</definedName>
    <definedName name="bbbb" localSheetId="0" hidden="1">[10]MSH51C!$GT$176:$GY$187,[10]MSH51C!#REF!,[10]MSH51C!#REF!</definedName>
    <definedName name="bbbbbbbbbbbbbbb" localSheetId="0" hidden="1">{"'Edit'!$A$1:$V$2277"}</definedName>
    <definedName name="bcd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BSC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cccc" localSheetId="0" hidden="1">[6]MSH51C!$C$1:$C$65536,[6]MSH51C!$H$1:$FU$65536</definedName>
    <definedName name="cccccccccccccccc" localSheetId="0" hidden="1">{"HW",#N/A,FALSE,"1998"}</definedName>
    <definedName name="dddd" localSheetId="0" hidden="1">[10]MSH51C!$GT$176:$GY$187,[10]MSH51C!#REF!,[10]MSH51C!#REF!</definedName>
    <definedName name="ddddd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DEMeXToEUR" localSheetId="0" hidden="1">[11]EurotoolsXRates!$B$7</definedName>
    <definedName name="dfhfghg" localSheetId="0" hidden="1">[4]MSH51C!#REF!,[4]MSH51C!#REF!,[4]MSH51C!$FM$1:$FW$65536</definedName>
    <definedName name="dfhgfh" localSheetId="0" hidden="1">[4]MSH51C!$B$1:$J$65536,[4]MSH51C!#REF!</definedName>
    <definedName name="dga" localSheetId="0" hidden="1">{#N/A,#N/A,FALSE,"$170M Cash";#N/A,#N/A,FALSE,"$250M Cash";#N/A,#N/A,FALSE,"$325M Cash"}</definedName>
    <definedName name="dhsj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old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s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sgfhgdfhgt" localSheetId="0" hidden="1">[4]MSH51C!$GN$1:$GU$65536,[4]MSH51C!#REF!,[4]MSH51C!#REF!,[4]MSH51C!#REF!,[4]MSH51C!#REF!</definedName>
    <definedName name="Encargos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eowqib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errrdgs" localSheetId="0" hidden="1">[4]MSH51C!#REF!,[4]MSH51C!#REF!,[4]MSH51C!$FM$1:$FW$65536</definedName>
    <definedName name="ewqieowqb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ewqjewq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abricante_2T" localSheetId="0">'[3]Máscara Fornecedor'!$AR$23:$AR$172</definedName>
    <definedName name="fanculo" localSheetId="0" hidden="1">[6]MSH51C!$C$1:$C$65536,[6]MSH51C!$H$1:$FU$65536</definedName>
    <definedName name="fd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dhfhgdhg" localSheetId="0" hidden="1">[5]MSH51C!$A$11:$IV$13,[5]MSH51C!$A$17:$IV$27,[5]MSH51C!$A$62:$IV$64,[5]MSH51C!$A$66:$IV$68,[5]MSH51C!$A$70:$IV$71,[5]MSH51C!$A$73:$IV$75,[5]MSH51C!$A$92:$IV$94,[5]MSH51C!$A$122:$IV$124,[5]MSH51C!#REF!,[5]MSH51C!#REF!,[5]MSH51C!$A$176:$IV$186</definedName>
    <definedName name="fdkj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dsa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ff" localSheetId="0" hidden="1">{"'RF Parameters Worksheet'!$A$1:$V$50"}</definedName>
    <definedName name="ffff" localSheetId="0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fjdshb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o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ornecedor" localSheetId="0">[3]LISTAS!$B$39:$B$41</definedName>
    <definedName name="Fornecedor_2T" localSheetId="0">'[3]Máscara Fornecedor'!$AV$23:$AV$172</definedName>
    <definedName name="Fornecedor_2Tsv" localSheetId="0">'[3]Máscara Fornecedor'!$CS$10:$EA$10</definedName>
    <definedName name="GboverFR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gggg" localSheetId="0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ghfhfd" localSheetId="0" hidden="1">[4]MSH51C!$B$1:$J$65536,[4]MSH51C!#REF!</definedName>
    <definedName name="HansNet_Totale" localSheetId="0" hidden="1">{"'Planner Cell based'!$A$1:$H$142"}</definedName>
    <definedName name="Hedge1T" localSheetId="0">[3]PARÂMETROS!$D$15</definedName>
    <definedName name="hhhh" localSheetId="0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hoja1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HTML_Control" localSheetId="0" hidden="1">{"'Edit'!$A$1:$V$2277"}</definedName>
    <definedName name="HTML_Control2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HTMLControl" localSheetId="0" hidden="1">{"'Edit'!$A$1:$V$2277"}</definedName>
    <definedName name="ieowqe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ikoewqewq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Inad" localSheetId="0">'[9]Operação@TIS'!$L$5</definedName>
    <definedName name="INTEGRA" localSheetId="0" hidden="1">{"'Edit'!$A$1:$V$2277"}</definedName>
    <definedName name="IR_CSLL" localSheetId="0">[3]PARÂMETROS!$D$9</definedName>
    <definedName name="j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jj" localSheetId="0" hidden="1">{#N/A,#N/A,FALSE,"Sensitivity"}</definedName>
    <definedName name="jjjj" localSheetId="0" hidden="1">{#N/A,#N/A,FALSE,"Balances";#N/A,#N/A,FALSE,"ANEX-1";#N/A,#N/A,FALSE,"ANEX.2";#N/A,#N/A,FALSE,"ANEX-3";#N/A,#N/A,FALSE,"ANEX.4";#N/A,#N/A,FALSE,"ANEX-5";#N/A,#N/A,FALSE,"ANEX-7 (último)";#N/A,#N/A,FALSE,"ANEX-6"}</definedName>
    <definedName name="JKKJ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k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kkkk" localSheetId="0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LIST_MODEL_NOC" localSheetId="0">'[12]TABELA-NOC'!#REF!</definedName>
    <definedName name="LIST_PROD_NOC" localSheetId="0">'[12]TABELA-NOC'!#REF!</definedName>
    <definedName name="LIST_TIPO_NOC" localSheetId="0">'[12]TABELA-NOC'!#REF!</definedName>
    <definedName name="LISTA_PROD_NOC" localSheetId="0">'[12]TABELA-NOC'!$M$2:$M$4</definedName>
    <definedName name="LISTA_TIPO_NOC" localSheetId="0">'[12]TABELA-NOC'!$L$2:$L$5</definedName>
    <definedName name="MARGEM_I" localSheetId="0">[3]Controle!$C$30</definedName>
    <definedName name="Margem1T" localSheetId="0">[3]PARÂMETROS!$D$10</definedName>
    <definedName name="Margem2T" localSheetId="0">[3]PARÂMETROS!$D$11</definedName>
    <definedName name="MargemSrv" localSheetId="0">[3]PARÂMETROS!$D$12</definedName>
    <definedName name="MargemSrvVista" localSheetId="0">[3]PARÂMETROS!$D$13</definedName>
    <definedName name="MargemTIS" localSheetId="0">[3]PARÂMETROS!$D$17</definedName>
    <definedName name="ME" localSheetId="0" hidden="1">{"HW",#N/A,FALSE,"1998"}</definedName>
    <definedName name="Mês" localSheetId="0">[3]LISTAS!$H$35:$H$46</definedName>
    <definedName name="Meses" localSheetId="0">[3]PARÂMETROS!$C$24:$C$29</definedName>
    <definedName name="Mg_PMO1" localSheetId="0" hidden="1">'[13]OPEX CDT'!$C$8</definedName>
    <definedName name="Mg_PMO2" localSheetId="0" hidden="1">'[13]PMO Faturamento'!$C$8</definedName>
    <definedName name="MTZ_Fabricante" localSheetId="0">[3]LISTAS!$O$3:$P$325</definedName>
    <definedName name="MTZ_Fornecedor" localSheetId="0">[3]LISTAS!$S$3:$T$214</definedName>
    <definedName name="MTZ_LN" localSheetId="0">[3]LISTAS!$D$53:$E$60</definedName>
    <definedName name="n" localSheetId="0" hidden="1">{#N/A,#N/A,FALSE,"Balances";#N/A,#N/A,FALSE,"ANEX-1";#N/A,#N/A,FALSE,"ANEX.2";#N/A,#N/A,FALSE,"ANEX-3";#N/A,#N/A,FALSE,"ANEX.4";#N/A,#N/A,FALSE,"ANEX-5";#N/A,#N/A,FALSE,"ANEX-7 (último)";#N/A,#N/A,FALSE,"ANEX-6"}</definedName>
    <definedName name="na" localSheetId="0" hidden="1">{#N/A,#N/A,FALSE,"$170M Cash";#N/A,#N/A,FALSE,"$250M Cash";#N/A,#N/A,FALSE,"$325M Cash"}</definedName>
    <definedName name="new" localSheetId="0" hidden="1">[8]MSH51C!#REF!,[8]MSH51C!#REF!,[8]MSH51C!$FM$1:$FW$65536</definedName>
    <definedName name="nnn" localSheetId="0" hidden="1">{#N/A,#N/A,FALSE,"$170M Cash";#N/A,#N/A,FALSE,"$250M Cash";#N/A,#N/A,FALSE,"$325M Cash"}</definedName>
    <definedName name="nnnnnnnnnnn" localSheetId="0" hidden="1">{"HW",#N/A,FALSE,"1998"}</definedName>
    <definedName name="NUMCOL" localSheetId="0">[3]LISTAS!$AM$3:$AN$28</definedName>
    <definedName name="PARTILHA_DIFAL" localSheetId="0">[3]PARÂMETROS!$B$41:$D$44</definedName>
    <definedName name="PIV_TIS" localSheetId="0">[3]PARÂMETROS!$D$18</definedName>
    <definedName name="print" localSheetId="0" hidden="1">{#N/A,#N/A,FALSE,"$170M Cash";#N/A,#N/A,FALSE,"$250M Cash";#N/A,#N/A,FALSE,"$325M Cash"}</definedName>
    <definedName name="Profissionais" localSheetId="0">[9]Parâmetros!$M$3:$M$23</definedName>
    <definedName name="PSK_Master_Line" localSheetId="0">'[14]P.S. Knowledge Base'!#REF!</definedName>
    <definedName name="qq" localSheetId="0" hidden="1">{"'Apr-00'!$B$4:$AD$44"}</definedName>
    <definedName name="qw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qww" localSheetId="0" hidden="1">'[15]F&amp;F'!#REF!</definedName>
    <definedName name="RADIO" localSheetId="0" hidden="1">{"HW",#N/A,FALSE,"1998"}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rrrrrrrrrrrrrrrr" localSheetId="0" hidden="1">{"'Apr-00'!$B$4:$AD$44"}</definedName>
    <definedName name="RUTH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" localSheetId="0" hidden="1">[10]MSH51C!$GT$176:$GY$187,[10]MSH51C!#REF!,[10]MSH51C!#REF!</definedName>
    <definedName name="salva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sas" localSheetId="0" hidden="1">'[2]F&amp;F'!#REF!</definedName>
    <definedName name="sasd" localSheetId="0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sd" localSheetId="0" hidden="1">[5]MSH51C!#REF!,[5]MSH51C!#REF!,[5]MSH51C!$FM$1:$FW$65536</definedName>
    <definedName name="Sens" localSheetId="0" hidden="1">{#N/A,#N/A,FALSE,"Sensitivity"}</definedName>
    <definedName name="SGI_TGS" localSheetId="0">'[3]SGI TGS'!$C$8:$C$11</definedName>
    <definedName name="ssss" localSheetId="0" hidden="1">[7]MSH51C!$GT$176:$GY$187,[7]MSH51C!#REF!,[7]MSH51C!#REF!</definedName>
    <definedName name="STATUS_CAD" localSheetId="0">[16]LISTAS!$E$1:$E$4</definedName>
    <definedName name="SV_ServAgro" localSheetId="0">[3]LISTAS!$B$19:$B$20</definedName>
    <definedName name="SV_ServAgro_Mensal" localSheetId="0">[3]LISTAS!$B$87</definedName>
    <definedName name="Termo_Aceite" localSheetId="0">[3]LISTAS!$L$44:$L$45</definedName>
    <definedName name="test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2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3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GS_ÀVista" localSheetId="0">[3]PARÂMETROS!$H$31</definedName>
    <definedName name="TGS_Mensal" localSheetId="0">[3]PARÂMETROS!$H$32</definedName>
    <definedName name="Vigência" localSheetId="0">[3]PARÂMETROS!$C$23:$C$29</definedName>
    <definedName name="vvvvvvvvvvvvvvvvv" localSheetId="0" hidden="1">{"HW",#N/A,FALSE,"1998"}</definedName>
    <definedName name="WHATS" localSheetId="0" hidden="1">{"'Edit'!$A$1:$V$2277"}</definedName>
    <definedName name="wq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qehwq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rn.administracion." localSheetId="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BONITO1." localSheetId="0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2." localSheetId="0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consejo." localSheetId="0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_.Santillana.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UADROD._.TESA." localSheetId="0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HW." localSheetId="0" hidden="1">{"HW",#N/A,FALSE,"1998"}</definedName>
    <definedName name="wrn.Informe._.mensual." localSheetId="0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wrn.INFORME._.NOVIEMBRE." localSheetId="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PPTO97." localSheetId="0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SEPA_P." localSheetId="0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ENSUAL." localSheetId="0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SC._.Site._.Folder.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rn.print._.all." localSheetId="0" hidden="1">{#N/A,#N/A,FALSE,"$170M Cash";#N/A,#N/A,FALSE,"$250M Cash";#N/A,#N/A,FALSE,"$325M Cash"}</definedName>
    <definedName name="wrn.ROADSHOW." localSheetId="0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Sensitivity." localSheetId="0" hidden="1">{#N/A,#N/A,FALSE,"Sensitivity"}</definedName>
    <definedName name="wrn.sensitivity2" localSheetId="0" hidden="1">{#N/A,#N/A,FALSE,"Sensitivity"}</definedName>
    <definedName name="wrn.sensitivity3" localSheetId="0" hidden="1">{#N/A,#N/A,FALSE,"Sensitivity"}</definedName>
    <definedName name="wrn.TELEFONICA." localSheetId="0" hidden="1">{#N/A,#N/A,FALSE,"Balances";#N/A,#N/A,FALSE,"ANEX-1";#N/A,#N/A,FALSE,"ANEX.2";#N/A,#N/A,FALSE,"ANEX-3";#N/A,#N/A,FALSE,"ANEX.4";#N/A,#N/A,FALSE,"ANEX-5";#N/A,#N/A,FALSE,"ANEX-7 (último)";#N/A,#N/A,FALSE,"ANEX-6"}</definedName>
    <definedName name="wrn.Telefonica1." localSheetId="0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SA." localSheetId="0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1.print._.all." localSheetId="0" hidden="1">{#N/A,#N/A,FALSE,"$170M Cash";#N/A,#N/A,FALSE,"$250M Cash";#N/A,#N/A,FALSE,"$325M Cash"}</definedName>
    <definedName name="wrt" localSheetId="0" hidden="1">{#N/A,#N/A,FALSE,"$170M Cash";#N/A,#N/A,FALSE,"$250M Cash";#N/A,#N/A,FALSE,"$325M Cash"}</definedName>
    <definedName name="wwww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xxxxxxxx" localSheetId="0" hidden="1">{"'Edit'!$A$1:$V$2277"}</definedName>
    <definedName name="yy" localSheetId="0" hidden="1">{"'Apr-00'!$B$4:$AD$44"}</definedName>
    <definedName name="yyyyyyyyyyyyyyyy" localSheetId="0" hidden="1">{"'Edit'!$A$1:$V$2277"}</definedName>
    <definedName name="Z_0889E5B7_BDDA_4D58_BF98_D747653364AD_.wvu.FilterData" localSheetId="0" hidden="1">'[17]Ordenes Chile'!$A$3:$AJ$1284</definedName>
    <definedName name="Z_38E7ECD9_542F_44AD_A09F_6D02AAD51321_.wvu.Rows" localSheetId="0" hidden="1">'[17]Ordenes Chile'!$A$1291:$IV$1298</definedName>
    <definedName name="Z_43F3F1A1_5EAE_11D7_8D0D_00D0B77991BE_.wvu.PrintTitles" localSheetId="0" hidden="1">'[17]Ordenes Chile'!$A$1:$IV$3</definedName>
    <definedName name="Z_43F3F1A1_5EAE_11D7_8D0D_00D0B77991BE_.wvu.Rows" localSheetId="0" hidden="1">'[17]Ordenes Chile'!$A$1291:$IV$1298</definedName>
    <definedName name="Z_65FD1BDC_757C_11D7_8D0D_00D0B77991BE_.wvu.PrintTitles" localSheetId="0" hidden="1">'[17]Ordenes Chile'!$A$1:$IV$3</definedName>
    <definedName name="Z_65FD1BDC_757C_11D7_8D0D_00D0B77991BE_.wvu.Rows" localSheetId="0" hidden="1">'[17]Ordenes Chile'!$A$1291:$IV$1298</definedName>
    <definedName name="Z_8B5D4E45_5F96_11D7_BA09_009027EAF040_.wvu.Rows" localSheetId="0" hidden="1">'[17]Ordenes Chile'!$A$1291:$IV$1298</definedName>
    <definedName name="Z_9D737543_22F2_11D3_ACAF_004F490495C0_.wvu.Cols" localSheetId="0" hidden="1">[18]MSH51C!#REF!,[18]MSH51C!#REF!,[18]MSH51C!$GA$1:$GK$65536</definedName>
    <definedName name="Z_9D737543_22F2_11D3_ACAF_004F490495C0_.wvu.PrintArea" localSheetId="0" hidden="1">[18]MSH51C!$HB$1:$HI$65536,[18]MSH51C!#REF!,[18]MSH51C!#REF!,[18]MSH51C!#REF!,[18]MSH51C!#REF!</definedName>
    <definedName name="Z_9D737543_22F2_11D3_ACAF_004F490495C0_.wvu.PrintTitles" localSheetId="0" hidden="1">[18]MSH51C!$A$1:$X$65536,[18]MSH51C!$A$2:$IV$6</definedName>
    <definedName name="Z_9D737543_22F2_11D3_ACAF_004F490495C0_.wvu.Rows" localSheetId="0" hidden="1">[18]MSH51C!$A$9:$IV$11,[18]MSH51C!$A$15:$IV$25,[18]MSH51C!$A$54:$IV$56,[18]MSH51C!$A$58:$IV$60,[18]MSH51C!$A$62:$IV$63,[18]MSH51C!$A$65:$IV$67,[18]MSH51C!$A$80:$IV$82,[18]MSH51C!$A$99:$IV$101,[18]MSH51C!$A$162:$IV$167,[18]MSH51C!$A$169:$IV$170,[18]MSH51C!$A$172:$IV$203</definedName>
    <definedName name="Z_9D737544_22F2_11D3_ACAF_004F490495C0_.wvu.Cols" localSheetId="0" hidden="1">[18]MSH51C!#REF!,[18]MSH51C!#REF!,[18]MSH51C!$GA$1:$GK$65536</definedName>
    <definedName name="Z_9D737544_22F2_11D3_ACAF_004F490495C0_.wvu.PrintTitles" localSheetId="0" hidden="1">[18]MSH51C!$A$1:$X$65536,[18]MSH51C!$A$2:$IV$6</definedName>
    <definedName name="Z_9D737544_22F2_11D3_ACAF_004F490495C0_.wvu.Rows" localSheetId="0" hidden="1">[18]MSH51C!$A$9:$IV$11,[18]MSH51C!$A$15:$IV$25,[18]MSH51C!$A$54:$IV$56,[18]MSH51C!$A$58:$IV$60,[18]MSH51C!$A$62:$IV$63,[18]MSH51C!$A$65:$IV$67,[18]MSH51C!$A$80:$IV$82,[18]MSH51C!$A$99:$IV$101,[18]MSH51C!$A$162:$IV$167,[18]MSH51C!$A$169:$IV$170,[18]MSH51C!$A$172:$IV$203</definedName>
    <definedName name="Z_9D737546_22F2_11D3_ACAF_004F490495C0_.wvu.PrintArea" localSheetId="0" hidden="1">[18]MSH51C!$HJ$160:$HO$203,[18]MSH51C!#REF!,[18]MSH51C!#REF!</definedName>
    <definedName name="Z_9D737546_22F2_11D3_ACAF_004F490495C0_.wvu.PrintTitles" localSheetId="0" hidden="1">[18]MSH51C!$A$1:$X$65536,[18]MSH51C!$A$1:$IV$6</definedName>
    <definedName name="Z_9D737546_22F2_11D3_ACAF_004F490495C0_.wvu.Rows" localSheetId="0" hidden="1">[18]MSH51C!$A$9:$IV$11,[18]MSH51C!$A$15:$IV$25,[18]MSH51C!$A$54:$IV$56,[18]MSH51C!$A$58:$IV$60,[18]MSH51C!$A$62:$IV$63,[18]MSH51C!$A$65:$IV$67,[18]MSH51C!$A$80:$IV$82,[18]MSH51C!$A$99:$IV$101,[18]MSH51C!$A$162:$IV$167,[18]MSH51C!$A$169:$IV$170,[18]MSH51C!$A$172:$IV$203</definedName>
    <definedName name="Z_9D737548_22F2_11D3_ACAF_004F490495C0_.wvu.Cols" localSheetId="0" hidden="1">[18]MSH51C!$B$1:$B$65536,[18]MSH51C!$R$1:$GK$65536</definedName>
    <definedName name="Z_9D737548_22F2_11D3_ACAF_004F490495C0_.wvu.PrintArea" localSheetId="0" hidden="1">[18]MSH51C!#REF!</definedName>
    <definedName name="Z_9D737548_22F2_11D3_ACAF_004F490495C0_.wvu.PrintTitles" localSheetId="0" hidden="1">[18]MSH51C!$A$1:$X$65536,[18]MSH51C!$A$1:$IV$6</definedName>
    <definedName name="Z_9D737548_22F2_11D3_ACAF_004F490495C0_.wvu.Rows" localSheetId="0" hidden="1">[18]MSH51C!$A$9:$IV$11,[18]MSH51C!$A$15:$IV$25,[18]MSH51C!$A$54:$IV$56,[18]MSH51C!$A$58:$IV$60,[18]MSH51C!$A$62:$IV$63,[18]MSH51C!$A$65:$IV$67,[18]MSH51C!$A$80:$IV$82,[18]MSH51C!$A$99:$IV$101,[18]MSH51C!$A$162:$IV$167,[18]MSH51C!$A$169:$IV$170,[18]MSH51C!$A$172:$IV$203</definedName>
    <definedName name="Z_E34CC8B3_E952_4431_8049_4AAD5B1A4634_.wvu.FilterData" localSheetId="0" hidden="1">'[17]Ordenes Chile'!$A$3:$AJ$1284</definedName>
    <definedName name="Z_Semente_PSL" localSheetId="0">'[3]Precificador Serviços'!#REF!</definedName>
    <definedName name="Z_Semente_PSv" localSheetId="0">'[3]Precificador Software'!#REF!</definedName>
    <definedName name="zzzzzzzzzzzzzzz" localSheetId="0" hidden="1">{"HW",#N/A,FALSE,"1998"}</definedName>
    <definedName name="_xlnm._FilterDatabase" localSheetId="0" hidden="1">'RUNBOOK'!$A$1:$E$89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0"/>
      <sz val="28"/>
      <scheme val="minor"/>
    </font>
    <font>
      <name val="Aptos Narrow"/>
      <family val="2"/>
      <b val="1"/>
      <color theme="0"/>
      <sz val="14"/>
      <scheme val="minor"/>
    </font>
    <font>
      <name val="Calibri"/>
      <family val="2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0"/>
      <sz val="24"/>
      <scheme val="minor"/>
    </font>
    <font>
      <name val="Aptos Narrow"/>
      <family val="2"/>
      <b val="1"/>
      <color rgb="FF7030A0"/>
      <sz val="24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1"/>
      <sz val="16"/>
      <scheme val="minor"/>
    </font>
    <font>
      <name val="Calibri"/>
      <family val="2"/>
      <b val="1"/>
      <sz val="10"/>
    </font>
  </fonts>
  <fills count="9">
    <fill>
      <patternFill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1">
    <border>
      <left/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0.09991760002441481"/>
      </bottom>
      <diagonal/>
    </border>
    <border>
      <left/>
      <right/>
      <top style="thin">
        <color theme="2" tint="-0.0999176000244148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theme="2" tint="-0.09994811853389081"/>
      </left>
      <right style="medium">
        <color theme="2" tint="-0.09994811853389081"/>
      </right>
      <top style="medium">
        <color theme="2" tint="-0.09994811853389081"/>
      </top>
      <bottom style="medium">
        <color theme="2" tint="-0.09994811853389081"/>
      </bottom>
      <diagonal/>
    </border>
    <border>
      <left style="medium">
        <color theme="2" tint="-0.09988708151493882"/>
      </left>
      <right style="medium">
        <color theme="2" tint="-0.09988708151493882"/>
      </right>
      <top style="medium">
        <color theme="2" tint="-0.09988708151493882"/>
      </top>
      <bottom style="medium">
        <color theme="2" tint="-0.09988708151493882"/>
      </bottom>
      <diagonal/>
    </border>
    <border>
      <left style="medium">
        <color theme="2" tint="-0.09985656300546282"/>
      </left>
      <right style="medium">
        <color theme="2" tint="-0.09985656300546282"/>
      </right>
      <top style="medium">
        <color theme="2" tint="-0.09985656300546282"/>
      </top>
      <bottom style="medium">
        <color theme="2" tint="-0.09985656300546282"/>
      </bottom>
      <diagonal/>
    </border>
    <border>
      <left style="medium">
        <color theme="2" tint="-0.09988708151493882"/>
      </left>
      <right style="medium">
        <color theme="2" tint="-0.09988708151493882"/>
      </right>
      <top style="medium">
        <color theme="2" tint="-0.09988708151493882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2" tint="-0.09994811853389081"/>
      </left>
      <right/>
      <top/>
      <bottom style="medium">
        <color theme="2" tint="-0.09994811853389081"/>
      </bottom>
      <diagonal/>
    </border>
    <border>
      <left/>
      <right/>
      <top/>
      <bottom style="medium">
        <color theme="2" tint="-0.0999481185338908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medium">
        <color theme="2" tint="-0.09994811853389081"/>
      </left>
      <right/>
      <top/>
      <bottom/>
      <diagonal/>
    </border>
    <border>
      <left style="medium">
        <color theme="2" tint="-0.09994811853389081"/>
      </left>
      <right style="medium">
        <color theme="2" tint="-0.09994811853389081"/>
      </right>
      <top/>
      <bottom/>
      <diagonal/>
    </border>
    <border>
      <left style="medium">
        <color theme="2" tint="-0.09994811853389081"/>
      </left>
      <right style="medium">
        <color theme="2" tint="-0.09994811853389081"/>
      </right>
      <top/>
      <bottom style="medium">
        <color theme="2" tint="-0.09994811853389081"/>
      </bottom>
      <diagonal/>
    </border>
  </borders>
  <cellStyleXfs count="2">
    <xf numFmtId="0" fontId="1" fillId="0" borderId="0"/>
    <xf numFmtId="0" fontId="1" fillId="0" borderId="0"/>
  </cellStyleXfs>
  <cellXfs count="1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2" fillId="0" borderId="0" applyProtection="1" pivotButton="0" quotePrefix="0" xfId="0">
      <protection locked="0" hidden="0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0" fontId="4" fillId="2" borderId="3" applyAlignment="1" pivotButton="0" quotePrefix="0" xfId="0">
      <alignment horizontal="center" vertical="center"/>
    </xf>
    <xf numFmtId="0" fontId="4" fillId="2" borderId="3" applyAlignment="1" applyProtection="1" pivotButton="0" quotePrefix="0" xfId="0">
      <alignment horizontal="center" vertical="center"/>
      <protection locked="0" hidden="0"/>
    </xf>
    <xf numFmtId="0" fontId="4" fillId="2" borderId="5" applyAlignment="1" applyProtection="1" pivotButton="0" quotePrefix="0" xfId="0">
      <alignment vertical="center"/>
      <protection locked="0" hidden="0"/>
    </xf>
    <xf numFmtId="0" fontId="8" fillId="2" borderId="6" applyAlignment="1" applyProtection="1" pivotButton="0" quotePrefix="0" xfId="0">
      <alignment horizontal="center" vertical="top"/>
      <protection locked="0" hidden="0"/>
    </xf>
    <xf numFmtId="0" fontId="5" fillId="0" borderId="7" applyAlignment="1" pivotButton="0" quotePrefix="0" xfId="0">
      <alignment horizontal="left"/>
    </xf>
    <xf numFmtId="0" fontId="5" fillId="0" borderId="8" applyAlignment="1" applyProtection="1" pivotButton="0" quotePrefix="0" xfId="0">
      <alignment horizontal="left" vertical="center"/>
      <protection locked="0" hidden="0"/>
    </xf>
    <xf numFmtId="0" fontId="5" fillId="0" borderId="10" applyAlignment="1" applyProtection="1" pivotButton="0" quotePrefix="0" xfId="0">
      <alignment horizontal="left" vertical="center"/>
      <protection locked="0" hidden="0"/>
    </xf>
    <xf numFmtId="0" fontId="5" fillId="0" borderId="4" applyProtection="1" pivotButton="0" quotePrefix="0" xfId="0">
      <protection locked="0" hidden="0"/>
    </xf>
    <xf numFmtId="0" fontId="5" fillId="0" borderId="9" applyProtection="1" pivotButton="0" quotePrefix="0" xfId="0">
      <protection locked="0" hidden="0"/>
    </xf>
    <xf numFmtId="0" fontId="0" fillId="3" borderId="0" pivotButton="0" quotePrefix="0" xfId="0"/>
    <xf numFmtId="0" fontId="6" fillId="5" borderId="11" applyAlignment="1" pivotButton="0" quotePrefix="0" xfId="0">
      <alignment horizontal="left" vertical="center"/>
    </xf>
    <xf numFmtId="0" fontId="4" fillId="4" borderId="7" applyAlignment="1" applyProtection="1" pivotButton="0" quotePrefix="0" xfId="0">
      <alignment vertical="center"/>
      <protection locked="0" hidden="0"/>
    </xf>
    <xf numFmtId="20" fontId="11" fillId="5" borderId="18" applyAlignment="1" applyProtection="1" pivotButton="0" quotePrefix="0" xfId="0">
      <alignment horizontal="left" vertical="center"/>
      <protection locked="1" hidden="1"/>
    </xf>
    <xf numFmtId="20" fontId="12" fillId="5" borderId="18" applyAlignment="1" applyProtection="1" pivotButton="0" quotePrefix="0" xfId="0">
      <alignment horizontal="center" vertical="center"/>
      <protection locked="1" hidden="1"/>
    </xf>
    <xf numFmtId="0" fontId="6" fillId="7" borderId="18" applyAlignment="1" applyProtection="1" pivotButton="0" quotePrefix="0" xfId="0">
      <alignment horizontal="center" vertical="center"/>
      <protection locked="0" hidden="0"/>
    </xf>
    <xf numFmtId="0" fontId="6" fillId="7" borderId="19" applyAlignment="1" applyProtection="1" pivotButton="0" quotePrefix="0" xfId="0">
      <alignment horizontal="center" vertical="center"/>
      <protection locked="0" hidden="0"/>
    </xf>
    <xf numFmtId="0" fontId="6" fillId="7" borderId="11" applyAlignment="1" applyProtection="1" pivotButton="0" quotePrefix="0" xfId="0">
      <alignment horizontal="center" vertical="center"/>
      <protection locked="0" hidden="0"/>
    </xf>
    <xf numFmtId="0" fontId="6" fillId="7" borderId="21" applyAlignment="1" applyProtection="1" pivotButton="0" quotePrefix="0" xfId="0">
      <alignment vertical="center"/>
      <protection locked="0" hidden="0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0" fillId="7" borderId="18" applyAlignment="1" applyProtection="1" pivotButton="0" quotePrefix="0" xfId="0">
      <alignment horizontal="left" vertical="center"/>
      <protection locked="0" hidden="0"/>
    </xf>
    <xf numFmtId="0" fontId="6" fillId="7" borderId="23" applyAlignment="1" applyProtection="1" pivotButton="0" quotePrefix="0" xfId="0">
      <alignment vertical="center"/>
      <protection locked="0" hidden="0"/>
    </xf>
    <xf numFmtId="20" fontId="0" fillId="7" borderId="18" applyAlignment="1" applyProtection="1" pivotButton="0" quotePrefix="0" xfId="0">
      <alignment horizontal="left" vertical="center"/>
      <protection locked="0" hidden="0"/>
    </xf>
    <xf numFmtId="0" fontId="0" fillId="7" borderId="19" applyAlignment="1" applyProtection="1" pivotButton="0" quotePrefix="0" xfId="0">
      <alignment horizontal="left" vertical="center"/>
      <protection locked="0" hidden="0"/>
    </xf>
    <xf numFmtId="0" fontId="0" fillId="7" borderId="11" applyAlignment="1" applyProtection="1" pivotButton="0" quotePrefix="0" xfId="0">
      <alignment horizontal="left" vertical="center"/>
      <protection locked="0" hidden="0"/>
    </xf>
    <xf numFmtId="20" fontId="0" fillId="7" borderId="11" applyAlignment="1" applyProtection="1" pivotButton="0" quotePrefix="0" xfId="0">
      <alignment horizontal="left" vertical="center"/>
      <protection locked="0" hidden="0"/>
    </xf>
    <xf numFmtId="0" fontId="6" fillId="7" borderId="14" applyAlignment="1" applyProtection="1" pivotButton="0" quotePrefix="0" xfId="0">
      <alignment horizontal="center" vertical="center"/>
      <protection locked="0" hidden="0"/>
    </xf>
    <xf numFmtId="0" fontId="6" fillId="7" borderId="12" applyAlignment="1" applyProtection="1" pivotButton="0" quotePrefix="0" xfId="0">
      <alignment horizontal="left" vertical="center"/>
      <protection locked="0" hidden="0"/>
    </xf>
    <xf numFmtId="0" fontId="0" fillId="7" borderId="13" applyAlignment="1" applyProtection="1" pivotButton="0" quotePrefix="0" xfId="0">
      <alignment horizontal="left" vertical="center"/>
      <protection locked="0" hidden="0"/>
    </xf>
    <xf numFmtId="20" fontId="0" fillId="7" borderId="24" applyAlignment="1" applyProtection="1" pivotButton="0" quotePrefix="0" xfId="0">
      <alignment horizontal="center" vertical="center"/>
      <protection locked="0" hidden="0"/>
    </xf>
    <xf numFmtId="0" fontId="7" fillId="7" borderId="11" applyAlignment="1" applyProtection="1" pivotButton="0" quotePrefix="0" xfId="0">
      <alignment horizontal="left" vertical="center"/>
      <protection locked="0" hidden="0"/>
    </xf>
    <xf numFmtId="20" fontId="6" fillId="7" borderId="18" applyAlignment="1" applyProtection="1" pivotButton="0" quotePrefix="0" xfId="0">
      <alignment vertical="center"/>
      <protection locked="0" hidden="0"/>
    </xf>
    <xf numFmtId="0" fontId="6" fillId="7" borderId="19" applyAlignment="1" applyProtection="1" pivotButton="0" quotePrefix="0" xfId="0">
      <alignment vertical="center"/>
      <protection locked="0" hidden="0"/>
    </xf>
    <xf numFmtId="20" fontId="6" fillId="7" borderId="20" applyAlignment="1" applyProtection="1" pivotButton="0" quotePrefix="0" xfId="0">
      <alignment horizontal="center" vertical="center"/>
      <protection locked="0" hidden="0"/>
    </xf>
    <xf numFmtId="0" fontId="6" fillId="8" borderId="11" applyAlignment="1" applyProtection="1" pivotButton="0" quotePrefix="0" xfId="0">
      <alignment horizontal="center" vertical="center"/>
      <protection locked="0" hidden="0"/>
    </xf>
    <xf numFmtId="0" fontId="6" fillId="8" borderId="24" applyAlignment="1" applyProtection="1" pivotButton="0" quotePrefix="0" xfId="0">
      <alignment vertical="center"/>
      <protection locked="0" hidden="0"/>
    </xf>
    <xf numFmtId="0" fontId="6" fillId="8" borderId="11" applyAlignment="1" applyProtection="1" pivotButton="0" quotePrefix="0" xfId="0">
      <alignment horizontal="left" vertical="center"/>
      <protection locked="0" hidden="0"/>
    </xf>
    <xf numFmtId="0" fontId="0" fillId="8" borderId="11" applyAlignment="1" applyProtection="1" pivotButton="0" quotePrefix="0" xfId="0">
      <alignment horizontal="left" vertical="center"/>
      <protection locked="0" hidden="0"/>
    </xf>
    <xf numFmtId="20" fontId="0" fillId="8" borderId="11" applyAlignment="1" applyProtection="1" pivotButton="0" quotePrefix="0" xfId="0">
      <alignment horizontal="left" vertical="center"/>
      <protection locked="0" hidden="0"/>
    </xf>
    <xf numFmtId="20" fontId="6" fillId="8" borderId="18" applyAlignment="1" applyProtection="1" pivotButton="0" quotePrefix="0" xfId="0">
      <alignment vertical="center"/>
      <protection locked="0" hidden="0"/>
    </xf>
    <xf numFmtId="0" fontId="6" fillId="8" borderId="19" applyAlignment="1" applyProtection="1" pivotButton="0" quotePrefix="0" xfId="0">
      <alignment vertical="center"/>
      <protection locked="0" hidden="0"/>
    </xf>
    <xf numFmtId="20" fontId="6" fillId="8" borderId="20" applyAlignment="1" applyProtection="1" pivotButton="0" quotePrefix="0" xfId="0">
      <alignment horizontal="center" vertical="center"/>
      <protection locked="0" hidden="0"/>
    </xf>
    <xf numFmtId="0" fontId="0" fillId="3" borderId="0" applyProtection="1" pivotButton="0" quotePrefix="0" xfId="0">
      <protection locked="0" hidden="0"/>
    </xf>
    <xf numFmtId="0" fontId="0" fillId="6" borderId="11" applyAlignment="1" applyProtection="1" pivotButton="0" quotePrefix="0" xfId="0">
      <alignment horizontal="left" vertical="center"/>
      <protection locked="0" hidden="0"/>
    </xf>
    <xf numFmtId="0" fontId="0" fillId="6" borderId="21" applyAlignment="1" applyProtection="1" pivotButton="0" quotePrefix="0" xfId="0">
      <alignment horizontal="left" vertical="center"/>
      <protection locked="0" hidden="0"/>
    </xf>
    <xf numFmtId="0" fontId="0" fillId="6" borderId="21" applyAlignment="1" applyProtection="1" pivotButton="0" quotePrefix="0" xfId="0">
      <alignment horizontal="center" vertical="center"/>
      <protection locked="0" hidden="0"/>
    </xf>
    <xf numFmtId="0" fontId="0" fillId="6" borderId="0" applyAlignment="1" applyProtection="1" pivotButton="0" quotePrefix="0" xfId="0">
      <alignment horizontal="center" vertical="center"/>
      <protection locked="0" hidden="0"/>
    </xf>
    <xf numFmtId="0" fontId="13" fillId="5" borderId="19" applyAlignment="1" applyProtection="1" pivotButton="0" quotePrefix="0" xfId="0">
      <alignment horizontal="center" vertical="center"/>
      <protection locked="1" hidden="1"/>
    </xf>
    <xf numFmtId="20" fontId="12" fillId="5" borderId="19" applyAlignment="1" applyProtection="1" pivotButton="0" quotePrefix="0" xfId="0">
      <alignment horizontal="center" vertical="center"/>
      <protection locked="1" hidden="1"/>
    </xf>
    <xf numFmtId="0" fontId="4" fillId="4" borderId="7" applyAlignment="1" applyProtection="1" pivotButton="0" quotePrefix="0" xfId="0">
      <alignment horizontal="center" vertical="center"/>
      <protection locked="0" hidden="0"/>
    </xf>
    <xf numFmtId="0" fontId="4" fillId="4" borderId="9" applyAlignment="1" applyProtection="1" pivotButton="0" quotePrefix="0" xfId="0">
      <alignment horizontal="center" vertical="center"/>
      <protection locked="0" hidden="0"/>
    </xf>
    <xf numFmtId="0" fontId="4" fillId="4" borderId="8" applyAlignment="1" applyProtection="1" pivotButton="0" quotePrefix="0" xfId="0">
      <alignment vertical="center"/>
      <protection locked="0" hidden="0"/>
    </xf>
    <xf numFmtId="0" fontId="4" fillId="4" borderId="5" applyAlignment="1" applyProtection="1" pivotButton="0" quotePrefix="0" xfId="0">
      <alignment vertical="center"/>
      <protection locked="0" hidden="0"/>
    </xf>
    <xf numFmtId="0" fontId="5" fillId="0" borderId="0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5" fillId="0" borderId="7" applyProtection="1" pivotButton="0" quotePrefix="0" xfId="0">
      <protection locked="0" hidden="0"/>
    </xf>
    <xf numFmtId="0" fontId="5" fillId="0" borderId="7" applyAlignment="1" applyProtection="1" pivotButton="0" quotePrefix="0" xfId="0">
      <alignment horizontal="left"/>
      <protection locked="0" hidden="0"/>
    </xf>
    <xf numFmtId="0" fontId="5" fillId="0" borderId="8" applyProtection="1" pivotButton="0" quotePrefix="0" xfId="0">
      <protection locked="0" hidden="0"/>
    </xf>
    <xf numFmtId="0" fontId="5" fillId="0" borderId="10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0" fontId="5" fillId="0" borderId="7" applyAlignment="1" applyProtection="1" pivotButton="0" quotePrefix="0" xfId="0">
      <alignment horizontal="left"/>
      <protection locked="1" hidden="1"/>
    </xf>
    <xf numFmtId="0" fontId="14" fillId="5" borderId="7" pivotButton="0" quotePrefix="0" xfId="0"/>
    <xf numFmtId="0" fontId="14" fillId="5" borderId="8" pivotButton="0" quotePrefix="0" xfId="0"/>
    <xf numFmtId="0" fontId="14" fillId="5" borderId="7" applyProtection="1" pivotButton="0" quotePrefix="0" xfId="0">
      <protection locked="1" hidden="1"/>
    </xf>
    <xf numFmtId="0" fontId="6" fillId="7" borderId="24" applyAlignment="1" applyProtection="1" pivotButton="0" quotePrefix="0" xfId="0">
      <alignment vertical="center"/>
      <protection locked="0" hidden="0"/>
    </xf>
    <xf numFmtId="0" fontId="6" fillId="8" borderId="21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6" fillId="0" borderId="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8" fillId="2" borderId="0" applyAlignment="1" applyProtection="1" pivotButton="0" quotePrefix="0" xfId="0">
      <alignment horizontal="center" vertical="top"/>
      <protection locked="0" hidden="0"/>
    </xf>
    <xf numFmtId="0" fontId="3" fillId="2" borderId="7" applyAlignment="1" applyProtection="1" pivotButton="0" quotePrefix="0" xfId="0">
      <alignment horizontal="center" vertical="center"/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0" fontId="6" fillId="8" borderId="14" applyAlignment="1" applyProtection="1" pivotButton="0" quotePrefix="0" xfId="0">
      <alignment horizontal="center" vertical="center"/>
      <protection locked="0" hidden="0"/>
    </xf>
    <xf numFmtId="0" fontId="6" fillId="8" borderId="17" applyAlignment="1" applyProtection="1" pivotButton="0" quotePrefix="0" xfId="0">
      <alignment horizontal="center" vertical="center"/>
      <protection locked="0" hidden="0"/>
    </xf>
    <xf numFmtId="0" fontId="6" fillId="8" borderId="18" applyAlignment="1" applyProtection="1" pivotButton="0" quotePrefix="0" xfId="0">
      <alignment horizontal="center" vertical="center"/>
      <protection locked="0" hidden="0"/>
    </xf>
    <xf numFmtId="0" fontId="6" fillId="8" borderId="19" applyAlignment="1" applyProtection="1" pivotButton="0" quotePrefix="0" xfId="0">
      <alignment horizontal="center" vertical="center"/>
      <protection locked="0" hidden="0"/>
    </xf>
    <xf numFmtId="0" fontId="6" fillId="8" borderId="20" applyAlignment="1" applyProtection="1" pivotButton="0" quotePrefix="0" xfId="0">
      <alignment horizontal="center" vertical="center"/>
      <protection locked="0" hidden="0"/>
    </xf>
    <xf numFmtId="0" fontId="6" fillId="7" borderId="21" applyAlignment="1" applyProtection="1" pivotButton="0" quotePrefix="0" xfId="0">
      <alignment horizontal="center" vertical="center"/>
      <protection locked="0" hidden="0"/>
    </xf>
    <xf numFmtId="0" fontId="6" fillId="7" borderId="22" applyAlignment="1" applyProtection="1" pivotButton="0" quotePrefix="0" xfId="0">
      <alignment horizontal="center" vertical="center"/>
      <protection locked="0" hidden="0"/>
    </xf>
    <xf numFmtId="0" fontId="6" fillId="7" borderId="18" applyAlignment="1" applyProtection="1" pivotButton="0" quotePrefix="0" xfId="0">
      <alignment horizontal="center" vertical="center"/>
      <protection locked="0" hidden="0"/>
    </xf>
    <xf numFmtId="0" fontId="6" fillId="7" borderId="19" applyAlignment="1" applyProtection="1" pivotButton="0" quotePrefix="0" xfId="0">
      <alignment horizontal="center" vertical="center"/>
      <protection locked="0" hidden="0"/>
    </xf>
    <xf numFmtId="0" fontId="6" fillId="7" borderId="20" applyAlignment="1" applyProtection="1" pivotButton="0" quotePrefix="0" xfId="0">
      <alignment horizontal="center" vertical="center"/>
      <protection locked="0" hidden="0"/>
    </xf>
    <xf numFmtId="0" fontId="0" fillId="6" borderId="21" applyAlignment="1" applyProtection="1" pivotButton="0" quotePrefix="0" xfId="0">
      <alignment horizontal="center" vertical="center"/>
      <protection locked="0" hidden="0"/>
    </xf>
    <xf numFmtId="0" fontId="0" fillId="6" borderId="23" applyAlignment="1" applyProtection="1" pivotButton="0" quotePrefix="0" xfId="0">
      <alignment horizontal="center" vertical="center"/>
      <protection locked="0" hidden="0"/>
    </xf>
    <xf numFmtId="0" fontId="0" fillId="6" borderId="24" applyAlignment="1" applyProtection="1" pivotButton="0" quotePrefix="0" xfId="0">
      <alignment horizontal="center" vertical="center"/>
      <protection locked="0" hidden="0"/>
    </xf>
    <xf numFmtId="20" fontId="0" fillId="7" borderId="21" applyAlignment="1" applyProtection="1" pivotButton="0" quotePrefix="0" xfId="0">
      <alignment horizontal="center" vertical="center"/>
      <protection locked="0" hidden="0"/>
    </xf>
    <xf numFmtId="20" fontId="0" fillId="7" borderId="23" applyAlignment="1" applyProtection="1" pivotButton="0" quotePrefix="0" xfId="0">
      <alignment horizontal="center" vertical="center"/>
      <protection locked="0" hidden="0"/>
    </xf>
    <xf numFmtId="20" fontId="0" fillId="7" borderId="22" applyAlignment="1" applyProtection="1" pivotButton="0" quotePrefix="0" xfId="0">
      <alignment horizontal="center" vertical="center"/>
      <protection locked="0" hidden="0"/>
    </xf>
    <xf numFmtId="0" fontId="0" fillId="6" borderId="12" applyAlignment="1" applyProtection="1" pivotButton="0" quotePrefix="0" xfId="0">
      <alignment horizontal="center" vertical="center"/>
      <protection locked="0" hidden="0"/>
    </xf>
    <xf numFmtId="0" fontId="0" fillId="6" borderId="25" applyAlignment="1" applyProtection="1" pivotButton="0" quotePrefix="0" xfId="0">
      <alignment horizontal="center" vertical="center"/>
      <protection locked="0" hidden="0"/>
    </xf>
    <xf numFmtId="20" fontId="0" fillId="8" borderId="21" applyAlignment="1" applyProtection="1" pivotButton="0" quotePrefix="0" xfId="0">
      <alignment horizontal="center" vertical="center"/>
      <protection locked="0" hidden="0"/>
    </xf>
    <xf numFmtId="20" fontId="0" fillId="8" borderId="23" applyAlignment="1" applyProtection="1" pivotButton="0" quotePrefix="0" xfId="0">
      <alignment horizontal="center" vertical="center"/>
      <protection locked="0" hidden="0"/>
    </xf>
    <xf numFmtId="20" fontId="0" fillId="8" borderId="22" applyAlignment="1" applyProtection="1" pivotButton="0" quotePrefix="0" xfId="0">
      <alignment horizontal="center" vertical="center"/>
      <protection locked="0" hidden="0"/>
    </xf>
    <xf numFmtId="20" fontId="11" fillId="5" borderId="18" applyAlignment="1" applyProtection="1" pivotButton="0" quotePrefix="0" xfId="0">
      <alignment horizontal="left" vertical="center"/>
      <protection locked="0" hidden="0"/>
    </xf>
    <xf numFmtId="14" fontId="11" fillId="5" borderId="19" applyAlignment="1" applyProtection="1" pivotButton="0" quotePrefix="0" xfId="0">
      <alignment horizontal="left" vertical="center"/>
      <protection locked="0" hidden="0"/>
    </xf>
    <xf numFmtId="14" fontId="11" fillId="5" borderId="20" applyAlignment="1" applyProtection="1" pivotButton="0" quotePrefix="0" xfId="0">
      <alignment horizontal="left" vertical="center"/>
      <protection locked="0" hidden="0"/>
    </xf>
    <xf numFmtId="0" fontId="0" fillId="5" borderId="18" applyAlignment="1" applyProtection="1" pivotButton="0" quotePrefix="0" xfId="0">
      <alignment horizontal="left" vertical="center"/>
      <protection locked="0" hidden="0"/>
    </xf>
    <xf numFmtId="0" fontId="0" fillId="5" borderId="19" applyAlignment="1" applyProtection="1" pivotButton="0" quotePrefix="0" xfId="0">
      <alignment horizontal="left" vertical="center"/>
      <protection locked="0" hidden="0"/>
    </xf>
    <xf numFmtId="0" fontId="0" fillId="5" borderId="20" applyAlignment="1" applyProtection="1" pivotButton="0" quotePrefix="0" xfId="0">
      <alignment horizontal="left" vertical="center"/>
      <protection locked="0" hidden="0"/>
    </xf>
    <xf numFmtId="14" fontId="0" fillId="5" borderId="19" applyAlignment="1" pivotButton="0" quotePrefix="0" xfId="0">
      <alignment horizontal="center" vertical="center"/>
    </xf>
    <xf numFmtId="14" fontId="0" fillId="5" borderId="20" applyAlignment="1" pivotButton="0" quotePrefix="0" xfId="0">
      <alignment horizontal="center" vertical="center"/>
    </xf>
    <xf numFmtId="0" fontId="11" fillId="5" borderId="18" applyAlignment="1" applyProtection="1" pivotButton="0" quotePrefix="0" xfId="0">
      <alignment horizontal="center" vertical="center"/>
      <protection locked="0" hidden="0"/>
    </xf>
    <xf numFmtId="0" fontId="11" fillId="5" borderId="19" applyAlignment="1" applyProtection="1" pivotButton="0" quotePrefix="0" xfId="0">
      <alignment horizontal="center" vertical="center"/>
      <protection locked="0" hidden="0"/>
    </xf>
    <xf numFmtId="0" fontId="4" fillId="4" borderId="14" applyAlignment="1" applyProtection="1" pivotButton="0" quotePrefix="0" xfId="0">
      <alignment horizontal="center" vertical="center"/>
      <protection locked="0" hidden="0"/>
    </xf>
    <xf numFmtId="0" fontId="4" fillId="4" borderId="17" applyAlignment="1" applyProtection="1" pivotButton="0" quotePrefix="0" xfId="0">
      <alignment horizontal="center" vertical="center"/>
      <protection locked="0" hidden="0"/>
    </xf>
    <xf numFmtId="0" fontId="0" fillId="5" borderId="18" applyAlignment="1" applyProtection="1" pivotButton="0" quotePrefix="0" xfId="0">
      <alignment horizontal="left" vertical="center" wrapText="1"/>
      <protection locked="0" hidden="0"/>
    </xf>
    <xf numFmtId="0" fontId="0" fillId="5" borderId="19" applyAlignment="1" applyProtection="1" pivotButton="0" quotePrefix="0" xfId="0">
      <alignment horizontal="left" vertical="center" wrapText="1"/>
      <protection locked="0" hidden="0"/>
    </xf>
    <xf numFmtId="0" fontId="0" fillId="5" borderId="20" applyAlignment="1" applyProtection="1" pivotButton="0" quotePrefix="0" xfId="0">
      <alignment horizontal="left" vertical="center" wrapText="1"/>
      <protection locked="0" hidden="0"/>
    </xf>
    <xf numFmtId="0" fontId="9" fillId="0" borderId="11" applyAlignment="1" pivotButton="0" quotePrefix="0" xfId="0">
      <alignment horizontal="center" vertical="center"/>
    </xf>
    <xf numFmtId="0" fontId="4" fillId="4" borderId="12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15" applyAlignment="1" pivotButton="0" quotePrefix="0" xfId="0">
      <alignment horizontal="left" vertical="center"/>
    </xf>
    <xf numFmtId="0" fontId="4" fillId="4" borderId="16" applyAlignment="1" pivotButton="0" quotePrefix="0" xfId="0">
      <alignment horizontal="left" vertical="center"/>
    </xf>
    <xf numFmtId="0" fontId="10" fillId="5" borderId="18" applyAlignment="1" applyProtection="1" pivotButton="0" quotePrefix="0" xfId="0">
      <alignment horizontal="left" vertical="center"/>
      <protection locked="0" hidden="0"/>
    </xf>
    <xf numFmtId="0" fontId="10" fillId="5" borderId="19" applyAlignment="1" applyProtection="1" pivotButton="0" quotePrefix="0" xfId="0">
      <alignment horizontal="left" vertical="center"/>
      <protection locked="0" hidden="0"/>
    </xf>
    <xf numFmtId="0" fontId="10" fillId="5" borderId="20" applyAlignment="1" applyProtection="1" pivotButton="0" quotePrefix="0" xfId="0">
      <alignment horizontal="left" vertical="center"/>
      <protection locked="0" hidden="0"/>
    </xf>
    <xf numFmtId="14" fontId="11" fillId="5" borderId="18" applyAlignment="1" applyProtection="1" pivotButton="0" quotePrefix="0" xfId="0">
      <alignment horizontal="center" vertical="center"/>
      <protection locked="0" hidden="0"/>
    </xf>
    <xf numFmtId="0" fontId="11" fillId="5" borderId="20" applyAlignment="1" applyProtection="1" pivotButton="0" quotePrefix="0" xfId="0">
      <alignment horizontal="center" vertical="center"/>
      <protection locked="0" hidden="0"/>
    </xf>
    <xf numFmtId="0" fontId="4" fillId="4" borderId="26" applyAlignment="1" applyProtection="1" pivotButton="0" quotePrefix="0" xfId="0">
      <alignment horizontal="center" vertical="center"/>
      <protection locked="0" hidden="0"/>
    </xf>
    <xf numFmtId="0" fontId="4" fillId="4" borderId="27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4" fillId="4" borderId="18" applyAlignment="1" pivotButton="0" quotePrefix="0" xfId="0">
      <alignment horizontal="left" vertical="center"/>
    </xf>
    <xf numFmtId="0" fontId="0" fillId="0" borderId="13" pivotButton="0" quotePrefix="0" xfId="0"/>
    <xf numFmtId="0" fontId="4" fillId="4" borderId="20" applyAlignment="1" applyProtection="1" pivotButton="0" quotePrefix="0" xfId="0">
      <alignment horizontal="center" vertical="center"/>
      <protection locked="0" hidden="0"/>
    </xf>
    <xf numFmtId="0" fontId="0" fillId="0" borderId="15" pivotButton="0" quotePrefix="0" xfId="0"/>
    <xf numFmtId="0" fontId="0" fillId="0" borderId="16" pivotButton="0" quotePrefix="0" xfId="0"/>
    <xf numFmtId="0" fontId="0" fillId="0" borderId="17" applyProtection="1" pivotButton="0" quotePrefix="0" xfId="0">
      <protection locked="0" hidden="0"/>
    </xf>
    <xf numFmtId="0" fontId="0" fillId="5" borderId="11" applyAlignment="1" applyProtection="1" pivotButton="0" quotePrefix="0" xfId="0">
      <alignment horizontal="left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5" borderId="11" applyAlignment="1" applyProtection="1" pivotButton="0" quotePrefix="0" xfId="0">
      <alignment horizontal="left" vertical="center"/>
      <protection locked="0" hidden="0"/>
    </xf>
    <xf numFmtId="0" fontId="10" fillId="5" borderId="11" applyAlignment="1" applyProtection="1" pivotButton="0" quotePrefix="0" xfId="0">
      <alignment horizontal="left" vertical="center"/>
      <protection locked="0" hidden="0"/>
    </xf>
    <xf numFmtId="14" fontId="11" fillId="5" borderId="11" applyAlignment="1" applyProtection="1" pivotButton="0" quotePrefix="0" xfId="0">
      <alignment horizontal="center" vertical="center"/>
      <protection locked="0" hidden="0"/>
    </xf>
    <xf numFmtId="20" fontId="11" fillId="5" borderId="11" applyAlignment="1" applyProtection="1" pivotButton="0" quotePrefix="0" xfId="0">
      <alignment horizontal="left" vertical="center"/>
      <protection locked="0" hidden="0"/>
    </xf>
    <xf numFmtId="0" fontId="0" fillId="0" borderId="22" applyProtection="1" pivotButton="0" quotePrefix="0" xfId="0">
      <protection locked="0" hidden="0"/>
    </xf>
    <xf numFmtId="20" fontId="0" fillId="7" borderId="11" applyAlignment="1" applyProtection="1" pivotButton="0" quotePrefix="0" xfId="0">
      <alignment horizontal="center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20" fontId="0" fillId="8" borderId="11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14" fillId="5" borderId="7" applyAlignment="1" applyProtection="1" pivotButton="0" quotePrefix="0" xfId="0">
      <alignment vertical="top" wrapText="1"/>
      <protection locked="1" hidden="1"/>
    </xf>
    <xf numFmtId="0" fontId="5" fillId="0" borderId="0" applyAlignment="1" applyProtection="1" pivotButton="0" quotePrefix="0" xfId="0">
      <alignment vertical="top" wrapText="1"/>
      <protection locked="0" hidden="0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Normal 2" xfId="1"/>
  </cellStyles>
  <dxfs count="28">
    <dxf>
      <font>
        <b val="1"/>
        <color rgb="FFFFC000"/>
      </font>
      <fill>
        <patternFill>
          <bgColor rgb="FFFFFFCC"/>
        </patternFill>
      </fill>
    </dxf>
    <dxf>
      <font>
        <b val="1"/>
        <color rgb="FF00B050"/>
      </font>
      <fill>
        <patternFill>
          <bgColor rgb="FFC6EFCE"/>
        </patternFill>
      </fill>
    </dxf>
    <dxf>
      <font>
        <b val="1"/>
        <color theme="4"/>
      </font>
      <fill>
        <patternFill>
          <bgColor rgb="FF99CCFF"/>
        </patternFill>
      </fill>
    </dxf>
    <dxf>
      <font>
        <b val="1"/>
        <color rgb="FFC00000"/>
      </font>
      <fill>
        <patternFill>
          <bgColor rgb="FFFFCCCC"/>
        </patternFill>
      </fill>
    </dxf>
    <dxf>
      <font>
        <b val="1"/>
        <color rgb="FFFFC000"/>
      </font>
      <fill>
        <patternFill>
          <bgColor rgb="FFFFFFCC"/>
        </patternFill>
      </fill>
    </dxf>
    <dxf>
      <font>
        <b val="1"/>
        <color rgb="FF00B050"/>
      </font>
      <fill>
        <patternFill>
          <bgColor rgb="FFC6EFCE"/>
        </patternFill>
      </fill>
    </dxf>
    <dxf>
      <font>
        <b val="1"/>
        <color theme="4"/>
      </font>
      <fill>
        <patternFill>
          <bgColor rgb="FF99CCFF"/>
        </patternFill>
      </fill>
    </dxf>
    <dxf>
      <font>
        <b val="1"/>
        <color rgb="FFC00000"/>
      </font>
      <fill>
        <patternFill>
          <bgColor rgb="FFFFCCCC"/>
        </patternFill>
      </fill>
    </dxf>
    <dxf>
      <font>
        <b val="1"/>
        <color rgb="FFFFC000"/>
      </font>
      <fill>
        <patternFill>
          <bgColor rgb="FFFFFFCC"/>
        </patternFill>
      </fill>
    </dxf>
    <dxf>
      <font>
        <b val="1"/>
        <color rgb="FF00B050"/>
      </font>
      <fill>
        <patternFill>
          <bgColor rgb="FFC6EFCE"/>
        </patternFill>
      </fill>
    </dxf>
    <dxf>
      <font>
        <b val="1"/>
        <color theme="4"/>
      </font>
      <fill>
        <patternFill>
          <bgColor rgb="FF99CCFF"/>
        </patternFill>
      </fill>
    </dxf>
    <dxf>
      <font>
        <b val="1"/>
        <color rgb="FFC00000"/>
      </font>
      <fill>
        <patternFill>
          <bgColor rgb="FFFFCCCC"/>
        </patternFill>
      </fill>
    </dxf>
    <dxf>
      <font>
        <b val="1"/>
        <color rgb="FF00B050"/>
      </font>
      <fill>
        <patternFill>
          <bgColor rgb="FFC6EFCE"/>
        </patternFill>
      </fill>
    </dxf>
    <dxf>
      <font>
        <b val="1"/>
        <color rgb="FFC00000"/>
      </font>
      <fill>
        <patternFill>
          <bgColor rgb="FFFFCCCC"/>
        </patternFill>
      </fill>
    </dxf>
    <dxf>
      <font>
        <b val="1"/>
        <color rgb="FFC00000"/>
      </font>
      <fill>
        <patternFill>
          <bgColor rgb="FFFFCCCC"/>
        </patternFill>
      </fill>
    </dxf>
    <dxf>
      <font>
        <b val="1"/>
        <color rgb="FF00B050"/>
      </font>
      <fill>
        <patternFill>
          <bgColor rgb="FFC6EFCE"/>
        </patternFill>
      </fill>
    </dxf>
    <dxf>
      <font>
        <b val="1"/>
        <color rgb="FFC00000"/>
      </font>
      <fill>
        <patternFill>
          <bgColor rgb="FFFFCCCC"/>
        </patternFill>
      </fill>
    </dxf>
    <dxf>
      <font>
        <b val="1"/>
        <color rgb="FFFF9900"/>
      </font>
      <fill>
        <patternFill>
          <bgColor rgb="FFFFFFCC"/>
        </patternFill>
      </fill>
    </dxf>
    <dxf>
      <font>
        <b val="1"/>
        <color rgb="FFFF9900"/>
      </font>
      <fill>
        <patternFill>
          <bgColor rgb="FFFFFFCC"/>
        </patternFill>
      </fill>
    </dxf>
    <dxf>
      <font>
        <b val="1"/>
        <color rgb="FFC00000"/>
      </font>
      <fill>
        <patternFill>
          <bgColor rgb="FFFFCCCC"/>
        </patternFill>
      </fill>
    </dxf>
    <dxf>
      <font>
        <b val="1"/>
        <color rgb="FF00B050"/>
      </font>
      <fill>
        <patternFill>
          <bgColor rgb="FFC6EFCE"/>
        </patternFill>
      </fill>
    </dxf>
    <dxf>
      <font>
        <b val="1"/>
        <color rgb="FF00B050"/>
      </font>
      <fill>
        <patternFill>
          <bgColor rgb="FFC6EFCE"/>
        </patternFill>
      </fill>
    </dxf>
    <dxf>
      <font>
        <b val="1"/>
        <color rgb="FFC00000"/>
      </font>
      <fill>
        <patternFill>
          <bgColor rgb="FFFFCCCC"/>
        </patternFill>
      </fill>
    </dxf>
    <dxf>
      <font>
        <b val="1"/>
        <color rgb="FFFF9900"/>
      </font>
      <fill>
        <patternFill>
          <bgColor rgb="FFFFFFCC"/>
        </patternFill>
      </fill>
    </dxf>
    <dxf>
      <font>
        <b val="1"/>
        <color rgb="FFFF9900"/>
      </font>
      <fill>
        <patternFill>
          <bgColor rgb="FFFFFFCC"/>
        </patternFill>
      </fill>
    </dxf>
    <dxf>
      <font>
        <b val="1"/>
        <color rgb="FFC00000"/>
      </font>
      <fill>
        <patternFill>
          <bgColor rgb="FFFFCCCC"/>
        </patternFill>
      </fill>
    </dxf>
    <dxf>
      <font>
        <b val="1"/>
        <color rgb="FF00B050"/>
      </font>
      <fill>
        <patternFill>
          <bgColor rgb="FFC6EFCE"/>
        </patternFill>
      </fill>
    </dxf>
    <dxf>
      <font>
        <b val="1"/>
        <color rgb="FF00B05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externalLink" Target="/xl/externalLinks/externalLink15.xml" Id="rId20" /><Relationship Type="http://schemas.openxmlformats.org/officeDocument/2006/relationships/externalLink" Target="/xl/externalLinks/externalLink16.xml" Id="rId21" /><Relationship Type="http://schemas.openxmlformats.org/officeDocument/2006/relationships/externalLink" Target="/xl/externalLinks/externalLink17.xml" Id="rId22" /><Relationship Type="http://schemas.openxmlformats.org/officeDocument/2006/relationships/externalLink" Target="/xl/externalLinks/externalLink18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22860</colOff>
      <row>1413</row>
      <rowOff>121920</rowOff>
    </from>
    <to>
      <col>0</col>
      <colOff>270096</colOff>
      <row>1415</row>
      <rowOff>471</rowOff>
    </to>
    <pic macro="[0]!UP">
      <nvPicPr>
        <cNvPr id="4" name="Imagem 3" descr="Purple up circular icon - Free purple arrow icons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2860" y="91348560"/>
          <a:ext cx="256126" cy="259551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5</col>
      <colOff>91440</colOff>
      <row>5</row>
      <rowOff>144780</rowOff>
    </from>
    <ext cx="281940" cy="285301"/>
    <pic macro="[0]!Copy_Carimbo">
      <nvPicPr>
        <cNvPr id="26" name="Imagem 25" descr="Purple copy icon - Free purple copy icons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031980" y="1120140"/>
          <a:ext cx="281940" cy="285301"/>
        </a:xfrm>
        <a:prstGeom prst="rect">
          <avLst/>
        </a:prstGeom>
        <a:noFill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10829925" cy="5133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telefonicacorp.sharepoint.com/Itpa01vw2/pro-of-su/Documents%20and%20Settings/ather.s/Local%20Settings/Temporary%20Internet%20Files/OLK175/OA%20Add%20Jan-Mar%20200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elefonicacorp.sharepoint.com/Icsaw009/public_bups/Documents%20and%20Settings/ather.s/Local%20Settings/Temporary%20Internet%20Files/OLK175/OA%20Add%20Jan-Mar%202002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elefonicacorp.sharepoint.com/personal/rodrigo_ramos_telefonica_com/Documents/Solu&#231;&#245;es/Projetos/PSOL_SGI_Cliente_201023.r1_V1.0_2020MMDD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elefonicacorp.sharepoint.com/Icsaw009/public_bups/LAVORO%20VHO/2004/Fastweb/analisi%20costi%20prezzi%20figure%20professionali%20per%20il%202005/analisi%20costi%20prezzi%20figure%20professionali%20x%20FW%202005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elefonicacorp.sharepoint.com/Gent14/Projects/lavoro/fastweb/composizioni/listini%20fastweb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telefonicacorp.sharepoint.com/Icsaw009/public_bups/Users/LAVORO%20VHO/Area%20Estero/Arabia%20Saudita/2007/STC/2007-0446%20-%20Gara%20NGN%20per%20STC/3%20-%20Pcr/Regione%201/lavoro/fastweb/composizioni/listini%20fastweb%20ufficiali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H:\lavoro\fastweb\composizioni\listini%20fastweb%20ufficiali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H:\lavoro\fastweb\composizioni\listini%20fastweb.xls" TargetMode="External" Id="rId1" /></Relationships>
</file>

<file path=xl/externalLinks/_rels/externalLink9.xml.rels><Relationships xmlns="http://schemas.openxmlformats.org/package/2006/relationships"><Relationship Type="http://schemas.microsoft.com/office/2019/04/relationships/externalLinkLongPath" Target="https://telefonicacorp.sharepoint.com/personal/pauloh_rocha_telefonica_com/Documents/Arquitetura%20de%20Viabilidade/Sanderson/Processos/CIELO/XXXXXXX-Y_CIELO_RFP%20CISCO_Suporte%20T&#233;cnico/CSP_SGI_XXXXXXX-Y_CIELO_RFP_CISCO_Suporte-T&#233;cnico_Renova&#231;&#227;o_V2103029_V4.2_20210723.xlsm?8F6FE07F" TargetMode="External" Id="rId2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elefonicacorp.sharepoint.com/Gent14/Projects/lavoro/fastweb/composizioni/listini%20fastweb%20ufficiali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S:\Pp\PP1\Cisco\PREISE\Vspl2000\Januar2000\Abverkauf_27012000formel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elefonicacorp.sharepoint.com/sites/Project_Teams.TMBNL/Shared%20Documents/Projeto%20SD-WAN%20-%20PRODAM/SECRETARIA%20-%20ROLLOUT/Sec%20-%20SMIT%20-%20Descomplica/01-Script/1.0%20-%20Template%20Descomplica_v3.xlsm" TargetMode="External" Id="rId3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Z:\Projetos%20-%202020\M\MAPFRE\BR272_SFA920136-W1239751-%20MAPFRE%20-%20IBM%20Power9%20E980\V3.0\3-Propostas\Desenvolvimento\PSOL_%20BR272_SFA920136-W1239751-%20MAPFRE%20-%20IBM%20Power9%20E980%20v3%20MKP10%25.xlsm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https://telefonicacorp.sharepoint.com/Users/a0041102/AppData/Local/Microsoft/Windows/INetCache/Content.Outlook/4KXNLB96/RAIA%20-%20Access%20Point%20-Catalogo%20de%20Servi&#231;os%20Profissionais%20v3_.xlsm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Z:\Documents%20and%20Settings\ather.s\Local%20Settings\Temporary%20Internet%20Files\OLK175\OA%20Add%20Jan-Mar%202002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elefonicacorp-my.sharepoint.com/personal/felipe_sbegnami_telefonica_com/Documents/Attachments/Caderno%20de%20Testes%20-%20EXT.xlsx" TargetMode="External" Id="rId2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U:\Documents%20and%20Settings\Administrator\Local%20Settings\Temporary%20Internet%20Files\OLK8\Ordenes%20a%20Cisco\Seguimiento%20de%20Ordenes%20a%20Cisco%20Chile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138.132.129.10\Comercial\Documents%20and%20Settings\ity10143\Impostazioni%20locali\Temporary%20Internet%20Files\OLK5\TI%20-%20SDH%20Summary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&amp;F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&amp;F"/>
    </sheetNames>
    <sheetDataSet>
      <sheetData sheetId="0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OPEX CDT"/>
      <sheetName val="PMO Entregas"/>
      <sheetName val="Lista de Endereços"/>
      <sheetName val="SF - HW"/>
      <sheetName val="SF - SW"/>
      <sheetName val="SF - SV MENSAL"/>
      <sheetName val="SF - SV À VISTA"/>
      <sheetName val="PMO-DIFAL"/>
      <sheetName val="RC"/>
      <sheetName val="Estrutura da Planilha"/>
      <sheetName val="SGI TGS"/>
      <sheetName val="Resumo Custos"/>
      <sheetName val="Instruções"/>
      <sheetName val="Controle"/>
      <sheetName val="PARÂMETROS"/>
      <sheetName val="Operação@TIS"/>
      <sheetName val="Máscara Fornecedor"/>
      <sheetName val="Precificador Hardware"/>
      <sheetName val="Precificador Software"/>
      <sheetName val="Precificador Serviços"/>
      <sheetName val="Tabela de Preços"/>
      <sheetName val="Tabela de Preços Sem IPI"/>
      <sheetName val="Tabela Fixa de Preços"/>
      <sheetName val="Tabela de Preços Agrupada"/>
      <sheetName val="Parâmetros da Proposta"/>
      <sheetName val="Proposta"/>
      <sheetName val="FC Hardware"/>
      <sheetName val="Resumo Anual Hardware"/>
      <sheetName val="FC Software"/>
      <sheetName val="Resumo Anual Software"/>
      <sheetName val="FC Serviços"/>
      <sheetName val="Resumo Anual Serviços"/>
      <sheetName val="FC Serviços TIS"/>
      <sheetName val="Resumo Anual Serviços TIS"/>
      <sheetName val="FC UNIFICADO"/>
      <sheetName val="Resumo Anual UNIFICADO"/>
      <sheetName val="CdG"/>
      <sheetName val="Itens a Cadastrar"/>
      <sheetName val="TABELA 2016"/>
      <sheetName val="LISTAS"/>
      <sheetName val="CF TIS"/>
      <sheetName val="Conceitos Faturáveis"/>
      <sheetName val="INTERESTADUAL"/>
      <sheetName val="Consulta ao Tributário"/>
      <sheetName val="CP x Margin"/>
      <sheetName val="CP x Markup"/>
      <sheetName val="NCM"/>
      <sheetName val="Controle de Versões"/>
    </sheetNames>
    <sheetDataSet>
      <sheetData sheetId="0" refreshError="1"/>
      <sheetData sheetId="1" refreshError="1">
        <row r="3">
          <cell r="E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COMP</v>
          </cell>
        </row>
        <row r="9">
          <cell r="C9" t="str">
            <v>MODI</v>
          </cell>
        </row>
        <row r="10">
          <cell r="C10" t="str">
            <v>MOIN</v>
          </cell>
        </row>
        <row r="11">
          <cell r="C11" t="str">
            <v>OUTROS</v>
          </cell>
        </row>
      </sheetData>
      <sheetData sheetId="11" refreshError="1"/>
      <sheetData sheetId="12" refreshError="1"/>
      <sheetData sheetId="13" refreshError="1">
        <row r="10">
          <cell r="G10" t="str">
            <v>N/A</v>
          </cell>
        </row>
        <row r="30">
          <cell r="C30" t="str">
            <v>NÃO</v>
          </cell>
        </row>
      </sheetData>
      <sheetData sheetId="14" refreshError="1">
        <row r="9">
          <cell r="D9">
            <v>0.33999999999999997</v>
          </cell>
        </row>
        <row r="10">
          <cell r="D10">
            <v>0.05</v>
          </cell>
        </row>
        <row r="11">
          <cell r="D11">
            <v>0.05</v>
          </cell>
        </row>
        <row r="12">
          <cell r="D12">
            <v>9.2249999999999999E-2</v>
          </cell>
        </row>
        <row r="13">
          <cell r="D13">
            <v>0.05</v>
          </cell>
        </row>
        <row r="15">
          <cell r="D15">
            <v>9.4887929345830457E-3</v>
          </cell>
        </row>
        <row r="16">
          <cell r="H16">
            <v>9.2499999999999999E-2</v>
          </cell>
        </row>
        <row r="17">
          <cell r="D17">
            <v>0.1</v>
          </cell>
        </row>
        <row r="18">
          <cell r="D18">
            <v>0</v>
          </cell>
        </row>
        <row r="23">
          <cell r="B23" t="str">
            <v>À Vista</v>
          </cell>
          <cell r="C23" t="str">
            <v>-</v>
          </cell>
        </row>
        <row r="24">
          <cell r="C24" t="str">
            <v>12 meses</v>
          </cell>
        </row>
        <row r="25">
          <cell r="C25" t="str">
            <v>24 meses</v>
          </cell>
        </row>
        <row r="26">
          <cell r="C26" t="str">
            <v>36 meses</v>
          </cell>
        </row>
        <row r="27">
          <cell r="C27" t="str">
            <v>48 meses</v>
          </cell>
        </row>
        <row r="28">
          <cell r="C28" t="str">
            <v>60 meses</v>
          </cell>
          <cell r="G28" t="str">
            <v>SIM</v>
          </cell>
          <cell r="H28" t="str">
            <v>NÃO</v>
          </cell>
        </row>
        <row r="31">
          <cell r="H31">
            <v>4.3999999999999997E-2</v>
          </cell>
        </row>
        <row r="32">
          <cell r="H32">
            <v>2.4E-2</v>
          </cell>
        </row>
        <row r="41">
          <cell r="B41">
            <v>2016</v>
          </cell>
          <cell r="C41">
            <v>0.6</v>
          </cell>
          <cell r="D41">
            <v>0.4</v>
          </cell>
        </row>
        <row r="42">
          <cell r="B42">
            <v>2017</v>
          </cell>
          <cell r="C42">
            <v>0.4</v>
          </cell>
          <cell r="D42">
            <v>0.6</v>
          </cell>
        </row>
        <row r="43">
          <cell r="B43">
            <v>2018</v>
          </cell>
          <cell r="C43">
            <v>0.2</v>
          </cell>
          <cell r="D43">
            <v>0.8</v>
          </cell>
        </row>
        <row r="44">
          <cell r="B44">
            <v>2019</v>
          </cell>
          <cell r="C44">
            <v>0</v>
          </cell>
          <cell r="D44">
            <v>1</v>
          </cell>
        </row>
      </sheetData>
      <sheetData sheetId="15" refreshError="1"/>
      <sheetData sheetId="16" refreshError="1">
        <row r="4">
          <cell r="EH4" t="str"/>
        </row>
        <row r="5">
          <cell r="EH5" t="str"/>
        </row>
        <row r="6">
          <cell r="EH6" t="str"/>
        </row>
        <row r="7">
          <cell r="EH7" t="str"/>
        </row>
        <row r="8">
          <cell r="EH8" t="str"/>
        </row>
        <row r="10">
          <cell r="CS10" t="str">
            <v>(Fornecedor)</v>
          </cell>
          <cell r="CT10" t="str">
            <v>(Fornecedor)</v>
          </cell>
          <cell r="CU10" t="str">
            <v>(Fornecedor)</v>
          </cell>
          <cell r="CV10" t="str">
            <v>(Fornecedor)</v>
          </cell>
          <cell r="CW10" t="str">
            <v>Telefônica Data</v>
          </cell>
          <cell r="CX10" t="str">
            <v>Telefônica Data</v>
          </cell>
          <cell r="CY10" t="str">
            <v>(Fornecedor)</v>
          </cell>
          <cell r="CZ10" t="str">
            <v>(Fornecedor)</v>
          </cell>
          <cell r="DD10" t="str">
            <v>(Fornecedor)</v>
          </cell>
          <cell r="DH10" t="str">
            <v>(Fornecedor)</v>
          </cell>
          <cell r="DL10" t="str">
            <v>(Fornecedor)</v>
          </cell>
          <cell r="DP10" t="str">
            <v>(Fornecedor)</v>
          </cell>
          <cell r="DT10" t="str">
            <v>(Fornecedor)</v>
          </cell>
          <cell r="DX10" t="str">
            <v>(Fornecedor)</v>
          </cell>
        </row>
        <row r="22">
          <cell r="D22" t="str">
            <v>Índice</v>
          </cell>
          <cell r="K22" t="str">
            <v>HW/SW/Serviço</v>
          </cell>
        </row>
        <row r="23">
          <cell r="D23" t="str"/>
        </row>
        <row r="24">
          <cell r="D24" t="str"/>
        </row>
        <row r="25">
          <cell r="D25" t="str"/>
        </row>
        <row r="26">
          <cell r="D26" t="str"/>
        </row>
        <row r="27">
          <cell r="D27" t="str"/>
        </row>
        <row r="28">
          <cell r="D28" t="str"/>
        </row>
        <row r="29">
          <cell r="D29" t="str"/>
        </row>
        <row r="30">
          <cell r="D30" t="str"/>
        </row>
        <row r="31">
          <cell r="D31" t="str"/>
        </row>
        <row r="32">
          <cell r="D32" t="str"/>
        </row>
        <row r="33">
          <cell r="D33" t="str"/>
        </row>
        <row r="34">
          <cell r="D34" t="str"/>
        </row>
        <row r="35">
          <cell r="D35" t="str"/>
        </row>
        <row r="36">
          <cell r="D36" t="str"/>
        </row>
        <row r="37">
          <cell r="D37" t="str"/>
        </row>
        <row r="38">
          <cell r="D38" t="str"/>
        </row>
        <row r="39">
          <cell r="D39" t="str"/>
        </row>
        <row r="40">
          <cell r="D40" t="str"/>
        </row>
        <row r="41">
          <cell r="D41" t="str"/>
        </row>
        <row r="42">
          <cell r="D42" t="str"/>
        </row>
        <row r="43">
          <cell r="D43" t="str"/>
        </row>
        <row r="44">
          <cell r="D44" t="str"/>
        </row>
        <row r="45">
          <cell r="D45" t="str"/>
        </row>
        <row r="46">
          <cell r="D46" t="str"/>
        </row>
        <row r="47">
          <cell r="D47" t="str"/>
        </row>
        <row r="48">
          <cell r="D48" t="str"/>
        </row>
        <row r="49">
          <cell r="D49" t="str"/>
        </row>
        <row r="50">
          <cell r="D50" t="str"/>
        </row>
        <row r="51">
          <cell r="D51" t="str"/>
        </row>
        <row r="52">
          <cell r="D52" t="str"/>
        </row>
        <row r="53">
          <cell r="D53" t="str"/>
        </row>
        <row r="54">
          <cell r="D54" t="str"/>
        </row>
        <row r="55">
          <cell r="D55" t="str"/>
        </row>
        <row r="56">
          <cell r="D56" t="str"/>
        </row>
        <row r="57">
          <cell r="D57" t="str"/>
        </row>
        <row r="58">
          <cell r="D58" t="str"/>
        </row>
        <row r="59">
          <cell r="D59" t="str"/>
        </row>
        <row r="60">
          <cell r="D60" t="str"/>
        </row>
        <row r="61">
          <cell r="D61" t="str"/>
        </row>
        <row r="62">
          <cell r="D62" t="str"/>
        </row>
        <row r="63">
          <cell r="D63" t="str"/>
        </row>
        <row r="64">
          <cell r="D64" t="str"/>
        </row>
        <row r="65">
          <cell r="D65" t="str"/>
        </row>
        <row r="66">
          <cell r="D66" t="str"/>
        </row>
        <row r="67">
          <cell r="D67" t="str"/>
        </row>
        <row r="68">
          <cell r="D68" t="str"/>
        </row>
        <row r="69">
          <cell r="D69" t="str"/>
        </row>
        <row r="70">
          <cell r="D70" t="str"/>
        </row>
        <row r="71">
          <cell r="D71" t="str"/>
        </row>
        <row r="72">
          <cell r="D72" t="str"/>
        </row>
        <row r="73">
          <cell r="D73" t="str"/>
        </row>
        <row r="74">
          <cell r="D74" t="str"/>
        </row>
        <row r="75">
          <cell r="D75" t="str"/>
        </row>
        <row r="76">
          <cell r="D76" t="str"/>
        </row>
        <row r="77">
          <cell r="D77" t="str"/>
        </row>
        <row r="78">
          <cell r="D78" t="str"/>
        </row>
        <row r="79">
          <cell r="D79" t="str"/>
        </row>
        <row r="80">
          <cell r="D80" t="str"/>
        </row>
        <row r="81">
          <cell r="D81" t="str"/>
        </row>
        <row r="82">
          <cell r="D82" t="str"/>
        </row>
        <row r="83">
          <cell r="D83" t="str"/>
        </row>
        <row r="84">
          <cell r="D84" t="str"/>
        </row>
        <row r="85">
          <cell r="D85" t="str"/>
        </row>
        <row r="86">
          <cell r="D86" t="str"/>
        </row>
        <row r="87">
          <cell r="D87" t="str"/>
        </row>
        <row r="88">
          <cell r="D88" t="str"/>
        </row>
        <row r="89">
          <cell r="D89" t="str"/>
        </row>
        <row r="90">
          <cell r="D90" t="str"/>
        </row>
        <row r="91">
          <cell r="D91" t="str"/>
        </row>
        <row r="92">
          <cell r="D92" t="str"/>
        </row>
        <row r="93">
          <cell r="D93" t="str"/>
        </row>
        <row r="94">
          <cell r="D94" t="str"/>
        </row>
        <row r="95">
          <cell r="D95" t="str"/>
        </row>
        <row r="96">
          <cell r="D96" t="str"/>
        </row>
        <row r="97">
          <cell r="D97" t="str"/>
        </row>
        <row r="98">
          <cell r="D98" t="str"/>
        </row>
        <row r="99">
          <cell r="D99" t="str"/>
        </row>
        <row r="100">
          <cell r="D100" t="str"/>
        </row>
        <row r="101">
          <cell r="D101" t="str"/>
        </row>
        <row r="102">
          <cell r="D102" t="str"/>
        </row>
        <row r="103">
          <cell r="D103" t="str"/>
        </row>
        <row r="104">
          <cell r="D104" t="str"/>
        </row>
        <row r="105">
          <cell r="D105" t="str"/>
        </row>
        <row r="106">
          <cell r="D106" t="str"/>
        </row>
        <row r="107">
          <cell r="D107" t="str"/>
        </row>
        <row r="108">
          <cell r="D108" t="str"/>
        </row>
        <row r="109">
          <cell r="D109" t="str"/>
        </row>
        <row r="110">
          <cell r="D110" t="str"/>
        </row>
        <row r="111">
          <cell r="D111" t="str"/>
        </row>
        <row r="112">
          <cell r="D112" t="str"/>
        </row>
        <row r="113">
          <cell r="D113" t="str"/>
        </row>
        <row r="114">
          <cell r="D114" t="str"/>
        </row>
        <row r="115">
          <cell r="D115" t="str"/>
        </row>
        <row r="116">
          <cell r="D116" t="str"/>
        </row>
        <row r="117">
          <cell r="D117" t="str"/>
        </row>
        <row r="118">
          <cell r="D118" t="str"/>
        </row>
        <row r="119">
          <cell r="D119" t="str"/>
        </row>
        <row r="120">
          <cell r="D120" t="str"/>
        </row>
        <row r="121">
          <cell r="D121" t="str"/>
        </row>
        <row r="122">
          <cell r="D122" t="str"/>
        </row>
        <row r="123">
          <cell r="D123" t="str"/>
        </row>
        <row r="124">
          <cell r="D124" t="str"/>
        </row>
        <row r="125">
          <cell r="D125" t="str"/>
        </row>
        <row r="126">
          <cell r="D126" t="str"/>
        </row>
        <row r="127">
          <cell r="D127" t="str"/>
        </row>
        <row r="128">
          <cell r="D128" t="str"/>
        </row>
        <row r="129">
          <cell r="D129" t="str"/>
        </row>
        <row r="130">
          <cell r="D130" t="str"/>
        </row>
        <row r="131">
          <cell r="D131" t="str"/>
        </row>
        <row r="132">
          <cell r="D132" t="str"/>
        </row>
        <row r="133">
          <cell r="D133" t="str"/>
        </row>
        <row r="134">
          <cell r="D134" t="str"/>
        </row>
        <row r="135">
          <cell r="D135" t="str"/>
        </row>
        <row r="136">
          <cell r="D136" t="str"/>
        </row>
        <row r="137">
          <cell r="D137" t="str"/>
        </row>
        <row r="138">
          <cell r="D138" t="str"/>
        </row>
        <row r="139">
          <cell r="D139" t="str"/>
        </row>
        <row r="140">
          <cell r="D140" t="str"/>
        </row>
        <row r="141">
          <cell r="D141" t="str"/>
        </row>
        <row r="142">
          <cell r="D142" t="str"/>
        </row>
        <row r="143">
          <cell r="D143" t="str"/>
        </row>
        <row r="144">
          <cell r="D144" t="str"/>
        </row>
        <row r="145">
          <cell r="D145" t="str"/>
        </row>
        <row r="146">
          <cell r="D146" t="str"/>
        </row>
        <row r="147">
          <cell r="D147" t="str"/>
        </row>
        <row r="148">
          <cell r="D148" t="str"/>
        </row>
        <row r="149">
          <cell r="D149" t="str"/>
        </row>
        <row r="150">
          <cell r="D150" t="str"/>
        </row>
        <row r="151">
          <cell r="D151" t="str"/>
        </row>
        <row r="152">
          <cell r="D152" t="str"/>
        </row>
        <row r="153">
          <cell r="D153" t="str"/>
        </row>
        <row r="154">
          <cell r="D154" t="str"/>
        </row>
        <row r="155">
          <cell r="D155" t="str"/>
        </row>
        <row r="156">
          <cell r="D156" t="str"/>
        </row>
        <row r="157">
          <cell r="D157" t="str"/>
        </row>
        <row r="158">
          <cell r="D158" t="str"/>
        </row>
        <row r="159">
          <cell r="D159" t="str"/>
        </row>
        <row r="160">
          <cell r="D160" t="str"/>
        </row>
        <row r="161">
          <cell r="D161" t="str"/>
        </row>
        <row r="162">
          <cell r="D162" t="str"/>
        </row>
        <row r="163">
          <cell r="D163" t="str"/>
        </row>
        <row r="164">
          <cell r="D164" t="str"/>
        </row>
        <row r="165">
          <cell r="D165" t="str"/>
        </row>
        <row r="166">
          <cell r="D166" t="str"/>
        </row>
        <row r="167">
          <cell r="D167" t="str"/>
        </row>
        <row r="168">
          <cell r="D168" t="str"/>
        </row>
        <row r="169">
          <cell r="D169" t="str"/>
        </row>
        <row r="170">
          <cell r="D170" t="str"/>
        </row>
        <row r="171">
          <cell r="D171" t="str"/>
        </row>
        <row r="172">
          <cell r="D172" t="str"/>
        </row>
        <row r="174">
          <cell r="D174" t="str">
            <v>EOL</v>
          </cell>
        </row>
      </sheetData>
      <sheetData sheetId="17" refreshError="1">
        <row r="4">
          <cell r="H4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868">
          <cell r="W868">
            <v>0</v>
          </cell>
        </row>
        <row r="899">
          <cell r="E899" t="str"/>
        </row>
        <row r="900">
          <cell r="E900" t="str"/>
        </row>
        <row r="901">
          <cell r="E901" t="str"/>
        </row>
        <row r="902">
          <cell r="E902" t="str"/>
        </row>
        <row r="903">
          <cell r="E903" t="str"/>
        </row>
        <row r="904">
          <cell r="E904" t="str"/>
        </row>
        <row r="905">
          <cell r="E905" t="str"/>
        </row>
        <row r="906">
          <cell r="E906" t="str"/>
        </row>
        <row r="907">
          <cell r="E907" t="str"/>
        </row>
        <row r="908">
          <cell r="E908" t="str"/>
        </row>
        <row r="909">
          <cell r="E909" t="str"/>
        </row>
        <row r="910">
          <cell r="E910" t="str"/>
        </row>
        <row r="911">
          <cell r="E911" t="str"/>
        </row>
        <row r="912">
          <cell r="E912" t="str"/>
        </row>
        <row r="913">
          <cell r="E913" t="str"/>
        </row>
        <row r="914">
          <cell r="E914" t="str"/>
        </row>
        <row r="915">
          <cell r="E915" t="str"/>
        </row>
        <row r="916">
          <cell r="E916" t="str"/>
        </row>
        <row r="917">
          <cell r="E917" t="str"/>
        </row>
        <row r="918">
          <cell r="E918" t="str"/>
        </row>
        <row r="919">
          <cell r="E919" t="str"/>
        </row>
        <row r="920">
          <cell r="E920" t="str"/>
        </row>
        <row r="921">
          <cell r="E921" t="str"/>
        </row>
        <row r="922">
          <cell r="E922" t="str"/>
        </row>
        <row r="923">
          <cell r="E923" t="str"/>
        </row>
        <row r="924">
          <cell r="E924" t="str"/>
        </row>
        <row r="925">
          <cell r="E925" t="str"/>
        </row>
        <row r="926">
          <cell r="E926" t="str"/>
        </row>
        <row r="927">
          <cell r="E927" t="str"/>
        </row>
        <row r="928">
          <cell r="E928" t="str"/>
        </row>
        <row r="929">
          <cell r="E929" t="str"/>
        </row>
        <row r="930">
          <cell r="E930" t="str"/>
        </row>
        <row r="931">
          <cell r="E931" t="str"/>
        </row>
        <row r="932">
          <cell r="E932" t="str"/>
        </row>
        <row r="933">
          <cell r="E933" t="str"/>
        </row>
        <row r="934">
          <cell r="E934" t="str"/>
        </row>
        <row r="935">
          <cell r="E935" t="str"/>
        </row>
        <row r="936">
          <cell r="E936" t="str"/>
        </row>
        <row r="937">
          <cell r="E937" t="str"/>
        </row>
        <row r="938">
          <cell r="E938" t="str"/>
        </row>
        <row r="939">
          <cell r="E939" t="str"/>
        </row>
        <row r="940">
          <cell r="E940" t="str"/>
        </row>
        <row r="941">
          <cell r="E941" t="str"/>
        </row>
        <row r="942">
          <cell r="E942" t="str"/>
        </row>
        <row r="943">
          <cell r="E943" t="str"/>
        </row>
        <row r="944">
          <cell r="E944" t="str"/>
        </row>
        <row r="945">
          <cell r="E945" t="str"/>
        </row>
        <row r="946">
          <cell r="E946" t="str"/>
        </row>
        <row r="947">
          <cell r="E947" t="str">
            <v>Fim UF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33">
          <cell r="B33" t="str">
            <v>Carlos Marçal</v>
          </cell>
        </row>
        <row r="34">
          <cell r="B34" t="str">
            <v>Fernanda Suenaga</v>
          </cell>
        </row>
        <row r="35">
          <cell r="B35" t="str">
            <v>Guilherme dos Santos</v>
          </cell>
        </row>
        <row r="36">
          <cell r="B36" t="str">
            <v>Paulo Nascimento</v>
          </cell>
        </row>
        <row r="37">
          <cell r="B37" t="str">
            <v>Ricardo Flores</v>
          </cell>
        </row>
      </sheetData>
      <sheetData sheetId="37" refreshError="1"/>
      <sheetData sheetId="38" refreshError="1">
        <row r="6">
          <cell r="D6" t="str">
            <v>AC</v>
          </cell>
          <cell r="E6" t="str">
            <v>AL</v>
          </cell>
          <cell r="F6" t="str">
            <v>AM</v>
          </cell>
          <cell r="G6" t="str">
            <v>AP</v>
          </cell>
          <cell r="H6" t="str">
            <v>BA</v>
          </cell>
          <cell r="I6" t="str">
            <v>CE</v>
          </cell>
          <cell r="J6" t="str">
            <v>DF</v>
          </cell>
          <cell r="K6" t="str">
            <v>ES</v>
          </cell>
          <cell r="L6" t="str">
            <v>GO</v>
          </cell>
          <cell r="M6" t="str">
            <v>MA</v>
          </cell>
          <cell r="N6" t="str">
            <v>MG</v>
          </cell>
          <cell r="O6" t="str">
            <v>MS</v>
          </cell>
          <cell r="P6" t="str">
            <v>MT</v>
          </cell>
          <cell r="Q6" t="str">
            <v>PA</v>
          </cell>
          <cell r="R6" t="str">
            <v>PB</v>
          </cell>
          <cell r="S6" t="str">
            <v>PE</v>
          </cell>
          <cell r="T6" t="str">
            <v>PI</v>
          </cell>
          <cell r="U6" t="str">
            <v>PR</v>
          </cell>
          <cell r="V6" t="str">
            <v>RJ</v>
          </cell>
          <cell r="W6" t="str">
            <v>RN</v>
          </cell>
          <cell r="X6" t="str">
            <v>RO</v>
          </cell>
          <cell r="Y6" t="str">
            <v>RR</v>
          </cell>
          <cell r="Z6" t="str">
            <v>RS</v>
          </cell>
          <cell r="AA6" t="str">
            <v>SC</v>
          </cell>
          <cell r="AB6" t="str">
            <v>SE</v>
          </cell>
          <cell r="AC6" t="str">
            <v>SP</v>
          </cell>
          <cell r="AD6" t="str">
            <v>TO</v>
          </cell>
        </row>
        <row r="7">
          <cell r="C7" t="str">
            <v>0000.00.00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F7">
            <v>0</v>
          </cell>
        </row>
        <row r="8">
          <cell r="C8" t="str">
            <v>3916.20.00</v>
          </cell>
          <cell r="D8">
            <v>0.17</v>
          </cell>
          <cell r="E8">
            <v>0.18</v>
          </cell>
          <cell r="F8">
            <v>0.18</v>
          </cell>
          <cell r="G8">
            <v>0.18</v>
          </cell>
          <cell r="H8">
            <v>0.18</v>
          </cell>
          <cell r="I8">
            <v>0.18</v>
          </cell>
          <cell r="J8">
            <v>0.18</v>
          </cell>
          <cell r="K8">
            <v>0.17</v>
          </cell>
          <cell r="L8">
            <v>0.17</v>
          </cell>
          <cell r="M8">
            <v>0.18</v>
          </cell>
          <cell r="N8">
            <v>0.18</v>
          </cell>
          <cell r="O8">
            <v>0.17</v>
          </cell>
          <cell r="P8">
            <v>0.17</v>
          </cell>
          <cell r="Q8">
            <v>0.17</v>
          </cell>
          <cell r="R8">
            <v>0.18</v>
          </cell>
          <cell r="S8">
            <v>0.18</v>
          </cell>
          <cell r="T8">
            <v>0.18</v>
          </cell>
          <cell r="U8">
            <v>0.18</v>
          </cell>
          <cell r="V8">
            <v>0.2</v>
          </cell>
          <cell r="W8">
            <v>0.18</v>
          </cell>
          <cell r="X8">
            <v>0.17499999999999999</v>
          </cell>
          <cell r="Y8">
            <v>0.17</v>
          </cell>
          <cell r="Z8">
            <v>0.18</v>
          </cell>
          <cell r="AA8">
            <v>0.17</v>
          </cell>
          <cell r="AB8">
            <v>0.18</v>
          </cell>
          <cell r="AC8">
            <v>0.18</v>
          </cell>
          <cell r="AD8">
            <v>0.18</v>
          </cell>
          <cell r="AF8">
            <v>0.1</v>
          </cell>
        </row>
        <row r="9">
          <cell r="C9" t="str">
            <v>3917.21.00</v>
          </cell>
          <cell r="D9">
            <v>0.17</v>
          </cell>
          <cell r="E9">
            <v>0.18</v>
          </cell>
          <cell r="F9">
            <v>0.18</v>
          </cell>
          <cell r="G9">
            <v>0.18</v>
          </cell>
          <cell r="H9">
            <v>0.18</v>
          </cell>
          <cell r="I9">
            <v>0.18</v>
          </cell>
          <cell r="J9">
            <v>0.18</v>
          </cell>
          <cell r="K9">
            <v>0.17</v>
          </cell>
          <cell r="L9">
            <v>0.17</v>
          </cell>
          <cell r="M9">
            <v>0.18</v>
          </cell>
          <cell r="N9">
            <v>0.18</v>
          </cell>
          <cell r="O9">
            <v>0.17</v>
          </cell>
          <cell r="P9">
            <v>0.17</v>
          </cell>
          <cell r="Q9">
            <v>0.17</v>
          </cell>
          <cell r="R9">
            <v>0.18</v>
          </cell>
          <cell r="S9">
            <v>0.18</v>
          </cell>
          <cell r="T9">
            <v>0.18</v>
          </cell>
          <cell r="U9">
            <v>0.18</v>
          </cell>
          <cell r="V9">
            <v>0.2</v>
          </cell>
          <cell r="W9">
            <v>0.18</v>
          </cell>
          <cell r="X9">
            <v>0.17499999999999999</v>
          </cell>
          <cell r="Y9">
            <v>0.17</v>
          </cell>
          <cell r="Z9">
            <v>0.18</v>
          </cell>
          <cell r="AA9">
            <v>0.17</v>
          </cell>
          <cell r="AB9">
            <v>0.18</v>
          </cell>
          <cell r="AC9">
            <v>0.18</v>
          </cell>
          <cell r="AD9">
            <v>0.18</v>
          </cell>
          <cell r="AF9">
            <v>0</v>
          </cell>
        </row>
        <row r="10">
          <cell r="C10" t="str">
            <v>3917.31.00</v>
          </cell>
          <cell r="D10">
            <v>0.17</v>
          </cell>
          <cell r="E10">
            <v>0.18</v>
          </cell>
          <cell r="F10">
            <v>0.18</v>
          </cell>
          <cell r="G10">
            <v>0.18</v>
          </cell>
          <cell r="H10">
            <v>0.18</v>
          </cell>
          <cell r="I10">
            <v>0.18</v>
          </cell>
          <cell r="J10">
            <v>0.18</v>
          </cell>
          <cell r="K10">
            <v>0.17</v>
          </cell>
          <cell r="L10">
            <v>0.17</v>
          </cell>
          <cell r="M10">
            <v>0.18</v>
          </cell>
          <cell r="N10">
            <v>0.18</v>
          </cell>
          <cell r="O10">
            <v>0.17</v>
          </cell>
          <cell r="P10">
            <v>0.17</v>
          </cell>
          <cell r="Q10">
            <v>0.17</v>
          </cell>
          <cell r="R10">
            <v>0.18</v>
          </cell>
          <cell r="S10">
            <v>0.18</v>
          </cell>
          <cell r="T10">
            <v>0.18</v>
          </cell>
          <cell r="U10">
            <v>0.18</v>
          </cell>
          <cell r="V10">
            <v>0.2</v>
          </cell>
          <cell r="W10">
            <v>0.18</v>
          </cell>
          <cell r="X10">
            <v>0.17499999999999999</v>
          </cell>
          <cell r="Y10">
            <v>0.17</v>
          </cell>
          <cell r="Z10">
            <v>0.18</v>
          </cell>
          <cell r="AA10">
            <v>0.17</v>
          </cell>
          <cell r="AB10">
            <v>0.18</v>
          </cell>
          <cell r="AC10">
            <v>0.18</v>
          </cell>
          <cell r="AD10">
            <v>0.18</v>
          </cell>
          <cell r="AF10">
            <v>0.05</v>
          </cell>
        </row>
        <row r="11">
          <cell r="C11" t="str">
            <v>3917.40.90</v>
          </cell>
          <cell r="D11">
            <v>0.17</v>
          </cell>
          <cell r="E11">
            <v>0.18</v>
          </cell>
          <cell r="F11">
            <v>0.18</v>
          </cell>
          <cell r="G11">
            <v>0.18</v>
          </cell>
          <cell r="H11">
            <v>0.18</v>
          </cell>
          <cell r="I11">
            <v>0.18</v>
          </cell>
          <cell r="J11">
            <v>0.18</v>
          </cell>
          <cell r="K11">
            <v>0.17</v>
          </cell>
          <cell r="L11">
            <v>0.17</v>
          </cell>
          <cell r="M11">
            <v>0.18</v>
          </cell>
          <cell r="N11">
            <v>0.18</v>
          </cell>
          <cell r="O11">
            <v>0.17</v>
          </cell>
          <cell r="P11">
            <v>0.17</v>
          </cell>
          <cell r="Q11">
            <v>0.17</v>
          </cell>
          <cell r="R11">
            <v>0.18</v>
          </cell>
          <cell r="S11">
            <v>0.18</v>
          </cell>
          <cell r="T11">
            <v>0.18</v>
          </cell>
          <cell r="U11">
            <v>0.18</v>
          </cell>
          <cell r="V11">
            <v>0.2</v>
          </cell>
          <cell r="W11">
            <v>0.18</v>
          </cell>
          <cell r="X11">
            <v>0.17499999999999999</v>
          </cell>
          <cell r="Y11">
            <v>0.17</v>
          </cell>
          <cell r="Z11">
            <v>0.18</v>
          </cell>
          <cell r="AA11">
            <v>0.17</v>
          </cell>
          <cell r="AB11">
            <v>0.18</v>
          </cell>
          <cell r="AC11">
            <v>0.18</v>
          </cell>
          <cell r="AD11">
            <v>0.18</v>
          </cell>
          <cell r="AF11">
            <v>0</v>
          </cell>
        </row>
        <row r="12">
          <cell r="C12" t="str">
            <v>3919.10.90</v>
          </cell>
          <cell r="D12">
            <v>0.17</v>
          </cell>
          <cell r="E12">
            <v>0.18</v>
          </cell>
          <cell r="F12">
            <v>0.18</v>
          </cell>
          <cell r="G12">
            <v>0.18</v>
          </cell>
          <cell r="H12">
            <v>0.18</v>
          </cell>
          <cell r="I12">
            <v>0.18</v>
          </cell>
          <cell r="J12">
            <v>0.18</v>
          </cell>
          <cell r="K12">
            <v>0.17</v>
          </cell>
          <cell r="L12">
            <v>0.17</v>
          </cell>
          <cell r="M12">
            <v>0.18</v>
          </cell>
          <cell r="N12">
            <v>0.18</v>
          </cell>
          <cell r="O12">
            <v>0.17</v>
          </cell>
          <cell r="P12">
            <v>0.17</v>
          </cell>
          <cell r="Q12">
            <v>0.17</v>
          </cell>
          <cell r="R12">
            <v>0.18</v>
          </cell>
          <cell r="S12">
            <v>0.18</v>
          </cell>
          <cell r="T12">
            <v>0.18</v>
          </cell>
          <cell r="U12">
            <v>0.18</v>
          </cell>
          <cell r="V12">
            <v>0.2</v>
          </cell>
          <cell r="W12">
            <v>0.18</v>
          </cell>
          <cell r="X12">
            <v>0.17499999999999999</v>
          </cell>
          <cell r="Y12">
            <v>0.17</v>
          </cell>
          <cell r="Z12">
            <v>0.18</v>
          </cell>
          <cell r="AA12">
            <v>0.17</v>
          </cell>
          <cell r="AB12">
            <v>0.18</v>
          </cell>
          <cell r="AC12">
            <v>0.18</v>
          </cell>
          <cell r="AD12">
            <v>0.18</v>
          </cell>
          <cell r="AF12">
            <v>0.15</v>
          </cell>
        </row>
        <row r="13">
          <cell r="C13" t="str">
            <v>3925.90.90</v>
          </cell>
          <cell r="D13">
            <v>0.17</v>
          </cell>
          <cell r="E13">
            <v>0.18</v>
          </cell>
          <cell r="F13">
            <v>0.18</v>
          </cell>
          <cell r="G13">
            <v>0.18</v>
          </cell>
          <cell r="H13">
            <v>0.18</v>
          </cell>
          <cell r="I13">
            <v>0.18</v>
          </cell>
          <cell r="J13">
            <v>0.18</v>
          </cell>
          <cell r="K13">
            <v>0.17</v>
          </cell>
          <cell r="L13">
            <v>0.17</v>
          </cell>
          <cell r="M13">
            <v>0.18</v>
          </cell>
          <cell r="N13">
            <v>0.18</v>
          </cell>
          <cell r="O13">
            <v>0.17</v>
          </cell>
          <cell r="P13">
            <v>0.17</v>
          </cell>
          <cell r="Q13">
            <v>0.17</v>
          </cell>
          <cell r="R13">
            <v>0.18</v>
          </cell>
          <cell r="S13">
            <v>0.18</v>
          </cell>
          <cell r="T13">
            <v>0.18</v>
          </cell>
          <cell r="U13">
            <v>0.18</v>
          </cell>
          <cell r="V13">
            <v>0.2</v>
          </cell>
          <cell r="W13">
            <v>0.18</v>
          </cell>
          <cell r="X13">
            <v>0.17499999999999999</v>
          </cell>
          <cell r="Y13">
            <v>0.17</v>
          </cell>
          <cell r="Z13">
            <v>0.18</v>
          </cell>
          <cell r="AA13">
            <v>0.17</v>
          </cell>
          <cell r="AB13">
            <v>0.18</v>
          </cell>
          <cell r="AC13">
            <v>0.18</v>
          </cell>
          <cell r="AD13">
            <v>0.18</v>
          </cell>
          <cell r="AF13">
            <v>0.05</v>
          </cell>
        </row>
        <row r="14">
          <cell r="C14" t="str">
            <v>3926.90.90</v>
          </cell>
          <cell r="D14">
            <v>0.17</v>
          </cell>
          <cell r="E14">
            <v>0.18</v>
          </cell>
          <cell r="F14">
            <v>0.18</v>
          </cell>
          <cell r="G14">
            <v>0.18</v>
          </cell>
          <cell r="H14">
            <v>0.18</v>
          </cell>
          <cell r="I14">
            <v>0.18</v>
          </cell>
          <cell r="J14">
            <v>0.18</v>
          </cell>
          <cell r="K14">
            <v>0.17</v>
          </cell>
          <cell r="L14">
            <v>0.17</v>
          </cell>
          <cell r="M14">
            <v>0.18</v>
          </cell>
          <cell r="N14">
            <v>0.18</v>
          </cell>
          <cell r="O14">
            <v>0.17</v>
          </cell>
          <cell r="P14">
            <v>0.17</v>
          </cell>
          <cell r="Q14">
            <v>0.17</v>
          </cell>
          <cell r="R14">
            <v>0.18</v>
          </cell>
          <cell r="S14">
            <v>0.18</v>
          </cell>
          <cell r="T14">
            <v>0.18</v>
          </cell>
          <cell r="U14">
            <v>0.18</v>
          </cell>
          <cell r="V14">
            <v>0.2</v>
          </cell>
          <cell r="W14">
            <v>0.18</v>
          </cell>
          <cell r="X14">
            <v>0.17499999999999999</v>
          </cell>
          <cell r="Y14">
            <v>0.17</v>
          </cell>
          <cell r="Z14">
            <v>0.18</v>
          </cell>
          <cell r="AA14">
            <v>0.17</v>
          </cell>
          <cell r="AB14">
            <v>0.18</v>
          </cell>
          <cell r="AC14">
            <v>0.18</v>
          </cell>
          <cell r="AD14">
            <v>0.18</v>
          </cell>
          <cell r="AF14">
            <v>0.15</v>
          </cell>
        </row>
        <row r="15">
          <cell r="C15" t="str">
            <v>4016.91.00</v>
          </cell>
          <cell r="D15">
            <v>0.17</v>
          </cell>
          <cell r="E15">
            <v>0.18</v>
          </cell>
          <cell r="F15">
            <v>0.18</v>
          </cell>
          <cell r="G15">
            <v>0.18</v>
          </cell>
          <cell r="H15">
            <v>0.18</v>
          </cell>
          <cell r="I15">
            <v>0.18</v>
          </cell>
          <cell r="J15">
            <v>0.18</v>
          </cell>
          <cell r="K15">
            <v>0.17</v>
          </cell>
          <cell r="L15">
            <v>0.17</v>
          </cell>
          <cell r="M15">
            <v>0.18</v>
          </cell>
          <cell r="N15">
            <v>0.18</v>
          </cell>
          <cell r="O15">
            <v>0.17</v>
          </cell>
          <cell r="P15">
            <v>0.17</v>
          </cell>
          <cell r="Q15">
            <v>0.17</v>
          </cell>
          <cell r="R15">
            <v>0.18</v>
          </cell>
          <cell r="S15">
            <v>0.18</v>
          </cell>
          <cell r="T15">
            <v>0.18</v>
          </cell>
          <cell r="U15">
            <v>0.18</v>
          </cell>
          <cell r="V15">
            <v>0.2</v>
          </cell>
          <cell r="W15">
            <v>0.18</v>
          </cell>
          <cell r="X15">
            <v>0.17499999999999999</v>
          </cell>
          <cell r="Y15">
            <v>0.17</v>
          </cell>
          <cell r="Z15">
            <v>0.18</v>
          </cell>
          <cell r="AA15">
            <v>0.17</v>
          </cell>
          <cell r="AB15">
            <v>0.18</v>
          </cell>
          <cell r="AC15">
            <v>0.18</v>
          </cell>
          <cell r="AD15">
            <v>0.18</v>
          </cell>
          <cell r="AF15">
            <v>0.1</v>
          </cell>
        </row>
        <row r="16">
          <cell r="C16" t="str">
            <v>4016.99.90</v>
          </cell>
          <cell r="D16">
            <v>0.17</v>
          </cell>
          <cell r="E16">
            <v>0.18</v>
          </cell>
          <cell r="F16">
            <v>0.18</v>
          </cell>
          <cell r="G16">
            <v>0.18</v>
          </cell>
          <cell r="H16">
            <v>0.18</v>
          </cell>
          <cell r="I16">
            <v>0.18</v>
          </cell>
          <cell r="J16">
            <v>0.18</v>
          </cell>
          <cell r="K16">
            <v>0.17</v>
          </cell>
          <cell r="L16">
            <v>0.17</v>
          </cell>
          <cell r="M16">
            <v>0.18</v>
          </cell>
          <cell r="N16">
            <v>0.18</v>
          </cell>
          <cell r="O16">
            <v>0.17</v>
          </cell>
          <cell r="P16">
            <v>0.17</v>
          </cell>
          <cell r="Q16">
            <v>0.17</v>
          </cell>
          <cell r="R16">
            <v>0.18</v>
          </cell>
          <cell r="S16">
            <v>0.18</v>
          </cell>
          <cell r="T16">
            <v>0.18</v>
          </cell>
          <cell r="U16">
            <v>0.18</v>
          </cell>
          <cell r="V16">
            <v>0.2</v>
          </cell>
          <cell r="W16">
            <v>0.18</v>
          </cell>
          <cell r="X16">
            <v>0.17499999999999999</v>
          </cell>
          <cell r="Y16">
            <v>0.17</v>
          </cell>
          <cell r="Z16">
            <v>0.18</v>
          </cell>
          <cell r="AA16">
            <v>0.17</v>
          </cell>
          <cell r="AB16">
            <v>0.18</v>
          </cell>
          <cell r="AC16">
            <v>0.18</v>
          </cell>
          <cell r="AD16">
            <v>0.18</v>
          </cell>
          <cell r="AF16">
            <v>0.18</v>
          </cell>
        </row>
        <row r="17">
          <cell r="C17" t="str">
            <v>4202.12.10</v>
          </cell>
          <cell r="D17">
            <v>0.17</v>
          </cell>
          <cell r="E17">
            <v>0.18</v>
          </cell>
          <cell r="F17">
            <v>0.18</v>
          </cell>
          <cell r="G17">
            <v>0.18</v>
          </cell>
          <cell r="H17">
            <v>0.18</v>
          </cell>
          <cell r="I17">
            <v>0.18</v>
          </cell>
          <cell r="J17">
            <v>0.18</v>
          </cell>
          <cell r="K17">
            <v>0.17</v>
          </cell>
          <cell r="L17">
            <v>0.17</v>
          </cell>
          <cell r="M17">
            <v>0.18</v>
          </cell>
          <cell r="N17">
            <v>0.18</v>
          </cell>
          <cell r="O17">
            <v>0.17</v>
          </cell>
          <cell r="P17">
            <v>0.17</v>
          </cell>
          <cell r="Q17">
            <v>0.17</v>
          </cell>
          <cell r="R17">
            <v>0.18</v>
          </cell>
          <cell r="S17">
            <v>0.18</v>
          </cell>
          <cell r="T17">
            <v>0.18</v>
          </cell>
          <cell r="U17">
            <v>0.18</v>
          </cell>
          <cell r="V17">
            <v>0.2</v>
          </cell>
          <cell r="W17">
            <v>0.18</v>
          </cell>
          <cell r="X17">
            <v>0.17499999999999999</v>
          </cell>
          <cell r="Y17">
            <v>0.17</v>
          </cell>
          <cell r="Z17">
            <v>0.18</v>
          </cell>
          <cell r="AA17">
            <v>0.17</v>
          </cell>
          <cell r="AB17">
            <v>0.18</v>
          </cell>
          <cell r="AC17">
            <v>0.18</v>
          </cell>
          <cell r="AD17">
            <v>0.18</v>
          </cell>
          <cell r="AF17">
            <v>0.1</v>
          </cell>
        </row>
        <row r="18">
          <cell r="C18" t="str">
            <v>4202.12.20</v>
          </cell>
          <cell r="D18">
            <v>0.17</v>
          </cell>
          <cell r="E18">
            <v>0.18</v>
          </cell>
          <cell r="F18">
            <v>0.18</v>
          </cell>
          <cell r="G18">
            <v>0.18</v>
          </cell>
          <cell r="H18">
            <v>0.18</v>
          </cell>
          <cell r="I18">
            <v>0.18</v>
          </cell>
          <cell r="J18">
            <v>0.18</v>
          </cell>
          <cell r="K18">
            <v>0.17</v>
          </cell>
          <cell r="L18">
            <v>0.17</v>
          </cell>
          <cell r="M18">
            <v>0.18</v>
          </cell>
          <cell r="N18">
            <v>0.18</v>
          </cell>
          <cell r="O18">
            <v>0.17</v>
          </cell>
          <cell r="P18">
            <v>0.17</v>
          </cell>
          <cell r="Q18">
            <v>0.17</v>
          </cell>
          <cell r="R18">
            <v>0.18</v>
          </cell>
          <cell r="S18">
            <v>0.18</v>
          </cell>
          <cell r="T18">
            <v>0.18</v>
          </cell>
          <cell r="U18">
            <v>0.18</v>
          </cell>
          <cell r="V18">
            <v>0.2</v>
          </cell>
          <cell r="W18">
            <v>0.18</v>
          </cell>
          <cell r="X18">
            <v>0.17499999999999999</v>
          </cell>
          <cell r="Y18">
            <v>0.17</v>
          </cell>
          <cell r="Z18">
            <v>0.18</v>
          </cell>
          <cell r="AA18">
            <v>0.17</v>
          </cell>
          <cell r="AB18">
            <v>0.18</v>
          </cell>
          <cell r="AC18">
            <v>0.18</v>
          </cell>
          <cell r="AD18">
            <v>0.18</v>
          </cell>
          <cell r="AF18">
            <v>0.1</v>
          </cell>
        </row>
        <row r="19">
          <cell r="C19" t="str">
            <v>4202.91.00</v>
          </cell>
          <cell r="D19">
            <v>0.17</v>
          </cell>
          <cell r="E19">
            <v>0.18</v>
          </cell>
          <cell r="F19">
            <v>0.18</v>
          </cell>
          <cell r="G19">
            <v>0.18</v>
          </cell>
          <cell r="H19">
            <v>0.18</v>
          </cell>
          <cell r="I19">
            <v>0.18</v>
          </cell>
          <cell r="J19">
            <v>0.18</v>
          </cell>
          <cell r="K19">
            <v>0.17</v>
          </cell>
          <cell r="L19">
            <v>0.17</v>
          </cell>
          <cell r="M19">
            <v>0.18</v>
          </cell>
          <cell r="N19">
            <v>0.18</v>
          </cell>
          <cell r="O19">
            <v>0.17</v>
          </cell>
          <cell r="P19">
            <v>0.17</v>
          </cell>
          <cell r="Q19">
            <v>0.17</v>
          </cell>
          <cell r="R19">
            <v>0.18</v>
          </cell>
          <cell r="S19">
            <v>0.18</v>
          </cell>
          <cell r="T19">
            <v>0.18</v>
          </cell>
          <cell r="U19">
            <v>0.18</v>
          </cell>
          <cell r="V19">
            <v>0.2</v>
          </cell>
          <cell r="W19">
            <v>0.18</v>
          </cell>
          <cell r="X19">
            <v>0.17499999999999999</v>
          </cell>
          <cell r="Y19">
            <v>0.17</v>
          </cell>
          <cell r="Z19">
            <v>0.18</v>
          </cell>
          <cell r="AA19">
            <v>0.17</v>
          </cell>
          <cell r="AB19">
            <v>0.18</v>
          </cell>
          <cell r="AC19">
            <v>0.18</v>
          </cell>
          <cell r="AD19">
            <v>0.18</v>
          </cell>
          <cell r="AF19">
            <v>0.1</v>
          </cell>
        </row>
        <row r="20">
          <cell r="C20" t="str">
            <v>4202.92.00</v>
          </cell>
          <cell r="D20">
            <v>0.17</v>
          </cell>
          <cell r="E20">
            <v>0.18</v>
          </cell>
          <cell r="F20">
            <v>0.18</v>
          </cell>
          <cell r="G20">
            <v>0.18</v>
          </cell>
          <cell r="H20">
            <v>0.18</v>
          </cell>
          <cell r="I20">
            <v>0.18</v>
          </cell>
          <cell r="J20">
            <v>0.18</v>
          </cell>
          <cell r="K20">
            <v>0.17</v>
          </cell>
          <cell r="L20">
            <v>0.17</v>
          </cell>
          <cell r="M20">
            <v>0.18</v>
          </cell>
          <cell r="N20">
            <v>0.18</v>
          </cell>
          <cell r="O20">
            <v>0.17</v>
          </cell>
          <cell r="P20">
            <v>0.17</v>
          </cell>
          <cell r="Q20">
            <v>0.17</v>
          </cell>
          <cell r="R20">
            <v>0.18</v>
          </cell>
          <cell r="S20">
            <v>0.18</v>
          </cell>
          <cell r="T20">
            <v>0.18</v>
          </cell>
          <cell r="U20">
            <v>0.18</v>
          </cell>
          <cell r="V20">
            <v>0.2</v>
          </cell>
          <cell r="W20">
            <v>0.18</v>
          </cell>
          <cell r="X20">
            <v>0.17499999999999999</v>
          </cell>
          <cell r="Y20">
            <v>0.17</v>
          </cell>
          <cell r="Z20">
            <v>0.18</v>
          </cell>
          <cell r="AA20">
            <v>0.17</v>
          </cell>
          <cell r="AB20">
            <v>0.18</v>
          </cell>
          <cell r="AC20">
            <v>0.18</v>
          </cell>
          <cell r="AD20">
            <v>0.18</v>
          </cell>
          <cell r="AF20">
            <v>0.1</v>
          </cell>
        </row>
        <row r="21">
          <cell r="C21" t="str">
            <v>4415.20.00</v>
          </cell>
          <cell r="D21">
            <v>0.17</v>
          </cell>
          <cell r="E21">
            <v>0.18</v>
          </cell>
          <cell r="F21">
            <v>0.18</v>
          </cell>
          <cell r="G21">
            <v>0.18</v>
          </cell>
          <cell r="H21">
            <v>0.18</v>
          </cell>
          <cell r="I21">
            <v>0.18</v>
          </cell>
          <cell r="J21">
            <v>0.18</v>
          </cell>
          <cell r="K21">
            <v>0.17</v>
          </cell>
          <cell r="L21">
            <v>0.17</v>
          </cell>
          <cell r="M21">
            <v>0.18</v>
          </cell>
          <cell r="N21">
            <v>0.18</v>
          </cell>
          <cell r="O21">
            <v>0.17</v>
          </cell>
          <cell r="P21">
            <v>0.17</v>
          </cell>
          <cell r="Q21">
            <v>0.17</v>
          </cell>
          <cell r="R21">
            <v>0.18</v>
          </cell>
          <cell r="S21">
            <v>0.18</v>
          </cell>
          <cell r="T21">
            <v>0.18</v>
          </cell>
          <cell r="U21">
            <v>0.18</v>
          </cell>
          <cell r="V21">
            <v>0.2</v>
          </cell>
          <cell r="W21">
            <v>0.18</v>
          </cell>
          <cell r="X21">
            <v>0.17499999999999999</v>
          </cell>
          <cell r="Y21">
            <v>0.17</v>
          </cell>
          <cell r="Z21">
            <v>0.18</v>
          </cell>
          <cell r="AA21">
            <v>0.17</v>
          </cell>
          <cell r="AB21">
            <v>0.18</v>
          </cell>
          <cell r="AC21">
            <v>0.18</v>
          </cell>
          <cell r="AD21">
            <v>0.18</v>
          </cell>
          <cell r="AF21">
            <v>0</v>
          </cell>
        </row>
        <row r="22">
          <cell r="C22" t="str">
            <v>4418.60.00</v>
          </cell>
          <cell r="D22">
            <v>0.17</v>
          </cell>
          <cell r="E22">
            <v>0.18</v>
          </cell>
          <cell r="F22">
            <v>0.18</v>
          </cell>
          <cell r="G22">
            <v>0.18</v>
          </cell>
          <cell r="H22">
            <v>0.18</v>
          </cell>
          <cell r="I22">
            <v>0.18</v>
          </cell>
          <cell r="J22">
            <v>0.18</v>
          </cell>
          <cell r="K22">
            <v>0.17</v>
          </cell>
          <cell r="L22">
            <v>0.17</v>
          </cell>
          <cell r="M22">
            <v>0.18</v>
          </cell>
          <cell r="N22">
            <v>0.18</v>
          </cell>
          <cell r="O22">
            <v>0.17</v>
          </cell>
          <cell r="P22">
            <v>0.17</v>
          </cell>
          <cell r="Q22">
            <v>0.17</v>
          </cell>
          <cell r="R22">
            <v>0.18</v>
          </cell>
          <cell r="S22">
            <v>0.18</v>
          </cell>
          <cell r="T22">
            <v>0.18</v>
          </cell>
          <cell r="U22">
            <v>0.18</v>
          </cell>
          <cell r="V22">
            <v>0.2</v>
          </cell>
          <cell r="W22">
            <v>0.18</v>
          </cell>
          <cell r="X22">
            <v>0.17499999999999999</v>
          </cell>
          <cell r="Y22">
            <v>0.17</v>
          </cell>
          <cell r="Z22">
            <v>0.18</v>
          </cell>
          <cell r="AA22">
            <v>0.17</v>
          </cell>
          <cell r="AB22">
            <v>0.18</v>
          </cell>
          <cell r="AC22">
            <v>0.18</v>
          </cell>
          <cell r="AD22">
            <v>0.18</v>
          </cell>
          <cell r="AF22">
            <v>0.05</v>
          </cell>
        </row>
        <row r="23">
          <cell r="C23" t="str">
            <v>4819.10.00</v>
          </cell>
          <cell r="D23">
            <v>0.17</v>
          </cell>
          <cell r="E23">
            <v>0.18</v>
          </cell>
          <cell r="F23">
            <v>0.18</v>
          </cell>
          <cell r="G23">
            <v>0.18</v>
          </cell>
          <cell r="H23">
            <v>0.18</v>
          </cell>
          <cell r="I23">
            <v>0.18</v>
          </cell>
          <cell r="J23">
            <v>0.18</v>
          </cell>
          <cell r="K23">
            <v>0.17</v>
          </cell>
          <cell r="L23">
            <v>0.17</v>
          </cell>
          <cell r="M23">
            <v>0.18</v>
          </cell>
          <cell r="N23">
            <v>0.18</v>
          </cell>
          <cell r="O23">
            <v>0.17</v>
          </cell>
          <cell r="P23">
            <v>0.17</v>
          </cell>
          <cell r="Q23">
            <v>0.17</v>
          </cell>
          <cell r="R23">
            <v>0.18</v>
          </cell>
          <cell r="S23">
            <v>0.18</v>
          </cell>
          <cell r="T23">
            <v>0.18</v>
          </cell>
          <cell r="U23">
            <v>0.18</v>
          </cell>
          <cell r="V23">
            <v>0.2</v>
          </cell>
          <cell r="W23">
            <v>0.18</v>
          </cell>
          <cell r="X23">
            <v>0.17499999999999999</v>
          </cell>
          <cell r="Y23">
            <v>0.17</v>
          </cell>
          <cell r="Z23">
            <v>0.18</v>
          </cell>
          <cell r="AA23">
            <v>0.17</v>
          </cell>
          <cell r="AB23">
            <v>0.18</v>
          </cell>
          <cell r="AC23">
            <v>0.18</v>
          </cell>
          <cell r="AD23">
            <v>0.18</v>
          </cell>
          <cell r="AF23">
            <v>0.15</v>
          </cell>
        </row>
        <row r="24">
          <cell r="C24" t="str">
            <v>4821.10.00</v>
          </cell>
          <cell r="D24">
            <v>0.17</v>
          </cell>
          <cell r="E24">
            <v>0.18</v>
          </cell>
          <cell r="F24">
            <v>0.18</v>
          </cell>
          <cell r="G24">
            <v>0.18</v>
          </cell>
          <cell r="H24">
            <v>0.18</v>
          </cell>
          <cell r="I24">
            <v>0.18</v>
          </cell>
          <cell r="J24">
            <v>0.18</v>
          </cell>
          <cell r="K24">
            <v>0.17</v>
          </cell>
          <cell r="L24">
            <v>0.17</v>
          </cell>
          <cell r="M24">
            <v>0.18</v>
          </cell>
          <cell r="N24">
            <v>0.18</v>
          </cell>
          <cell r="O24">
            <v>0.17</v>
          </cell>
          <cell r="P24">
            <v>0.17</v>
          </cell>
          <cell r="Q24">
            <v>0.17</v>
          </cell>
          <cell r="R24">
            <v>0.18</v>
          </cell>
          <cell r="S24">
            <v>0.18</v>
          </cell>
          <cell r="T24">
            <v>0.18</v>
          </cell>
          <cell r="U24">
            <v>0.18</v>
          </cell>
          <cell r="V24">
            <v>0.2</v>
          </cell>
          <cell r="W24">
            <v>0.18</v>
          </cell>
          <cell r="X24">
            <v>0.17499999999999999</v>
          </cell>
          <cell r="Y24">
            <v>0.17</v>
          </cell>
          <cell r="Z24">
            <v>0.18</v>
          </cell>
          <cell r="AA24">
            <v>0.17</v>
          </cell>
          <cell r="AB24">
            <v>0.18</v>
          </cell>
          <cell r="AC24">
            <v>0.18</v>
          </cell>
          <cell r="AD24">
            <v>0.18</v>
          </cell>
          <cell r="AF24">
            <v>0</v>
          </cell>
        </row>
        <row r="25">
          <cell r="C25" t="str">
            <v>4901.10.00</v>
          </cell>
          <cell r="D25">
            <v>0.17</v>
          </cell>
          <cell r="E25">
            <v>0.18</v>
          </cell>
          <cell r="F25">
            <v>0.18</v>
          </cell>
          <cell r="G25">
            <v>0.18</v>
          </cell>
          <cell r="H25">
            <v>0.18</v>
          </cell>
          <cell r="I25">
            <v>0.18</v>
          </cell>
          <cell r="J25">
            <v>0.18</v>
          </cell>
          <cell r="K25">
            <v>0.17</v>
          </cell>
          <cell r="L25">
            <v>0.17</v>
          </cell>
          <cell r="M25">
            <v>0.18</v>
          </cell>
          <cell r="N25">
            <v>0.18</v>
          </cell>
          <cell r="O25">
            <v>0.17</v>
          </cell>
          <cell r="P25">
            <v>0.17</v>
          </cell>
          <cell r="Q25">
            <v>0.17</v>
          </cell>
          <cell r="R25">
            <v>0.18</v>
          </cell>
          <cell r="S25">
            <v>0.18</v>
          </cell>
          <cell r="T25">
            <v>0.18</v>
          </cell>
          <cell r="U25">
            <v>0.18</v>
          </cell>
          <cell r="V25">
            <v>0.2</v>
          </cell>
          <cell r="W25">
            <v>0.18</v>
          </cell>
          <cell r="X25">
            <v>0.17499999999999999</v>
          </cell>
          <cell r="Y25">
            <v>0.17</v>
          </cell>
          <cell r="Z25">
            <v>0.18</v>
          </cell>
          <cell r="AA25">
            <v>0.17</v>
          </cell>
          <cell r="AB25">
            <v>0.18</v>
          </cell>
          <cell r="AC25">
            <v>0.18</v>
          </cell>
          <cell r="AD25">
            <v>0.18</v>
          </cell>
          <cell r="AF25">
            <v>0</v>
          </cell>
        </row>
        <row r="26">
          <cell r="C26" t="str">
            <v>4901.99.00</v>
          </cell>
          <cell r="D26">
            <v>0.17</v>
          </cell>
          <cell r="E26">
            <v>0.18</v>
          </cell>
          <cell r="F26">
            <v>0.18</v>
          </cell>
          <cell r="G26">
            <v>0.18</v>
          </cell>
          <cell r="H26">
            <v>0.18</v>
          </cell>
          <cell r="I26">
            <v>0.18</v>
          </cell>
          <cell r="J26">
            <v>0.18</v>
          </cell>
          <cell r="K26">
            <v>0.17</v>
          </cell>
          <cell r="L26">
            <v>0.17</v>
          </cell>
          <cell r="M26">
            <v>0.18</v>
          </cell>
          <cell r="N26">
            <v>0.18</v>
          </cell>
          <cell r="O26">
            <v>0.17</v>
          </cell>
          <cell r="P26">
            <v>0.17</v>
          </cell>
          <cell r="Q26">
            <v>0.17</v>
          </cell>
          <cell r="R26">
            <v>0.18</v>
          </cell>
          <cell r="S26">
            <v>0.18</v>
          </cell>
          <cell r="T26">
            <v>0.18</v>
          </cell>
          <cell r="U26">
            <v>0.18</v>
          </cell>
          <cell r="V26">
            <v>0.2</v>
          </cell>
          <cell r="W26">
            <v>0.18</v>
          </cell>
          <cell r="X26">
            <v>0.17499999999999999</v>
          </cell>
          <cell r="Y26">
            <v>0.17</v>
          </cell>
          <cell r="Z26">
            <v>0.18</v>
          </cell>
          <cell r="AA26">
            <v>0.17</v>
          </cell>
          <cell r="AB26">
            <v>0.18</v>
          </cell>
          <cell r="AC26">
            <v>0.18</v>
          </cell>
          <cell r="AD26">
            <v>0.18</v>
          </cell>
          <cell r="AF26">
            <v>0</v>
          </cell>
        </row>
        <row r="27">
          <cell r="C27" t="str">
            <v>4911.99.00</v>
          </cell>
          <cell r="D27">
            <v>0.17</v>
          </cell>
          <cell r="E27">
            <v>0.18</v>
          </cell>
          <cell r="F27">
            <v>0.18</v>
          </cell>
          <cell r="G27">
            <v>0.18</v>
          </cell>
          <cell r="H27">
            <v>0.18</v>
          </cell>
          <cell r="I27">
            <v>0.18</v>
          </cell>
          <cell r="J27">
            <v>0.18</v>
          </cell>
          <cell r="K27">
            <v>0.17</v>
          </cell>
          <cell r="L27">
            <v>0.17</v>
          </cell>
          <cell r="M27">
            <v>0.18</v>
          </cell>
          <cell r="N27">
            <v>0.18</v>
          </cell>
          <cell r="O27">
            <v>0.17</v>
          </cell>
          <cell r="P27">
            <v>0.17</v>
          </cell>
          <cell r="Q27">
            <v>0.17</v>
          </cell>
          <cell r="R27">
            <v>0.18</v>
          </cell>
          <cell r="S27">
            <v>0.18</v>
          </cell>
          <cell r="T27">
            <v>0.18</v>
          </cell>
          <cell r="U27">
            <v>0.18</v>
          </cell>
          <cell r="V27">
            <v>0.2</v>
          </cell>
          <cell r="W27">
            <v>0.18</v>
          </cell>
          <cell r="X27">
            <v>0.17499999999999999</v>
          </cell>
          <cell r="Y27">
            <v>0.17</v>
          </cell>
          <cell r="Z27">
            <v>0.18</v>
          </cell>
          <cell r="AA27">
            <v>0.17</v>
          </cell>
          <cell r="AB27">
            <v>0.18</v>
          </cell>
          <cell r="AC27">
            <v>0.18</v>
          </cell>
          <cell r="AD27">
            <v>0.18</v>
          </cell>
          <cell r="AF27">
            <v>0</v>
          </cell>
        </row>
        <row r="28">
          <cell r="C28" t="str">
            <v>5806.32.00</v>
          </cell>
          <cell r="D28">
            <v>0.17</v>
          </cell>
          <cell r="E28">
            <v>0.18</v>
          </cell>
          <cell r="F28">
            <v>0.18</v>
          </cell>
          <cell r="G28">
            <v>0.18</v>
          </cell>
          <cell r="H28">
            <v>0.18</v>
          </cell>
          <cell r="I28">
            <v>0.18</v>
          </cell>
          <cell r="J28">
            <v>0.18</v>
          </cell>
          <cell r="K28">
            <v>0.17</v>
          </cell>
          <cell r="L28">
            <v>0.17</v>
          </cell>
          <cell r="M28">
            <v>0.18</v>
          </cell>
          <cell r="N28">
            <v>0.18</v>
          </cell>
          <cell r="O28">
            <v>0.17</v>
          </cell>
          <cell r="P28">
            <v>0.17</v>
          </cell>
          <cell r="Q28">
            <v>0.17</v>
          </cell>
          <cell r="R28">
            <v>0.18</v>
          </cell>
          <cell r="S28">
            <v>0.18</v>
          </cell>
          <cell r="T28">
            <v>0.18</v>
          </cell>
          <cell r="U28">
            <v>0.18</v>
          </cell>
          <cell r="V28">
            <v>0.2</v>
          </cell>
          <cell r="W28">
            <v>0.18</v>
          </cell>
          <cell r="X28">
            <v>0.17499999999999999</v>
          </cell>
          <cell r="Y28">
            <v>0.17</v>
          </cell>
          <cell r="Z28">
            <v>0.18</v>
          </cell>
          <cell r="AA28">
            <v>0.17</v>
          </cell>
          <cell r="AB28">
            <v>0.18</v>
          </cell>
          <cell r="AC28">
            <v>0.18</v>
          </cell>
          <cell r="AD28">
            <v>0.18</v>
          </cell>
          <cell r="AF28">
            <v>0</v>
          </cell>
        </row>
        <row r="29">
          <cell r="C29" t="str">
            <v>6810.11.00</v>
          </cell>
          <cell r="D29">
            <v>0.17</v>
          </cell>
          <cell r="E29">
            <v>0.18</v>
          </cell>
          <cell r="F29">
            <v>0.18</v>
          </cell>
          <cell r="G29">
            <v>0.18</v>
          </cell>
          <cell r="H29">
            <v>0.18</v>
          </cell>
          <cell r="I29">
            <v>0.18</v>
          </cell>
          <cell r="J29">
            <v>0.18</v>
          </cell>
          <cell r="K29">
            <v>0.17</v>
          </cell>
          <cell r="L29">
            <v>0.17</v>
          </cell>
          <cell r="M29">
            <v>0.18</v>
          </cell>
          <cell r="N29">
            <v>0.18</v>
          </cell>
          <cell r="O29">
            <v>0.17</v>
          </cell>
          <cell r="P29">
            <v>0.17</v>
          </cell>
          <cell r="Q29">
            <v>0.17</v>
          </cell>
          <cell r="R29">
            <v>0.18</v>
          </cell>
          <cell r="S29">
            <v>0.18</v>
          </cell>
          <cell r="T29">
            <v>0.18</v>
          </cell>
          <cell r="U29">
            <v>0.18</v>
          </cell>
          <cell r="V29">
            <v>0.2</v>
          </cell>
          <cell r="W29">
            <v>0.18</v>
          </cell>
          <cell r="X29">
            <v>0.17499999999999999</v>
          </cell>
          <cell r="Y29">
            <v>0.17</v>
          </cell>
          <cell r="Z29">
            <v>0.18</v>
          </cell>
          <cell r="AA29">
            <v>0.17</v>
          </cell>
          <cell r="AB29">
            <v>0.18</v>
          </cell>
          <cell r="AC29">
            <v>0.18</v>
          </cell>
          <cell r="AD29">
            <v>0.18</v>
          </cell>
          <cell r="AF29">
            <v>0</v>
          </cell>
        </row>
        <row r="30">
          <cell r="C30" t="str">
            <v>6810.91.00</v>
          </cell>
          <cell r="D30">
            <v>0.17</v>
          </cell>
          <cell r="E30">
            <v>0.18</v>
          </cell>
          <cell r="F30">
            <v>0.18</v>
          </cell>
          <cell r="G30">
            <v>0.18</v>
          </cell>
          <cell r="H30">
            <v>0.18</v>
          </cell>
          <cell r="I30">
            <v>0.18</v>
          </cell>
          <cell r="J30">
            <v>0.18</v>
          </cell>
          <cell r="K30">
            <v>0.17</v>
          </cell>
          <cell r="L30">
            <v>0.17</v>
          </cell>
          <cell r="M30">
            <v>0.18</v>
          </cell>
          <cell r="N30">
            <v>0.18</v>
          </cell>
          <cell r="O30">
            <v>0.17</v>
          </cell>
          <cell r="P30">
            <v>0.17</v>
          </cell>
          <cell r="Q30">
            <v>0.17</v>
          </cell>
          <cell r="R30">
            <v>0.18</v>
          </cell>
          <cell r="S30">
            <v>0.18</v>
          </cell>
          <cell r="T30">
            <v>0.18</v>
          </cell>
          <cell r="U30">
            <v>0.18</v>
          </cell>
          <cell r="V30">
            <v>0.2</v>
          </cell>
          <cell r="W30">
            <v>0.18</v>
          </cell>
          <cell r="X30">
            <v>0.17499999999999999</v>
          </cell>
          <cell r="Y30">
            <v>0.17</v>
          </cell>
          <cell r="Z30">
            <v>0.18</v>
          </cell>
          <cell r="AA30">
            <v>0.17</v>
          </cell>
          <cell r="AB30">
            <v>0.18</v>
          </cell>
          <cell r="AC30">
            <v>0.18</v>
          </cell>
          <cell r="AD30">
            <v>0.18</v>
          </cell>
          <cell r="AF30">
            <v>0</v>
          </cell>
        </row>
        <row r="31">
          <cell r="C31" t="str">
            <v>6810.99.00</v>
          </cell>
          <cell r="D31">
            <v>0.17</v>
          </cell>
          <cell r="E31">
            <v>0.18</v>
          </cell>
          <cell r="F31">
            <v>0.18</v>
          </cell>
          <cell r="G31">
            <v>0.18</v>
          </cell>
          <cell r="H31">
            <v>0.18</v>
          </cell>
          <cell r="I31">
            <v>0.18</v>
          </cell>
          <cell r="J31">
            <v>0.18</v>
          </cell>
          <cell r="K31">
            <v>0.17</v>
          </cell>
          <cell r="L31">
            <v>0.17</v>
          </cell>
          <cell r="M31">
            <v>0.18</v>
          </cell>
          <cell r="N31">
            <v>0.18</v>
          </cell>
          <cell r="O31">
            <v>0.17</v>
          </cell>
          <cell r="P31">
            <v>0.17</v>
          </cell>
          <cell r="Q31">
            <v>0.17</v>
          </cell>
          <cell r="R31">
            <v>0.18</v>
          </cell>
          <cell r="S31">
            <v>0.18</v>
          </cell>
          <cell r="T31">
            <v>0.18</v>
          </cell>
          <cell r="U31">
            <v>0.18</v>
          </cell>
          <cell r="V31">
            <v>0.2</v>
          </cell>
          <cell r="W31">
            <v>0.18</v>
          </cell>
          <cell r="X31">
            <v>0.17499999999999999</v>
          </cell>
          <cell r="Y31">
            <v>0.17</v>
          </cell>
          <cell r="Z31">
            <v>0.18</v>
          </cell>
          <cell r="AA31">
            <v>0.17</v>
          </cell>
          <cell r="AB31">
            <v>0.18</v>
          </cell>
          <cell r="AC31">
            <v>0.18</v>
          </cell>
          <cell r="AD31">
            <v>0.18</v>
          </cell>
          <cell r="AF31">
            <v>0</v>
          </cell>
        </row>
        <row r="32">
          <cell r="C32" t="str">
            <v>7207.11.90</v>
          </cell>
          <cell r="D32">
            <v>0.17</v>
          </cell>
          <cell r="E32">
            <v>0.17</v>
          </cell>
          <cell r="F32">
            <v>0.18</v>
          </cell>
          <cell r="G32">
            <v>0.18</v>
          </cell>
          <cell r="H32">
            <v>0.18</v>
          </cell>
          <cell r="I32">
            <v>0.18</v>
          </cell>
          <cell r="J32">
            <v>0.18</v>
          </cell>
          <cell r="K32">
            <v>0.17</v>
          </cell>
          <cell r="L32">
            <v>0.17</v>
          </cell>
          <cell r="M32">
            <v>0.18</v>
          </cell>
          <cell r="N32">
            <v>0.18</v>
          </cell>
          <cell r="O32">
            <v>0.17</v>
          </cell>
          <cell r="P32">
            <v>0.17</v>
          </cell>
          <cell r="Q32">
            <v>0.17</v>
          </cell>
          <cell r="R32">
            <v>0.18</v>
          </cell>
          <cell r="S32">
            <v>0.18</v>
          </cell>
          <cell r="T32">
            <v>0.18</v>
          </cell>
          <cell r="U32">
            <v>0.18</v>
          </cell>
          <cell r="V32">
            <v>0.18</v>
          </cell>
          <cell r="W32">
            <v>0.18</v>
          </cell>
          <cell r="X32">
            <v>0.17499999999999999</v>
          </cell>
          <cell r="Y32">
            <v>0.17</v>
          </cell>
          <cell r="Z32">
            <v>0.18</v>
          </cell>
          <cell r="AA32">
            <v>0.17</v>
          </cell>
          <cell r="AB32">
            <v>0.18</v>
          </cell>
          <cell r="AC32">
            <v>0.18</v>
          </cell>
          <cell r="AD32">
            <v>0.18</v>
          </cell>
          <cell r="AF32">
            <v>0</v>
          </cell>
        </row>
        <row r="33">
          <cell r="C33" t="str">
            <v>7020.00.90</v>
          </cell>
          <cell r="D33">
            <v>0.17</v>
          </cell>
          <cell r="E33">
            <v>0.18</v>
          </cell>
          <cell r="F33">
            <v>0.18</v>
          </cell>
          <cell r="G33">
            <v>0.18</v>
          </cell>
          <cell r="H33">
            <v>0.18</v>
          </cell>
          <cell r="I33">
            <v>0.18</v>
          </cell>
          <cell r="J33">
            <v>0.18</v>
          </cell>
          <cell r="K33">
            <v>0.17</v>
          </cell>
          <cell r="L33">
            <v>0.17</v>
          </cell>
          <cell r="M33">
            <v>0.18</v>
          </cell>
          <cell r="N33">
            <v>0.18</v>
          </cell>
          <cell r="O33">
            <v>0.17</v>
          </cell>
          <cell r="P33">
            <v>0.17</v>
          </cell>
          <cell r="Q33">
            <v>0.17</v>
          </cell>
          <cell r="R33">
            <v>0.18</v>
          </cell>
          <cell r="S33">
            <v>0.18</v>
          </cell>
          <cell r="T33">
            <v>0.18</v>
          </cell>
          <cell r="U33">
            <v>0.18</v>
          </cell>
          <cell r="V33">
            <v>0.2</v>
          </cell>
          <cell r="W33">
            <v>0.18</v>
          </cell>
          <cell r="X33">
            <v>0.17499999999999999</v>
          </cell>
          <cell r="Y33">
            <v>0.17</v>
          </cell>
          <cell r="Z33">
            <v>0.18</v>
          </cell>
          <cell r="AA33">
            <v>0.17</v>
          </cell>
          <cell r="AB33">
            <v>0.18</v>
          </cell>
          <cell r="AC33">
            <v>0.18</v>
          </cell>
          <cell r="AD33">
            <v>0.18</v>
          </cell>
          <cell r="AF33">
            <v>0.15</v>
          </cell>
        </row>
        <row r="34">
          <cell r="C34" t="str">
            <v>7210.30.10</v>
          </cell>
          <cell r="D34">
            <v>0.17</v>
          </cell>
          <cell r="E34">
            <v>0.18</v>
          </cell>
          <cell r="F34">
            <v>0.18</v>
          </cell>
          <cell r="G34">
            <v>0.18</v>
          </cell>
          <cell r="H34">
            <v>0.18</v>
          </cell>
          <cell r="I34">
            <v>0.18</v>
          </cell>
          <cell r="J34">
            <v>0.18</v>
          </cell>
          <cell r="K34">
            <v>0.17</v>
          </cell>
          <cell r="L34">
            <v>0.17</v>
          </cell>
          <cell r="M34">
            <v>0.18</v>
          </cell>
          <cell r="N34">
            <v>0.18</v>
          </cell>
          <cell r="O34">
            <v>0.17</v>
          </cell>
          <cell r="P34">
            <v>0.17</v>
          </cell>
          <cell r="Q34">
            <v>0.17</v>
          </cell>
          <cell r="R34">
            <v>0.18</v>
          </cell>
          <cell r="S34">
            <v>0.18</v>
          </cell>
          <cell r="T34">
            <v>0.18</v>
          </cell>
          <cell r="U34">
            <v>0.18</v>
          </cell>
          <cell r="V34">
            <v>0.2</v>
          </cell>
          <cell r="W34">
            <v>0.18</v>
          </cell>
          <cell r="X34">
            <v>0.17499999999999999</v>
          </cell>
          <cell r="Y34">
            <v>0.17</v>
          </cell>
          <cell r="Z34">
            <v>0.18</v>
          </cell>
          <cell r="AA34">
            <v>0.17</v>
          </cell>
          <cell r="AB34">
            <v>0.18</v>
          </cell>
          <cell r="AC34">
            <v>0.18</v>
          </cell>
          <cell r="AD34">
            <v>0.18</v>
          </cell>
          <cell r="AF34">
            <v>0.05</v>
          </cell>
        </row>
        <row r="35">
          <cell r="C35" t="str">
            <v>7216.50.00</v>
          </cell>
          <cell r="D35">
            <v>0.17</v>
          </cell>
          <cell r="E35">
            <v>0.18</v>
          </cell>
          <cell r="F35">
            <v>0.18</v>
          </cell>
          <cell r="G35">
            <v>0.18</v>
          </cell>
          <cell r="H35">
            <v>0.18</v>
          </cell>
          <cell r="I35">
            <v>0.18</v>
          </cell>
          <cell r="J35">
            <v>0.18</v>
          </cell>
          <cell r="K35">
            <v>0.17</v>
          </cell>
          <cell r="L35">
            <v>0.17</v>
          </cell>
          <cell r="M35">
            <v>0.18</v>
          </cell>
          <cell r="N35">
            <v>0.18</v>
          </cell>
          <cell r="O35">
            <v>0.17</v>
          </cell>
          <cell r="P35">
            <v>0.17</v>
          </cell>
          <cell r="Q35">
            <v>0.17</v>
          </cell>
          <cell r="R35">
            <v>0.18</v>
          </cell>
          <cell r="S35">
            <v>0.18</v>
          </cell>
          <cell r="T35">
            <v>0.18</v>
          </cell>
          <cell r="U35">
            <v>0.18</v>
          </cell>
          <cell r="V35">
            <v>0.2</v>
          </cell>
          <cell r="W35">
            <v>0.18</v>
          </cell>
          <cell r="X35">
            <v>0.17499999999999999</v>
          </cell>
          <cell r="Y35">
            <v>0.17</v>
          </cell>
          <cell r="Z35">
            <v>0.18</v>
          </cell>
          <cell r="AA35">
            <v>0.17</v>
          </cell>
          <cell r="AB35">
            <v>0.18</v>
          </cell>
          <cell r="AC35">
            <v>0.18</v>
          </cell>
          <cell r="AD35">
            <v>0.18</v>
          </cell>
          <cell r="AF35">
            <v>0</v>
          </cell>
        </row>
        <row r="36">
          <cell r="C36" t="str">
            <v>7306.30.00</v>
          </cell>
          <cell r="D36">
            <v>0.17</v>
          </cell>
          <cell r="E36">
            <v>0.18</v>
          </cell>
          <cell r="F36">
            <v>0.18</v>
          </cell>
          <cell r="G36">
            <v>0.18</v>
          </cell>
          <cell r="H36">
            <v>0.18</v>
          </cell>
          <cell r="I36">
            <v>0.18</v>
          </cell>
          <cell r="J36">
            <v>0.18</v>
          </cell>
          <cell r="K36">
            <v>0.17</v>
          </cell>
          <cell r="L36">
            <v>0.17</v>
          </cell>
          <cell r="M36">
            <v>0.18</v>
          </cell>
          <cell r="N36">
            <v>0.18</v>
          </cell>
          <cell r="O36">
            <v>0.17</v>
          </cell>
          <cell r="P36">
            <v>0.17</v>
          </cell>
          <cell r="Q36">
            <v>0.17</v>
          </cell>
          <cell r="R36">
            <v>0.18</v>
          </cell>
          <cell r="S36">
            <v>0.18</v>
          </cell>
          <cell r="T36">
            <v>0.18</v>
          </cell>
          <cell r="U36">
            <v>0.18</v>
          </cell>
          <cell r="V36">
            <v>0.2</v>
          </cell>
          <cell r="W36">
            <v>0.18</v>
          </cell>
          <cell r="X36">
            <v>0.17499999999999999</v>
          </cell>
          <cell r="Y36">
            <v>0.17</v>
          </cell>
          <cell r="Z36">
            <v>0.18</v>
          </cell>
          <cell r="AA36">
            <v>0.17</v>
          </cell>
          <cell r="AB36">
            <v>0.18</v>
          </cell>
          <cell r="AC36">
            <v>0.18</v>
          </cell>
          <cell r="AD36">
            <v>0.18</v>
          </cell>
          <cell r="AF36">
            <v>0.05</v>
          </cell>
        </row>
        <row r="37">
          <cell r="C37" t="str">
            <v>7306.61.00</v>
          </cell>
          <cell r="D37">
            <v>0.17</v>
          </cell>
          <cell r="E37">
            <v>0.18</v>
          </cell>
          <cell r="F37">
            <v>0.18</v>
          </cell>
          <cell r="G37">
            <v>0.18</v>
          </cell>
          <cell r="H37">
            <v>0.18</v>
          </cell>
          <cell r="I37">
            <v>0.18</v>
          </cell>
          <cell r="J37">
            <v>0.18</v>
          </cell>
          <cell r="K37">
            <v>0.17</v>
          </cell>
          <cell r="L37">
            <v>0.17</v>
          </cell>
          <cell r="M37">
            <v>0.18</v>
          </cell>
          <cell r="N37">
            <v>0.18</v>
          </cell>
          <cell r="O37">
            <v>0.17</v>
          </cell>
          <cell r="P37">
            <v>0.17</v>
          </cell>
          <cell r="Q37">
            <v>0.17</v>
          </cell>
          <cell r="R37">
            <v>0.18</v>
          </cell>
          <cell r="S37">
            <v>0.18</v>
          </cell>
          <cell r="T37">
            <v>0.18</v>
          </cell>
          <cell r="U37">
            <v>0.18</v>
          </cell>
          <cell r="V37">
            <v>0.2</v>
          </cell>
          <cell r="W37">
            <v>0.18</v>
          </cell>
          <cell r="X37">
            <v>0.17499999999999999</v>
          </cell>
          <cell r="Y37">
            <v>0.17</v>
          </cell>
          <cell r="Z37">
            <v>0.18</v>
          </cell>
          <cell r="AA37">
            <v>0.17</v>
          </cell>
          <cell r="AB37">
            <v>0.18</v>
          </cell>
          <cell r="AC37">
            <v>0.18</v>
          </cell>
          <cell r="AD37">
            <v>0.18</v>
          </cell>
          <cell r="AF37">
            <v>0.05</v>
          </cell>
        </row>
        <row r="38">
          <cell r="C38" t="str">
            <v>7307.19.20</v>
          </cell>
          <cell r="D38">
            <v>0.17</v>
          </cell>
          <cell r="E38">
            <v>0.18</v>
          </cell>
          <cell r="F38">
            <v>0.18</v>
          </cell>
          <cell r="G38">
            <v>0.18</v>
          </cell>
          <cell r="H38">
            <v>0.18</v>
          </cell>
          <cell r="I38">
            <v>0.18</v>
          </cell>
          <cell r="J38">
            <v>0.18</v>
          </cell>
          <cell r="K38">
            <v>0.17</v>
          </cell>
          <cell r="L38">
            <v>0.17</v>
          </cell>
          <cell r="M38">
            <v>0.18</v>
          </cell>
          <cell r="N38">
            <v>0.18</v>
          </cell>
          <cell r="O38">
            <v>0.17</v>
          </cell>
          <cell r="P38">
            <v>0.17</v>
          </cell>
          <cell r="Q38">
            <v>0.17</v>
          </cell>
          <cell r="R38">
            <v>0.18</v>
          </cell>
          <cell r="S38">
            <v>0.18</v>
          </cell>
          <cell r="T38">
            <v>0.18</v>
          </cell>
          <cell r="U38">
            <v>0.18</v>
          </cell>
          <cell r="V38">
            <v>0.2</v>
          </cell>
          <cell r="W38">
            <v>0.18</v>
          </cell>
          <cell r="X38">
            <v>0.17499999999999999</v>
          </cell>
          <cell r="Y38">
            <v>0.17</v>
          </cell>
          <cell r="Z38">
            <v>0.18</v>
          </cell>
          <cell r="AA38">
            <v>0.17</v>
          </cell>
          <cell r="AB38">
            <v>0.18</v>
          </cell>
          <cell r="AC38">
            <v>0.18</v>
          </cell>
          <cell r="AD38">
            <v>0.18</v>
          </cell>
          <cell r="AF38">
            <v>0.05</v>
          </cell>
        </row>
        <row r="39">
          <cell r="C39" t="str">
            <v>7307.92.00</v>
          </cell>
          <cell r="D39">
            <v>0.17</v>
          </cell>
          <cell r="E39">
            <v>0.18</v>
          </cell>
          <cell r="F39">
            <v>0.18</v>
          </cell>
          <cell r="G39">
            <v>0.18</v>
          </cell>
          <cell r="H39">
            <v>0.18</v>
          </cell>
          <cell r="I39">
            <v>0.18</v>
          </cell>
          <cell r="J39">
            <v>0.18</v>
          </cell>
          <cell r="K39">
            <v>0.17</v>
          </cell>
          <cell r="L39">
            <v>0.17</v>
          </cell>
          <cell r="M39">
            <v>0.18</v>
          </cell>
          <cell r="N39">
            <v>0.18</v>
          </cell>
          <cell r="O39">
            <v>0.17</v>
          </cell>
          <cell r="P39">
            <v>0.17</v>
          </cell>
          <cell r="Q39">
            <v>0.17</v>
          </cell>
          <cell r="R39">
            <v>0.18</v>
          </cell>
          <cell r="S39">
            <v>0.18</v>
          </cell>
          <cell r="T39">
            <v>0.18</v>
          </cell>
          <cell r="U39">
            <v>0.18</v>
          </cell>
          <cell r="V39">
            <v>0.2</v>
          </cell>
          <cell r="W39">
            <v>0.18</v>
          </cell>
          <cell r="X39">
            <v>0.17499999999999999</v>
          </cell>
          <cell r="Y39">
            <v>0.17</v>
          </cell>
          <cell r="Z39">
            <v>0.18</v>
          </cell>
          <cell r="AA39">
            <v>0.17</v>
          </cell>
          <cell r="AB39">
            <v>0.18</v>
          </cell>
          <cell r="AC39">
            <v>0.18</v>
          </cell>
          <cell r="AD39">
            <v>0.18</v>
          </cell>
          <cell r="AF39">
            <v>0.05</v>
          </cell>
        </row>
        <row r="40">
          <cell r="C40" t="str">
            <v>7307.99.00</v>
          </cell>
          <cell r="D40">
            <v>0.17</v>
          </cell>
          <cell r="E40">
            <v>0.18</v>
          </cell>
          <cell r="F40">
            <v>0.18</v>
          </cell>
          <cell r="G40">
            <v>0.18</v>
          </cell>
          <cell r="H40">
            <v>0.18</v>
          </cell>
          <cell r="I40">
            <v>0.18</v>
          </cell>
          <cell r="J40">
            <v>0.18</v>
          </cell>
          <cell r="K40">
            <v>0.17</v>
          </cell>
          <cell r="L40">
            <v>0.17</v>
          </cell>
          <cell r="M40">
            <v>0.18</v>
          </cell>
          <cell r="N40">
            <v>0.18</v>
          </cell>
          <cell r="O40">
            <v>0.17</v>
          </cell>
          <cell r="P40">
            <v>0.17</v>
          </cell>
          <cell r="Q40">
            <v>0.17</v>
          </cell>
          <cell r="R40">
            <v>0.18</v>
          </cell>
          <cell r="S40">
            <v>0.18</v>
          </cell>
          <cell r="T40">
            <v>0.18</v>
          </cell>
          <cell r="U40">
            <v>0.18</v>
          </cell>
          <cell r="V40">
            <v>0.2</v>
          </cell>
          <cell r="W40">
            <v>0.18</v>
          </cell>
          <cell r="X40">
            <v>0.17499999999999999</v>
          </cell>
          <cell r="Y40">
            <v>0.17</v>
          </cell>
          <cell r="Z40">
            <v>0.18</v>
          </cell>
          <cell r="AA40">
            <v>0.17</v>
          </cell>
          <cell r="AB40">
            <v>0.18</v>
          </cell>
          <cell r="AC40">
            <v>0.18</v>
          </cell>
          <cell r="AD40">
            <v>0.18</v>
          </cell>
          <cell r="AF40">
            <v>0.05</v>
          </cell>
        </row>
        <row r="41">
          <cell r="C41" t="str">
            <v>7308.20.00</v>
          </cell>
          <cell r="D41">
            <v>0.17</v>
          </cell>
          <cell r="E41">
            <v>0.18</v>
          </cell>
          <cell r="F41">
            <v>0.18</v>
          </cell>
          <cell r="G41">
            <v>0.18</v>
          </cell>
          <cell r="H41">
            <v>0.18</v>
          </cell>
          <cell r="I41">
            <v>0.18</v>
          </cell>
          <cell r="J41">
            <v>0.18</v>
          </cell>
          <cell r="K41">
            <v>0.17</v>
          </cell>
          <cell r="L41">
            <v>0.17</v>
          </cell>
          <cell r="M41">
            <v>0.18</v>
          </cell>
          <cell r="N41">
            <v>0.18</v>
          </cell>
          <cell r="O41">
            <v>0.17</v>
          </cell>
          <cell r="P41">
            <v>0.17</v>
          </cell>
          <cell r="Q41">
            <v>0.17</v>
          </cell>
          <cell r="R41">
            <v>0.18</v>
          </cell>
          <cell r="S41">
            <v>0.18</v>
          </cell>
          <cell r="T41">
            <v>0.18</v>
          </cell>
          <cell r="U41">
            <v>0.18</v>
          </cell>
          <cell r="V41">
            <v>0.2</v>
          </cell>
          <cell r="W41">
            <v>0.18</v>
          </cell>
          <cell r="X41">
            <v>0.17499999999999999</v>
          </cell>
          <cell r="Y41">
            <v>0.17</v>
          </cell>
          <cell r="Z41">
            <v>0.18</v>
          </cell>
          <cell r="AA41">
            <v>0.17</v>
          </cell>
          <cell r="AB41">
            <v>0.18</v>
          </cell>
          <cell r="AC41">
            <v>0.18</v>
          </cell>
          <cell r="AD41">
            <v>0.18</v>
          </cell>
          <cell r="AF41">
            <v>0</v>
          </cell>
        </row>
        <row r="42">
          <cell r="C42" t="str">
            <v>7308.90.10</v>
          </cell>
          <cell r="D42">
            <v>0.17</v>
          </cell>
          <cell r="E42">
            <v>0.18</v>
          </cell>
          <cell r="F42">
            <v>0.18</v>
          </cell>
          <cell r="G42">
            <v>0.18</v>
          </cell>
          <cell r="H42">
            <v>0.18</v>
          </cell>
          <cell r="I42">
            <v>0.18</v>
          </cell>
          <cell r="J42">
            <v>0.18</v>
          </cell>
          <cell r="K42">
            <v>0.17</v>
          </cell>
          <cell r="L42">
            <v>0.17</v>
          </cell>
          <cell r="M42">
            <v>0.18</v>
          </cell>
          <cell r="N42">
            <v>0.18</v>
          </cell>
          <cell r="O42">
            <v>0.17</v>
          </cell>
          <cell r="P42">
            <v>0.17</v>
          </cell>
          <cell r="Q42">
            <v>0.17</v>
          </cell>
          <cell r="R42">
            <v>0.18</v>
          </cell>
          <cell r="S42">
            <v>0.18</v>
          </cell>
          <cell r="T42">
            <v>0.18</v>
          </cell>
          <cell r="U42">
            <v>0.18</v>
          </cell>
          <cell r="V42">
            <v>0.2</v>
          </cell>
          <cell r="W42">
            <v>0.18</v>
          </cell>
          <cell r="X42">
            <v>0.17499999999999999</v>
          </cell>
          <cell r="Y42">
            <v>0.17</v>
          </cell>
          <cell r="Z42">
            <v>0.18</v>
          </cell>
          <cell r="AA42">
            <v>0.17</v>
          </cell>
          <cell r="AB42">
            <v>0.18</v>
          </cell>
          <cell r="AC42">
            <v>0.18</v>
          </cell>
          <cell r="AD42">
            <v>0.18</v>
          </cell>
          <cell r="AF42">
            <v>0</v>
          </cell>
        </row>
        <row r="43">
          <cell r="C43" t="str">
            <v>7308.90.90</v>
          </cell>
          <cell r="D43">
            <v>0.17</v>
          </cell>
          <cell r="E43">
            <v>0.18</v>
          </cell>
          <cell r="F43">
            <v>0.18</v>
          </cell>
          <cell r="G43">
            <v>0.18</v>
          </cell>
          <cell r="H43">
            <v>0.18</v>
          </cell>
          <cell r="I43">
            <v>0.18</v>
          </cell>
          <cell r="J43">
            <v>0.18</v>
          </cell>
          <cell r="K43">
            <v>0.17</v>
          </cell>
          <cell r="L43">
            <v>0.17</v>
          </cell>
          <cell r="M43">
            <v>0.18</v>
          </cell>
          <cell r="N43">
            <v>0.18</v>
          </cell>
          <cell r="O43">
            <v>0.17</v>
          </cell>
          <cell r="P43">
            <v>0.17</v>
          </cell>
          <cell r="Q43">
            <v>0.17</v>
          </cell>
          <cell r="R43">
            <v>0.18</v>
          </cell>
          <cell r="S43">
            <v>0.18</v>
          </cell>
          <cell r="T43">
            <v>0.18</v>
          </cell>
          <cell r="U43">
            <v>0.18</v>
          </cell>
          <cell r="V43">
            <v>0.2</v>
          </cell>
          <cell r="W43">
            <v>0.18</v>
          </cell>
          <cell r="X43">
            <v>0.17499999999999999</v>
          </cell>
          <cell r="Y43">
            <v>0.17</v>
          </cell>
          <cell r="Z43">
            <v>0.18</v>
          </cell>
          <cell r="AA43">
            <v>0.17</v>
          </cell>
          <cell r="AB43">
            <v>0.18</v>
          </cell>
          <cell r="AC43">
            <v>0.12</v>
          </cell>
          <cell r="AD43">
            <v>0.18</v>
          </cell>
          <cell r="AF43">
            <v>0.05</v>
          </cell>
        </row>
        <row r="44">
          <cell r="C44" t="str">
            <v>7309.00.10</v>
          </cell>
          <cell r="D44">
            <v>0.17</v>
          </cell>
          <cell r="E44">
            <v>0.18</v>
          </cell>
          <cell r="F44">
            <v>0.18</v>
          </cell>
          <cell r="G44">
            <v>0.18</v>
          </cell>
          <cell r="H44">
            <v>0.18</v>
          </cell>
          <cell r="I44">
            <v>0.18</v>
          </cell>
          <cell r="J44">
            <v>0.18</v>
          </cell>
          <cell r="K44">
            <v>0.17</v>
          </cell>
          <cell r="L44">
            <v>0.17</v>
          </cell>
          <cell r="M44">
            <v>0.18</v>
          </cell>
          <cell r="N44">
            <v>0.18</v>
          </cell>
          <cell r="O44">
            <v>0.17</v>
          </cell>
          <cell r="P44">
            <v>0.17</v>
          </cell>
          <cell r="Q44">
            <v>0.17</v>
          </cell>
          <cell r="R44">
            <v>0.18</v>
          </cell>
          <cell r="S44">
            <v>0.18</v>
          </cell>
          <cell r="T44">
            <v>0.18</v>
          </cell>
          <cell r="U44">
            <v>0.18</v>
          </cell>
          <cell r="V44">
            <v>0.2</v>
          </cell>
          <cell r="W44">
            <v>0.18</v>
          </cell>
          <cell r="X44">
            <v>0.17499999999999999</v>
          </cell>
          <cell r="Y44">
            <v>0.17</v>
          </cell>
          <cell r="Z44">
            <v>0.18</v>
          </cell>
          <cell r="AA44">
            <v>0.17</v>
          </cell>
          <cell r="AB44">
            <v>0.18</v>
          </cell>
          <cell r="AC44">
            <v>0.18</v>
          </cell>
          <cell r="AD44">
            <v>0.18</v>
          </cell>
          <cell r="AF44">
            <v>0</v>
          </cell>
        </row>
        <row r="45">
          <cell r="C45" t="str">
            <v>7314.20.00</v>
          </cell>
          <cell r="D45">
            <v>0.17</v>
          </cell>
          <cell r="E45">
            <v>0.18</v>
          </cell>
          <cell r="F45">
            <v>0.18</v>
          </cell>
          <cell r="G45">
            <v>0.18</v>
          </cell>
          <cell r="H45">
            <v>0.18</v>
          </cell>
          <cell r="I45">
            <v>0.18</v>
          </cell>
          <cell r="J45">
            <v>0.18</v>
          </cell>
          <cell r="K45">
            <v>0.17</v>
          </cell>
          <cell r="L45">
            <v>0.17</v>
          </cell>
          <cell r="M45">
            <v>0.18</v>
          </cell>
          <cell r="N45">
            <v>0.18</v>
          </cell>
          <cell r="O45">
            <v>0.17</v>
          </cell>
          <cell r="P45">
            <v>0.17</v>
          </cell>
          <cell r="Q45">
            <v>0.17</v>
          </cell>
          <cell r="R45">
            <v>0.18</v>
          </cell>
          <cell r="S45">
            <v>0.18</v>
          </cell>
          <cell r="T45">
            <v>0.18</v>
          </cell>
          <cell r="U45">
            <v>0.18</v>
          </cell>
          <cell r="V45">
            <v>0.2</v>
          </cell>
          <cell r="W45">
            <v>0.18</v>
          </cell>
          <cell r="X45">
            <v>0.17499999999999999</v>
          </cell>
          <cell r="Y45">
            <v>0.17</v>
          </cell>
          <cell r="Z45">
            <v>0.18</v>
          </cell>
          <cell r="AA45">
            <v>0.17</v>
          </cell>
          <cell r="AB45">
            <v>0.18</v>
          </cell>
          <cell r="AC45">
            <v>0.18</v>
          </cell>
          <cell r="AD45">
            <v>0.18</v>
          </cell>
          <cell r="AF45">
            <v>0.15</v>
          </cell>
        </row>
        <row r="46">
          <cell r="C46" t="str">
            <v>7314.41.00</v>
          </cell>
          <cell r="D46">
            <v>0.17</v>
          </cell>
          <cell r="E46">
            <v>0.18</v>
          </cell>
          <cell r="F46">
            <v>0.18</v>
          </cell>
          <cell r="G46">
            <v>0.18</v>
          </cell>
          <cell r="H46">
            <v>0.18</v>
          </cell>
          <cell r="I46">
            <v>0.18</v>
          </cell>
          <cell r="J46">
            <v>0.18</v>
          </cell>
          <cell r="K46">
            <v>0.17</v>
          </cell>
          <cell r="L46">
            <v>0.17</v>
          </cell>
          <cell r="M46">
            <v>0.18</v>
          </cell>
          <cell r="N46">
            <v>0.18</v>
          </cell>
          <cell r="O46">
            <v>0.17</v>
          </cell>
          <cell r="P46">
            <v>0.17</v>
          </cell>
          <cell r="Q46">
            <v>0.17</v>
          </cell>
          <cell r="R46">
            <v>0.18</v>
          </cell>
          <cell r="S46">
            <v>0.18</v>
          </cell>
          <cell r="T46">
            <v>0.18</v>
          </cell>
          <cell r="U46">
            <v>0.18</v>
          </cell>
          <cell r="V46">
            <v>0.2</v>
          </cell>
          <cell r="W46">
            <v>0.18</v>
          </cell>
          <cell r="X46">
            <v>0.17499999999999999</v>
          </cell>
          <cell r="Y46">
            <v>0.17</v>
          </cell>
          <cell r="Z46">
            <v>0.18</v>
          </cell>
          <cell r="AA46">
            <v>0.17</v>
          </cell>
          <cell r="AB46">
            <v>0.18</v>
          </cell>
          <cell r="AC46">
            <v>0.18</v>
          </cell>
          <cell r="AD46">
            <v>0.18</v>
          </cell>
          <cell r="AF46">
            <v>0.15</v>
          </cell>
        </row>
        <row r="47">
          <cell r="C47" t="str">
            <v>7318.12.00</v>
          </cell>
          <cell r="D47">
            <v>0.17</v>
          </cell>
          <cell r="E47">
            <v>0.18</v>
          </cell>
          <cell r="F47">
            <v>0.18</v>
          </cell>
          <cell r="G47">
            <v>0.18</v>
          </cell>
          <cell r="H47">
            <v>0.18</v>
          </cell>
          <cell r="I47">
            <v>0.18</v>
          </cell>
          <cell r="J47">
            <v>0.18</v>
          </cell>
          <cell r="K47">
            <v>0.17</v>
          </cell>
          <cell r="L47">
            <v>0.17</v>
          </cell>
          <cell r="M47">
            <v>0.18</v>
          </cell>
          <cell r="N47">
            <v>0.18</v>
          </cell>
          <cell r="O47">
            <v>0.17</v>
          </cell>
          <cell r="P47">
            <v>0.17</v>
          </cell>
          <cell r="Q47">
            <v>0.17</v>
          </cell>
          <cell r="R47">
            <v>0.18</v>
          </cell>
          <cell r="S47">
            <v>0.18</v>
          </cell>
          <cell r="T47">
            <v>0.18</v>
          </cell>
          <cell r="U47">
            <v>0.18</v>
          </cell>
          <cell r="V47">
            <v>0.2</v>
          </cell>
          <cell r="W47">
            <v>0.18</v>
          </cell>
          <cell r="X47">
            <v>0.17499999999999999</v>
          </cell>
          <cell r="Y47">
            <v>0.17</v>
          </cell>
          <cell r="Z47">
            <v>0.18</v>
          </cell>
          <cell r="AA47">
            <v>0.17</v>
          </cell>
          <cell r="AB47">
            <v>0.18</v>
          </cell>
          <cell r="AC47">
            <v>0.18</v>
          </cell>
          <cell r="AD47">
            <v>0.18</v>
          </cell>
          <cell r="AF47">
            <v>0.1</v>
          </cell>
        </row>
        <row r="48">
          <cell r="C48" t="str">
            <v>7318.15.00</v>
          </cell>
          <cell r="D48">
            <v>0.17</v>
          </cell>
          <cell r="E48">
            <v>0.18</v>
          </cell>
          <cell r="F48">
            <v>0.18</v>
          </cell>
          <cell r="G48">
            <v>0.18</v>
          </cell>
          <cell r="H48">
            <v>0.18</v>
          </cell>
          <cell r="I48">
            <v>0.18</v>
          </cell>
          <cell r="J48">
            <v>0.18</v>
          </cell>
          <cell r="K48">
            <v>0.17</v>
          </cell>
          <cell r="L48">
            <v>0.17</v>
          </cell>
          <cell r="M48">
            <v>0.18</v>
          </cell>
          <cell r="N48">
            <v>0.18</v>
          </cell>
          <cell r="O48">
            <v>0.17</v>
          </cell>
          <cell r="P48">
            <v>0.17</v>
          </cell>
          <cell r="Q48">
            <v>0.17</v>
          </cell>
          <cell r="R48">
            <v>0.18</v>
          </cell>
          <cell r="S48">
            <v>0.18</v>
          </cell>
          <cell r="T48">
            <v>0.18</v>
          </cell>
          <cell r="U48">
            <v>0.18</v>
          </cell>
          <cell r="V48">
            <v>0.2</v>
          </cell>
          <cell r="W48">
            <v>0.18</v>
          </cell>
          <cell r="X48">
            <v>0.17499999999999999</v>
          </cell>
          <cell r="Y48">
            <v>0.17</v>
          </cell>
          <cell r="Z48">
            <v>0.18</v>
          </cell>
          <cell r="AA48">
            <v>0.17</v>
          </cell>
          <cell r="AB48">
            <v>0.18</v>
          </cell>
          <cell r="AC48">
            <v>0.18</v>
          </cell>
          <cell r="AD48">
            <v>0.18</v>
          </cell>
          <cell r="AF48">
            <v>0.1</v>
          </cell>
        </row>
        <row r="49">
          <cell r="C49" t="str">
            <v>7318.16.00</v>
          </cell>
          <cell r="D49">
            <v>0.17</v>
          </cell>
          <cell r="E49">
            <v>0.18</v>
          </cell>
          <cell r="F49">
            <v>0.18</v>
          </cell>
          <cell r="G49">
            <v>0.18</v>
          </cell>
          <cell r="H49">
            <v>0.18</v>
          </cell>
          <cell r="I49">
            <v>0.18</v>
          </cell>
          <cell r="J49">
            <v>0.18</v>
          </cell>
          <cell r="K49">
            <v>0.17</v>
          </cell>
          <cell r="L49">
            <v>0.17</v>
          </cell>
          <cell r="M49">
            <v>0.18</v>
          </cell>
          <cell r="N49">
            <v>0.18</v>
          </cell>
          <cell r="O49">
            <v>0.17</v>
          </cell>
          <cell r="P49">
            <v>0.17</v>
          </cell>
          <cell r="Q49">
            <v>0.17</v>
          </cell>
          <cell r="R49">
            <v>0.18</v>
          </cell>
          <cell r="S49">
            <v>0.18</v>
          </cell>
          <cell r="T49">
            <v>0.18</v>
          </cell>
          <cell r="U49">
            <v>0.18</v>
          </cell>
          <cell r="V49">
            <v>0.2</v>
          </cell>
          <cell r="W49">
            <v>0.18</v>
          </cell>
          <cell r="X49">
            <v>0.17499999999999999</v>
          </cell>
          <cell r="Y49">
            <v>0.17</v>
          </cell>
          <cell r="Z49">
            <v>0.18</v>
          </cell>
          <cell r="AA49">
            <v>0.17</v>
          </cell>
          <cell r="AB49">
            <v>0.18</v>
          </cell>
          <cell r="AC49">
            <v>0.18</v>
          </cell>
          <cell r="AD49">
            <v>0.18</v>
          </cell>
          <cell r="AF49">
            <v>0.1</v>
          </cell>
        </row>
        <row r="50">
          <cell r="C50" t="str">
            <v>7325.99.10</v>
          </cell>
          <cell r="D50">
            <v>0.17</v>
          </cell>
          <cell r="E50">
            <v>0.17</v>
          </cell>
          <cell r="F50">
            <v>0.18</v>
          </cell>
          <cell r="G50">
            <v>0.18</v>
          </cell>
          <cell r="H50">
            <v>0.18</v>
          </cell>
          <cell r="I50">
            <v>0.18</v>
          </cell>
          <cell r="J50">
            <v>0.18</v>
          </cell>
          <cell r="K50">
            <v>0.17</v>
          </cell>
          <cell r="L50">
            <v>0.17</v>
          </cell>
          <cell r="M50">
            <v>0.18</v>
          </cell>
          <cell r="N50">
            <v>0.18</v>
          </cell>
          <cell r="O50">
            <v>0.17</v>
          </cell>
          <cell r="P50">
            <v>0.17</v>
          </cell>
          <cell r="Q50">
            <v>0.17</v>
          </cell>
          <cell r="R50">
            <v>0.18</v>
          </cell>
          <cell r="S50">
            <v>0.18</v>
          </cell>
          <cell r="T50">
            <v>0.18</v>
          </cell>
          <cell r="U50">
            <v>0.18</v>
          </cell>
          <cell r="V50">
            <v>0.18</v>
          </cell>
          <cell r="W50">
            <v>0.18</v>
          </cell>
          <cell r="X50">
            <v>0.17499999999999999</v>
          </cell>
          <cell r="Y50">
            <v>0.17</v>
          </cell>
          <cell r="Z50">
            <v>0.18</v>
          </cell>
          <cell r="AA50">
            <v>0.17</v>
          </cell>
          <cell r="AB50">
            <v>0.18</v>
          </cell>
          <cell r="AC50">
            <v>0.18</v>
          </cell>
          <cell r="AD50">
            <v>0.18</v>
          </cell>
          <cell r="AF50">
            <v>0</v>
          </cell>
        </row>
        <row r="51">
          <cell r="C51" t="str">
            <v>7326.19.00</v>
          </cell>
          <cell r="D51">
            <v>0.17</v>
          </cell>
          <cell r="E51">
            <v>0.18</v>
          </cell>
          <cell r="F51">
            <v>0.18</v>
          </cell>
          <cell r="G51">
            <v>0.18</v>
          </cell>
          <cell r="H51">
            <v>0.18</v>
          </cell>
          <cell r="I51">
            <v>0.18</v>
          </cell>
          <cell r="J51">
            <v>0.18</v>
          </cell>
          <cell r="K51">
            <v>0.17</v>
          </cell>
          <cell r="L51">
            <v>0.17</v>
          </cell>
          <cell r="M51">
            <v>0.18</v>
          </cell>
          <cell r="N51">
            <v>0.18</v>
          </cell>
          <cell r="O51">
            <v>0.17</v>
          </cell>
          <cell r="P51">
            <v>0.17</v>
          </cell>
          <cell r="Q51">
            <v>0.17</v>
          </cell>
          <cell r="R51">
            <v>0.18</v>
          </cell>
          <cell r="S51">
            <v>0.18</v>
          </cell>
          <cell r="T51">
            <v>0.18</v>
          </cell>
          <cell r="U51">
            <v>0.18</v>
          </cell>
          <cell r="V51">
            <v>0.2</v>
          </cell>
          <cell r="W51">
            <v>0.18</v>
          </cell>
          <cell r="X51">
            <v>0.17499999999999999</v>
          </cell>
          <cell r="Y51">
            <v>0.17</v>
          </cell>
          <cell r="Z51">
            <v>0.18</v>
          </cell>
          <cell r="AA51">
            <v>0.17</v>
          </cell>
          <cell r="AB51">
            <v>0.18</v>
          </cell>
          <cell r="AC51">
            <v>0.18</v>
          </cell>
          <cell r="AD51">
            <v>0.18</v>
          </cell>
          <cell r="AF51">
            <v>0.1</v>
          </cell>
        </row>
        <row r="52">
          <cell r="C52" t="str">
            <v>7326.90.90</v>
          </cell>
          <cell r="D52">
            <v>0.17</v>
          </cell>
          <cell r="E52">
            <v>0.18</v>
          </cell>
          <cell r="F52">
            <v>0.18</v>
          </cell>
          <cell r="G52">
            <v>0.18</v>
          </cell>
          <cell r="H52">
            <v>0.18</v>
          </cell>
          <cell r="I52">
            <v>0.18</v>
          </cell>
          <cell r="J52">
            <v>0.18</v>
          </cell>
          <cell r="K52">
            <v>0.17</v>
          </cell>
          <cell r="L52">
            <v>0.17</v>
          </cell>
          <cell r="M52">
            <v>0.18</v>
          </cell>
          <cell r="N52">
            <v>0.18</v>
          </cell>
          <cell r="O52">
            <v>0.17</v>
          </cell>
          <cell r="P52">
            <v>0.17</v>
          </cell>
          <cell r="Q52">
            <v>0.17</v>
          </cell>
          <cell r="R52">
            <v>0.18</v>
          </cell>
          <cell r="S52">
            <v>0.18</v>
          </cell>
          <cell r="T52">
            <v>0.18</v>
          </cell>
          <cell r="U52">
            <v>0.18</v>
          </cell>
          <cell r="V52">
            <v>0.2</v>
          </cell>
          <cell r="W52">
            <v>0.18</v>
          </cell>
          <cell r="X52">
            <v>0.17499999999999999</v>
          </cell>
          <cell r="Y52">
            <v>0.17</v>
          </cell>
          <cell r="Z52">
            <v>0.18</v>
          </cell>
          <cell r="AA52">
            <v>0.17</v>
          </cell>
          <cell r="AB52">
            <v>0.18</v>
          </cell>
          <cell r="AC52">
            <v>0.18</v>
          </cell>
          <cell r="AD52">
            <v>0.18</v>
          </cell>
          <cell r="AF52">
            <v>0.05</v>
          </cell>
        </row>
        <row r="53">
          <cell r="C53" t="str">
            <v>7413.00.00</v>
          </cell>
          <cell r="D53">
            <v>0.17</v>
          </cell>
          <cell r="E53">
            <v>0.18</v>
          </cell>
          <cell r="F53">
            <v>0.18</v>
          </cell>
          <cell r="G53">
            <v>0.18</v>
          </cell>
          <cell r="H53">
            <v>0.18</v>
          </cell>
          <cell r="I53">
            <v>0.18</v>
          </cell>
          <cell r="J53">
            <v>0.18</v>
          </cell>
          <cell r="K53">
            <v>0.17</v>
          </cell>
          <cell r="L53">
            <v>0.17</v>
          </cell>
          <cell r="M53">
            <v>0.18</v>
          </cell>
          <cell r="N53">
            <v>0.18</v>
          </cell>
          <cell r="O53">
            <v>0.17</v>
          </cell>
          <cell r="P53">
            <v>0.17</v>
          </cell>
          <cell r="Q53">
            <v>0.17</v>
          </cell>
          <cell r="R53">
            <v>0.18</v>
          </cell>
          <cell r="S53">
            <v>0.18</v>
          </cell>
          <cell r="T53">
            <v>0.18</v>
          </cell>
          <cell r="U53">
            <v>0.18</v>
          </cell>
          <cell r="V53">
            <v>0.2</v>
          </cell>
          <cell r="W53">
            <v>0.18</v>
          </cell>
          <cell r="X53">
            <v>0.17499999999999999</v>
          </cell>
          <cell r="Y53">
            <v>0.17</v>
          </cell>
          <cell r="Z53">
            <v>0.18</v>
          </cell>
          <cell r="AA53">
            <v>0.17</v>
          </cell>
          <cell r="AB53">
            <v>0.18</v>
          </cell>
          <cell r="AC53">
            <v>0.18</v>
          </cell>
          <cell r="AD53">
            <v>0.18</v>
          </cell>
          <cell r="AF53">
            <v>0</v>
          </cell>
        </row>
        <row r="54">
          <cell r="C54" t="str">
            <v>7415.29.00</v>
          </cell>
          <cell r="D54">
            <v>0.17</v>
          </cell>
          <cell r="E54">
            <v>0.18</v>
          </cell>
          <cell r="F54">
            <v>0.18</v>
          </cell>
          <cell r="G54">
            <v>0.18</v>
          </cell>
          <cell r="H54">
            <v>0.18</v>
          </cell>
          <cell r="I54">
            <v>0.18</v>
          </cell>
          <cell r="J54">
            <v>0.18</v>
          </cell>
          <cell r="K54">
            <v>0.17</v>
          </cell>
          <cell r="L54">
            <v>0.17</v>
          </cell>
          <cell r="M54">
            <v>0.18</v>
          </cell>
          <cell r="N54">
            <v>0.18</v>
          </cell>
          <cell r="O54">
            <v>0.17</v>
          </cell>
          <cell r="P54">
            <v>0.17</v>
          </cell>
          <cell r="Q54">
            <v>0.17</v>
          </cell>
          <cell r="R54">
            <v>0.18</v>
          </cell>
          <cell r="S54">
            <v>0.18</v>
          </cell>
          <cell r="T54">
            <v>0.18</v>
          </cell>
          <cell r="U54">
            <v>0.18</v>
          </cell>
          <cell r="V54">
            <v>0.2</v>
          </cell>
          <cell r="W54">
            <v>0.18</v>
          </cell>
          <cell r="X54">
            <v>0.17499999999999999</v>
          </cell>
          <cell r="Y54">
            <v>0.17</v>
          </cell>
          <cell r="Z54">
            <v>0.18</v>
          </cell>
          <cell r="AA54">
            <v>0.17</v>
          </cell>
          <cell r="AB54">
            <v>0.18</v>
          </cell>
          <cell r="AC54">
            <v>0.18</v>
          </cell>
          <cell r="AD54">
            <v>0.18</v>
          </cell>
          <cell r="AF54">
            <v>0.1</v>
          </cell>
        </row>
        <row r="55">
          <cell r="C55" t="str">
            <v>7419.99.90</v>
          </cell>
          <cell r="D55">
            <v>0.17</v>
          </cell>
          <cell r="E55">
            <v>0.18</v>
          </cell>
          <cell r="F55">
            <v>0.18</v>
          </cell>
          <cell r="G55">
            <v>0.18</v>
          </cell>
          <cell r="H55">
            <v>0.18</v>
          </cell>
          <cell r="I55">
            <v>0.18</v>
          </cell>
          <cell r="J55">
            <v>0.18</v>
          </cell>
          <cell r="K55">
            <v>0.17</v>
          </cell>
          <cell r="L55">
            <v>0.17</v>
          </cell>
          <cell r="M55">
            <v>0.18</v>
          </cell>
          <cell r="N55">
            <v>0.18</v>
          </cell>
          <cell r="O55">
            <v>0.17</v>
          </cell>
          <cell r="P55">
            <v>0.17</v>
          </cell>
          <cell r="Q55">
            <v>0.17</v>
          </cell>
          <cell r="R55">
            <v>0.18</v>
          </cell>
          <cell r="S55">
            <v>0.18</v>
          </cell>
          <cell r="T55">
            <v>0.18</v>
          </cell>
          <cell r="U55">
            <v>0.18</v>
          </cell>
          <cell r="V55">
            <v>0.2</v>
          </cell>
          <cell r="W55">
            <v>0.18</v>
          </cell>
          <cell r="X55">
            <v>0.17499999999999999</v>
          </cell>
          <cell r="Y55">
            <v>0.17</v>
          </cell>
          <cell r="Z55">
            <v>0.18</v>
          </cell>
          <cell r="AA55">
            <v>0.17</v>
          </cell>
          <cell r="AB55">
            <v>0.18</v>
          </cell>
          <cell r="AC55">
            <v>0.18</v>
          </cell>
          <cell r="AD55">
            <v>0.18</v>
          </cell>
          <cell r="AF55">
            <v>0.05</v>
          </cell>
        </row>
        <row r="56">
          <cell r="C56" t="str">
            <v>7609.00.00</v>
          </cell>
          <cell r="D56">
            <v>0.17</v>
          </cell>
          <cell r="E56">
            <v>0.18</v>
          </cell>
          <cell r="F56">
            <v>0.18</v>
          </cell>
          <cell r="G56">
            <v>0.18</v>
          </cell>
          <cell r="H56">
            <v>0.18</v>
          </cell>
          <cell r="I56">
            <v>0.18</v>
          </cell>
          <cell r="J56">
            <v>0.18</v>
          </cell>
          <cell r="K56">
            <v>0.17</v>
          </cell>
          <cell r="L56">
            <v>0.17</v>
          </cell>
          <cell r="M56">
            <v>0.18</v>
          </cell>
          <cell r="N56">
            <v>0.18</v>
          </cell>
          <cell r="O56">
            <v>0.17</v>
          </cell>
          <cell r="P56">
            <v>0.17</v>
          </cell>
          <cell r="Q56">
            <v>0.17</v>
          </cell>
          <cell r="R56">
            <v>0.18</v>
          </cell>
          <cell r="S56">
            <v>0.18</v>
          </cell>
          <cell r="T56">
            <v>0.18</v>
          </cell>
          <cell r="U56">
            <v>0.18</v>
          </cell>
          <cell r="V56">
            <v>0.2</v>
          </cell>
          <cell r="W56">
            <v>0.18</v>
          </cell>
          <cell r="X56">
            <v>0.17499999999999999</v>
          </cell>
          <cell r="Y56">
            <v>0.17</v>
          </cell>
          <cell r="Z56">
            <v>0.18</v>
          </cell>
          <cell r="AA56">
            <v>0.17</v>
          </cell>
          <cell r="AB56">
            <v>0.18</v>
          </cell>
          <cell r="AC56">
            <v>0.18</v>
          </cell>
          <cell r="AD56">
            <v>0.18</v>
          </cell>
          <cell r="AF56">
            <v>0.05</v>
          </cell>
        </row>
        <row r="57">
          <cell r="C57" t="str">
            <v>7612.90.19</v>
          </cell>
          <cell r="D57">
            <v>0.17</v>
          </cell>
          <cell r="E57">
            <v>0.18</v>
          </cell>
          <cell r="F57">
            <v>0.18</v>
          </cell>
          <cell r="G57">
            <v>0.18</v>
          </cell>
          <cell r="H57">
            <v>0.18</v>
          </cell>
          <cell r="I57">
            <v>0.18</v>
          </cell>
          <cell r="J57">
            <v>0.18</v>
          </cell>
          <cell r="K57">
            <v>0.17</v>
          </cell>
          <cell r="L57">
            <v>0.17</v>
          </cell>
          <cell r="M57">
            <v>0.18</v>
          </cell>
          <cell r="N57">
            <v>0.18</v>
          </cell>
          <cell r="O57">
            <v>0.17</v>
          </cell>
          <cell r="P57">
            <v>0.17</v>
          </cell>
          <cell r="Q57">
            <v>0.17</v>
          </cell>
          <cell r="R57">
            <v>0.18</v>
          </cell>
          <cell r="S57">
            <v>0.18</v>
          </cell>
          <cell r="T57">
            <v>0.18</v>
          </cell>
          <cell r="U57">
            <v>0.18</v>
          </cell>
          <cell r="V57">
            <v>0.2</v>
          </cell>
          <cell r="W57">
            <v>0.18</v>
          </cell>
          <cell r="X57">
            <v>0.17499999999999999</v>
          </cell>
          <cell r="Y57">
            <v>0.17</v>
          </cell>
          <cell r="Z57">
            <v>0.18</v>
          </cell>
          <cell r="AA57">
            <v>0.17</v>
          </cell>
          <cell r="AB57">
            <v>0.18</v>
          </cell>
          <cell r="AC57">
            <v>0.18</v>
          </cell>
          <cell r="AD57">
            <v>0.18</v>
          </cell>
          <cell r="AF57">
            <v>0.1</v>
          </cell>
        </row>
        <row r="58">
          <cell r="C58" t="str">
            <v>7616.99.00</v>
          </cell>
          <cell r="D58">
            <v>0.17</v>
          </cell>
          <cell r="E58">
            <v>0.18</v>
          </cell>
          <cell r="F58">
            <v>0.18</v>
          </cell>
          <cell r="G58">
            <v>0.18</v>
          </cell>
          <cell r="H58">
            <v>0.18</v>
          </cell>
          <cell r="I58">
            <v>0.18</v>
          </cell>
          <cell r="J58">
            <v>0.18</v>
          </cell>
          <cell r="K58">
            <v>0.17</v>
          </cell>
          <cell r="L58">
            <v>0.17</v>
          </cell>
          <cell r="M58">
            <v>0.18</v>
          </cell>
          <cell r="N58">
            <v>0.18</v>
          </cell>
          <cell r="O58">
            <v>0.17</v>
          </cell>
          <cell r="P58">
            <v>0.17</v>
          </cell>
          <cell r="Q58">
            <v>0.17</v>
          </cell>
          <cell r="R58">
            <v>0.18</v>
          </cell>
          <cell r="S58">
            <v>0.18</v>
          </cell>
          <cell r="T58">
            <v>0.18</v>
          </cell>
          <cell r="U58">
            <v>0.18</v>
          </cell>
          <cell r="V58">
            <v>0.2</v>
          </cell>
          <cell r="W58">
            <v>0.18</v>
          </cell>
          <cell r="X58">
            <v>0.17499999999999999</v>
          </cell>
          <cell r="Y58">
            <v>0.17</v>
          </cell>
          <cell r="Z58">
            <v>0.18</v>
          </cell>
          <cell r="AA58">
            <v>0.17</v>
          </cell>
          <cell r="AB58">
            <v>0.18</v>
          </cell>
          <cell r="AC58">
            <v>0.18</v>
          </cell>
          <cell r="AD58">
            <v>0.18</v>
          </cell>
          <cell r="AF58">
            <v>0.05</v>
          </cell>
        </row>
        <row r="59">
          <cell r="C59" t="str">
            <v>7907.00.10</v>
          </cell>
          <cell r="D59">
            <v>0.17</v>
          </cell>
          <cell r="E59">
            <v>0.18</v>
          </cell>
          <cell r="F59">
            <v>0.18</v>
          </cell>
          <cell r="G59">
            <v>0.18</v>
          </cell>
          <cell r="H59">
            <v>0.18</v>
          </cell>
          <cell r="I59">
            <v>0.18</v>
          </cell>
          <cell r="J59">
            <v>0.18</v>
          </cell>
          <cell r="K59">
            <v>0.17</v>
          </cell>
          <cell r="L59">
            <v>0.17</v>
          </cell>
          <cell r="M59">
            <v>0.18</v>
          </cell>
          <cell r="N59">
            <v>0.18</v>
          </cell>
          <cell r="O59">
            <v>0.17</v>
          </cell>
          <cell r="P59">
            <v>0.17</v>
          </cell>
          <cell r="Q59">
            <v>0.17</v>
          </cell>
          <cell r="R59">
            <v>0.18</v>
          </cell>
          <cell r="S59">
            <v>0.18</v>
          </cell>
          <cell r="T59">
            <v>0.18</v>
          </cell>
          <cell r="U59">
            <v>0.18</v>
          </cell>
          <cell r="V59">
            <v>0.2</v>
          </cell>
          <cell r="W59">
            <v>0.18</v>
          </cell>
          <cell r="X59">
            <v>0.17499999999999999</v>
          </cell>
          <cell r="Y59">
            <v>0.17</v>
          </cell>
          <cell r="Z59">
            <v>0.18</v>
          </cell>
          <cell r="AA59">
            <v>0.17</v>
          </cell>
          <cell r="AB59">
            <v>0.18</v>
          </cell>
          <cell r="AC59">
            <v>0.18</v>
          </cell>
          <cell r="AD59">
            <v>0.18</v>
          </cell>
          <cell r="AF59">
            <v>0</v>
          </cell>
        </row>
        <row r="60">
          <cell r="C60" t="str">
            <v>8202.91.00</v>
          </cell>
          <cell r="D60">
            <v>0.17</v>
          </cell>
          <cell r="E60">
            <v>0.18</v>
          </cell>
          <cell r="F60">
            <v>0.18</v>
          </cell>
          <cell r="G60">
            <v>0.18</v>
          </cell>
          <cell r="H60">
            <v>0.18</v>
          </cell>
          <cell r="I60">
            <v>0.18</v>
          </cell>
          <cell r="J60">
            <v>0.18</v>
          </cell>
          <cell r="K60">
            <v>0.17</v>
          </cell>
          <cell r="L60">
            <v>0.17</v>
          </cell>
          <cell r="M60">
            <v>0.18</v>
          </cell>
          <cell r="N60">
            <v>0.18</v>
          </cell>
          <cell r="O60">
            <v>0.17</v>
          </cell>
          <cell r="P60">
            <v>0.17</v>
          </cell>
          <cell r="Q60">
            <v>0.17</v>
          </cell>
          <cell r="R60">
            <v>0.18</v>
          </cell>
          <cell r="S60">
            <v>0.18</v>
          </cell>
          <cell r="T60">
            <v>0.18</v>
          </cell>
          <cell r="U60">
            <v>0.18</v>
          </cell>
          <cell r="V60">
            <v>0.2</v>
          </cell>
          <cell r="W60">
            <v>0.18</v>
          </cell>
          <cell r="X60">
            <v>0.17499999999999999</v>
          </cell>
          <cell r="Y60">
            <v>0.17</v>
          </cell>
          <cell r="Z60">
            <v>0.18</v>
          </cell>
          <cell r="AA60">
            <v>0.17</v>
          </cell>
          <cell r="AB60">
            <v>0.18</v>
          </cell>
          <cell r="AC60">
            <v>0.18</v>
          </cell>
          <cell r="AD60">
            <v>0.18</v>
          </cell>
          <cell r="AF60">
            <v>0.08</v>
          </cell>
        </row>
        <row r="61">
          <cell r="C61" t="str">
            <v>8203.20.90</v>
          </cell>
          <cell r="D61">
            <v>0.17</v>
          </cell>
          <cell r="E61">
            <v>0.18</v>
          </cell>
          <cell r="F61">
            <v>0.18</v>
          </cell>
          <cell r="G61">
            <v>0.18</v>
          </cell>
          <cell r="H61">
            <v>0.18</v>
          </cell>
          <cell r="I61">
            <v>0.18</v>
          </cell>
          <cell r="J61">
            <v>0.18</v>
          </cell>
          <cell r="K61">
            <v>0.17</v>
          </cell>
          <cell r="L61">
            <v>0.17</v>
          </cell>
          <cell r="M61">
            <v>0.18</v>
          </cell>
          <cell r="N61">
            <v>0.18</v>
          </cell>
          <cell r="O61">
            <v>0.17</v>
          </cell>
          <cell r="P61">
            <v>0.17</v>
          </cell>
          <cell r="Q61">
            <v>0.17</v>
          </cell>
          <cell r="R61">
            <v>0.18</v>
          </cell>
          <cell r="S61">
            <v>0.18</v>
          </cell>
          <cell r="T61">
            <v>0.18</v>
          </cell>
          <cell r="U61">
            <v>0.18</v>
          </cell>
          <cell r="V61">
            <v>0.2</v>
          </cell>
          <cell r="W61">
            <v>0.18</v>
          </cell>
          <cell r="X61">
            <v>0.17499999999999999</v>
          </cell>
          <cell r="Y61">
            <v>0.17</v>
          </cell>
          <cell r="Z61">
            <v>0.18</v>
          </cell>
          <cell r="AA61">
            <v>0.17</v>
          </cell>
          <cell r="AB61">
            <v>0.18</v>
          </cell>
          <cell r="AC61">
            <v>0.18</v>
          </cell>
          <cell r="AD61">
            <v>0.18</v>
          </cell>
          <cell r="AF61">
            <v>0.08</v>
          </cell>
        </row>
        <row r="62">
          <cell r="C62" t="str">
            <v>8205.59.00</v>
          </cell>
          <cell r="D62">
            <v>0.17</v>
          </cell>
          <cell r="E62">
            <v>0.18</v>
          </cell>
          <cell r="F62">
            <v>0.18</v>
          </cell>
          <cell r="G62">
            <v>0.18</v>
          </cell>
          <cell r="H62">
            <v>0.18</v>
          </cell>
          <cell r="I62">
            <v>0.18</v>
          </cell>
          <cell r="J62">
            <v>0.18</v>
          </cell>
          <cell r="K62">
            <v>0.17</v>
          </cell>
          <cell r="L62">
            <v>0.17</v>
          </cell>
          <cell r="M62">
            <v>0.18</v>
          </cell>
          <cell r="N62">
            <v>0.18</v>
          </cell>
          <cell r="O62">
            <v>0.17</v>
          </cell>
          <cell r="P62">
            <v>0.17</v>
          </cell>
          <cell r="Q62">
            <v>0.17</v>
          </cell>
          <cell r="R62">
            <v>0.18</v>
          </cell>
          <cell r="S62">
            <v>0.18</v>
          </cell>
          <cell r="T62">
            <v>0.18</v>
          </cell>
          <cell r="U62">
            <v>0.18</v>
          </cell>
          <cell r="V62">
            <v>0.2</v>
          </cell>
          <cell r="W62">
            <v>0.18</v>
          </cell>
          <cell r="X62">
            <v>0.17499999999999999</v>
          </cell>
          <cell r="Y62">
            <v>0.17</v>
          </cell>
          <cell r="Z62">
            <v>0.18</v>
          </cell>
          <cell r="AA62">
            <v>0.17</v>
          </cell>
          <cell r="AB62">
            <v>0.18</v>
          </cell>
          <cell r="AC62">
            <v>0.18</v>
          </cell>
          <cell r="AD62">
            <v>0.18</v>
          </cell>
          <cell r="AF62">
            <v>0.08</v>
          </cell>
        </row>
        <row r="63">
          <cell r="C63" t="str">
            <v>8301.10.00</v>
          </cell>
          <cell r="D63">
            <v>0.17</v>
          </cell>
          <cell r="E63">
            <v>0.18</v>
          </cell>
          <cell r="F63">
            <v>0.18</v>
          </cell>
          <cell r="G63">
            <v>0.18</v>
          </cell>
          <cell r="H63">
            <v>0.18</v>
          </cell>
          <cell r="I63">
            <v>0.18</v>
          </cell>
          <cell r="J63">
            <v>0.18</v>
          </cell>
          <cell r="K63">
            <v>0.17</v>
          </cell>
          <cell r="L63">
            <v>0.17</v>
          </cell>
          <cell r="M63">
            <v>0.18</v>
          </cell>
          <cell r="N63">
            <v>0.18</v>
          </cell>
          <cell r="O63">
            <v>0.17</v>
          </cell>
          <cell r="P63">
            <v>0.17</v>
          </cell>
          <cell r="Q63">
            <v>0.17</v>
          </cell>
          <cell r="R63">
            <v>0.18</v>
          </cell>
          <cell r="S63">
            <v>0.18</v>
          </cell>
          <cell r="T63">
            <v>0.18</v>
          </cell>
          <cell r="U63">
            <v>0.18</v>
          </cell>
          <cell r="V63">
            <v>0.2</v>
          </cell>
          <cell r="W63">
            <v>0.18</v>
          </cell>
          <cell r="X63">
            <v>0.17499999999999999</v>
          </cell>
          <cell r="Y63">
            <v>0.17</v>
          </cell>
          <cell r="Z63">
            <v>0.18</v>
          </cell>
          <cell r="AA63">
            <v>0.17</v>
          </cell>
          <cell r="AB63">
            <v>0.18</v>
          </cell>
          <cell r="AC63">
            <v>0.18</v>
          </cell>
          <cell r="AD63">
            <v>0.18</v>
          </cell>
          <cell r="AF63">
            <v>0</v>
          </cell>
        </row>
        <row r="64">
          <cell r="C64" t="str">
            <v>8301.40.00</v>
          </cell>
          <cell r="D64">
            <v>0.17</v>
          </cell>
          <cell r="E64">
            <v>0.18</v>
          </cell>
          <cell r="F64">
            <v>0.18</v>
          </cell>
          <cell r="G64">
            <v>0.18</v>
          </cell>
          <cell r="H64">
            <v>0.18</v>
          </cell>
          <cell r="I64">
            <v>0.18</v>
          </cell>
          <cell r="J64">
            <v>0.18</v>
          </cell>
          <cell r="K64">
            <v>0.17</v>
          </cell>
          <cell r="L64">
            <v>0.17</v>
          </cell>
          <cell r="M64">
            <v>0.18</v>
          </cell>
          <cell r="N64">
            <v>0.18</v>
          </cell>
          <cell r="O64">
            <v>0.17</v>
          </cell>
          <cell r="P64">
            <v>0.17</v>
          </cell>
          <cell r="Q64">
            <v>0.17</v>
          </cell>
          <cell r="R64">
            <v>0.18</v>
          </cell>
          <cell r="S64">
            <v>0.18</v>
          </cell>
          <cell r="T64">
            <v>0.18</v>
          </cell>
          <cell r="U64">
            <v>0.18</v>
          </cell>
          <cell r="V64">
            <v>0.2</v>
          </cell>
          <cell r="W64">
            <v>0.18</v>
          </cell>
          <cell r="X64">
            <v>0.17499999999999999</v>
          </cell>
          <cell r="Y64">
            <v>0.17</v>
          </cell>
          <cell r="Z64">
            <v>0.18</v>
          </cell>
          <cell r="AA64">
            <v>0.17</v>
          </cell>
          <cell r="AB64">
            <v>0.18</v>
          </cell>
          <cell r="AC64">
            <v>0.18</v>
          </cell>
          <cell r="AD64">
            <v>0.18</v>
          </cell>
          <cell r="AF64">
            <v>0</v>
          </cell>
        </row>
        <row r="65">
          <cell r="C65" t="str">
            <v>8301.50.00</v>
          </cell>
          <cell r="D65">
            <v>0.17</v>
          </cell>
          <cell r="E65">
            <v>0.18</v>
          </cell>
          <cell r="F65">
            <v>0.18</v>
          </cell>
          <cell r="G65">
            <v>0.18</v>
          </cell>
          <cell r="H65">
            <v>0.18</v>
          </cell>
          <cell r="I65">
            <v>0.18</v>
          </cell>
          <cell r="J65">
            <v>0.18</v>
          </cell>
          <cell r="K65">
            <v>0.17</v>
          </cell>
          <cell r="L65">
            <v>0.17</v>
          </cell>
          <cell r="M65">
            <v>0.18</v>
          </cell>
          <cell r="N65">
            <v>0.18</v>
          </cell>
          <cell r="O65">
            <v>0.17</v>
          </cell>
          <cell r="P65">
            <v>0.17</v>
          </cell>
          <cell r="Q65">
            <v>0.17</v>
          </cell>
          <cell r="R65">
            <v>0.18</v>
          </cell>
          <cell r="S65">
            <v>0.18</v>
          </cell>
          <cell r="T65">
            <v>0.18</v>
          </cell>
          <cell r="U65">
            <v>0.18</v>
          </cell>
          <cell r="V65">
            <v>0.2</v>
          </cell>
          <cell r="W65">
            <v>0.18</v>
          </cell>
          <cell r="X65">
            <v>0.17499999999999999</v>
          </cell>
          <cell r="Y65">
            <v>0.17</v>
          </cell>
          <cell r="Z65">
            <v>0.18</v>
          </cell>
          <cell r="AA65">
            <v>0.17</v>
          </cell>
          <cell r="AB65">
            <v>0.18</v>
          </cell>
          <cell r="AC65">
            <v>0.18</v>
          </cell>
          <cell r="AD65">
            <v>0.18</v>
          </cell>
          <cell r="AF65">
            <v>0.1</v>
          </cell>
        </row>
        <row r="66">
          <cell r="C66" t="str">
            <v>8301.60.00</v>
          </cell>
          <cell r="D66">
            <v>0.17</v>
          </cell>
          <cell r="E66">
            <v>0.18</v>
          </cell>
          <cell r="F66">
            <v>0.18</v>
          </cell>
          <cell r="G66">
            <v>0.18</v>
          </cell>
          <cell r="H66">
            <v>0.18</v>
          </cell>
          <cell r="I66">
            <v>0.18</v>
          </cell>
          <cell r="J66">
            <v>0.18</v>
          </cell>
          <cell r="K66">
            <v>0.17</v>
          </cell>
          <cell r="L66">
            <v>0.17</v>
          </cell>
          <cell r="M66">
            <v>0.18</v>
          </cell>
          <cell r="N66">
            <v>0.18</v>
          </cell>
          <cell r="O66">
            <v>0.17</v>
          </cell>
          <cell r="P66">
            <v>0.17</v>
          </cell>
          <cell r="Q66">
            <v>0.17</v>
          </cell>
          <cell r="R66">
            <v>0.18</v>
          </cell>
          <cell r="S66">
            <v>0.18</v>
          </cell>
          <cell r="T66">
            <v>0.18</v>
          </cell>
          <cell r="U66">
            <v>0.18</v>
          </cell>
          <cell r="V66">
            <v>0.2</v>
          </cell>
          <cell r="W66">
            <v>0.18</v>
          </cell>
          <cell r="X66">
            <v>0.17499999999999999</v>
          </cell>
          <cell r="Y66">
            <v>0.17</v>
          </cell>
          <cell r="Z66">
            <v>0.18</v>
          </cell>
          <cell r="AA66">
            <v>0.17</v>
          </cell>
          <cell r="AB66">
            <v>0.18</v>
          </cell>
          <cell r="AC66">
            <v>0.18</v>
          </cell>
          <cell r="AD66">
            <v>0.18</v>
          </cell>
          <cell r="AF66">
            <v>0</v>
          </cell>
        </row>
        <row r="67">
          <cell r="C67" t="str">
            <v>8302.49.00</v>
          </cell>
          <cell r="D67">
            <v>0.17</v>
          </cell>
          <cell r="E67">
            <v>0.18</v>
          </cell>
          <cell r="F67">
            <v>0.18</v>
          </cell>
          <cell r="G67">
            <v>0.18</v>
          </cell>
          <cell r="H67">
            <v>0.18</v>
          </cell>
          <cell r="I67">
            <v>0.18</v>
          </cell>
          <cell r="J67">
            <v>0.18</v>
          </cell>
          <cell r="K67">
            <v>0.17</v>
          </cell>
          <cell r="L67">
            <v>0.17</v>
          </cell>
          <cell r="M67">
            <v>0.18</v>
          </cell>
          <cell r="N67">
            <v>0.18</v>
          </cell>
          <cell r="O67">
            <v>0.17</v>
          </cell>
          <cell r="P67">
            <v>0.17</v>
          </cell>
          <cell r="Q67">
            <v>0.17</v>
          </cell>
          <cell r="R67">
            <v>0.18</v>
          </cell>
          <cell r="S67">
            <v>0.18</v>
          </cell>
          <cell r="T67">
            <v>0.18</v>
          </cell>
          <cell r="U67">
            <v>0.18</v>
          </cell>
          <cell r="V67">
            <v>0.2</v>
          </cell>
          <cell r="W67">
            <v>0.18</v>
          </cell>
          <cell r="X67">
            <v>0.17499999999999999</v>
          </cell>
          <cell r="Y67">
            <v>0.17</v>
          </cell>
          <cell r="Z67">
            <v>0.18</v>
          </cell>
          <cell r="AA67">
            <v>0.17</v>
          </cell>
          <cell r="AB67">
            <v>0.18</v>
          </cell>
          <cell r="AC67">
            <v>0.18</v>
          </cell>
          <cell r="AD67">
            <v>0.18</v>
          </cell>
          <cell r="AF67">
            <v>0.1</v>
          </cell>
        </row>
        <row r="68">
          <cell r="C68" t="str">
            <v>8302.50.00</v>
          </cell>
          <cell r="D68">
            <v>0.17</v>
          </cell>
          <cell r="E68">
            <v>0.18</v>
          </cell>
          <cell r="F68">
            <v>0.18</v>
          </cell>
          <cell r="G68">
            <v>0.18</v>
          </cell>
          <cell r="H68">
            <v>0.18</v>
          </cell>
          <cell r="I68">
            <v>0.18</v>
          </cell>
          <cell r="J68">
            <v>0.18</v>
          </cell>
          <cell r="K68">
            <v>0.17</v>
          </cell>
          <cell r="L68">
            <v>0.17</v>
          </cell>
          <cell r="M68">
            <v>0.18</v>
          </cell>
          <cell r="N68">
            <v>0.18</v>
          </cell>
          <cell r="O68">
            <v>0.17</v>
          </cell>
          <cell r="P68">
            <v>0.17</v>
          </cell>
          <cell r="Q68">
            <v>0.17</v>
          </cell>
          <cell r="R68">
            <v>0.18</v>
          </cell>
          <cell r="S68">
            <v>0.18</v>
          </cell>
          <cell r="T68">
            <v>0.18</v>
          </cell>
          <cell r="U68">
            <v>0.18</v>
          </cell>
          <cell r="V68">
            <v>0.2</v>
          </cell>
          <cell r="W68">
            <v>0.18</v>
          </cell>
          <cell r="X68">
            <v>0.17499999999999999</v>
          </cell>
          <cell r="Y68">
            <v>0.17</v>
          </cell>
          <cell r="Z68">
            <v>0.18</v>
          </cell>
          <cell r="AA68">
            <v>0.17</v>
          </cell>
          <cell r="AB68">
            <v>0.18</v>
          </cell>
          <cell r="AC68">
            <v>0.18</v>
          </cell>
          <cell r="AD68">
            <v>0.18</v>
          </cell>
          <cell r="AF68">
            <v>0.1</v>
          </cell>
        </row>
        <row r="69">
          <cell r="C69" t="str">
            <v>8307.10.90</v>
          </cell>
          <cell r="D69">
            <v>0.17</v>
          </cell>
          <cell r="E69">
            <v>0.18</v>
          </cell>
          <cell r="F69">
            <v>0.18</v>
          </cell>
          <cell r="G69">
            <v>0.18</v>
          </cell>
          <cell r="H69">
            <v>0.18</v>
          </cell>
          <cell r="I69">
            <v>0.18</v>
          </cell>
          <cell r="J69">
            <v>0.18</v>
          </cell>
          <cell r="K69">
            <v>0.17</v>
          </cell>
          <cell r="L69">
            <v>0.17</v>
          </cell>
          <cell r="M69">
            <v>0.18</v>
          </cell>
          <cell r="N69">
            <v>0.18</v>
          </cell>
          <cell r="O69">
            <v>0.17</v>
          </cell>
          <cell r="P69">
            <v>0.17</v>
          </cell>
          <cell r="Q69">
            <v>0.17</v>
          </cell>
          <cell r="R69">
            <v>0.18</v>
          </cell>
          <cell r="S69">
            <v>0.18</v>
          </cell>
          <cell r="T69">
            <v>0.18</v>
          </cell>
          <cell r="U69">
            <v>0.18</v>
          </cell>
          <cell r="V69">
            <v>0.2</v>
          </cell>
          <cell r="W69">
            <v>0.18</v>
          </cell>
          <cell r="X69">
            <v>0.17499999999999999</v>
          </cell>
          <cell r="Y69">
            <v>0.17</v>
          </cell>
          <cell r="Z69">
            <v>0.18</v>
          </cell>
          <cell r="AA69">
            <v>0.17</v>
          </cell>
          <cell r="AB69">
            <v>0.18</v>
          </cell>
          <cell r="AC69">
            <v>0.18</v>
          </cell>
          <cell r="AD69">
            <v>0.18</v>
          </cell>
          <cell r="AF69">
            <v>0.05</v>
          </cell>
        </row>
        <row r="70">
          <cell r="C70" t="str">
            <v>8307.90.00</v>
          </cell>
          <cell r="D70">
            <v>0.17</v>
          </cell>
          <cell r="E70">
            <v>0.18</v>
          </cell>
          <cell r="F70">
            <v>0.18</v>
          </cell>
          <cell r="G70">
            <v>0.18</v>
          </cell>
          <cell r="H70">
            <v>0.18</v>
          </cell>
          <cell r="I70">
            <v>0.18</v>
          </cell>
          <cell r="J70">
            <v>0.18</v>
          </cell>
          <cell r="K70">
            <v>0.17</v>
          </cell>
          <cell r="L70">
            <v>0.17</v>
          </cell>
          <cell r="M70">
            <v>0.18</v>
          </cell>
          <cell r="N70">
            <v>0.18</v>
          </cell>
          <cell r="O70">
            <v>0.17</v>
          </cell>
          <cell r="P70">
            <v>0.17</v>
          </cell>
          <cell r="Q70">
            <v>0.17</v>
          </cell>
          <cell r="R70">
            <v>0.18</v>
          </cell>
          <cell r="S70">
            <v>0.18</v>
          </cell>
          <cell r="T70">
            <v>0.18</v>
          </cell>
          <cell r="U70">
            <v>0.18</v>
          </cell>
          <cell r="V70">
            <v>0.2</v>
          </cell>
          <cell r="W70">
            <v>0.18</v>
          </cell>
          <cell r="X70">
            <v>0.17499999999999999</v>
          </cell>
          <cell r="Y70">
            <v>0.17</v>
          </cell>
          <cell r="Z70">
            <v>0.18</v>
          </cell>
          <cell r="AA70">
            <v>0.17</v>
          </cell>
          <cell r="AB70">
            <v>0.18</v>
          </cell>
          <cell r="AC70">
            <v>0.18</v>
          </cell>
          <cell r="AD70">
            <v>0.18</v>
          </cell>
          <cell r="AF70">
            <v>0.05</v>
          </cell>
        </row>
        <row r="71">
          <cell r="C71" t="str">
            <v>8310.00.00</v>
          </cell>
          <cell r="D71">
            <v>0.17</v>
          </cell>
          <cell r="E71">
            <v>0.18</v>
          </cell>
          <cell r="F71">
            <v>0.18</v>
          </cell>
          <cell r="G71">
            <v>0.18</v>
          </cell>
          <cell r="H71">
            <v>0.18</v>
          </cell>
          <cell r="I71">
            <v>0.18</v>
          </cell>
          <cell r="J71">
            <v>0.18</v>
          </cell>
          <cell r="K71">
            <v>0.17</v>
          </cell>
          <cell r="L71">
            <v>0.17</v>
          </cell>
          <cell r="M71">
            <v>0.18</v>
          </cell>
          <cell r="N71">
            <v>0.18</v>
          </cell>
          <cell r="O71">
            <v>0.17</v>
          </cell>
          <cell r="P71">
            <v>0.17</v>
          </cell>
          <cell r="Q71">
            <v>0.17</v>
          </cell>
          <cell r="R71">
            <v>0.18</v>
          </cell>
          <cell r="S71">
            <v>0.18</v>
          </cell>
          <cell r="T71">
            <v>0.18</v>
          </cell>
          <cell r="U71">
            <v>0.18</v>
          </cell>
          <cell r="V71">
            <v>0.2</v>
          </cell>
          <cell r="W71">
            <v>0.18</v>
          </cell>
          <cell r="X71">
            <v>0.17499999999999999</v>
          </cell>
          <cell r="Y71">
            <v>0.17</v>
          </cell>
          <cell r="Z71">
            <v>0.18</v>
          </cell>
          <cell r="AA71">
            <v>0.17</v>
          </cell>
          <cell r="AB71">
            <v>0.18</v>
          </cell>
          <cell r="AC71">
            <v>0.18</v>
          </cell>
          <cell r="AD71">
            <v>0.18</v>
          </cell>
          <cell r="AF71">
            <v>0</v>
          </cell>
        </row>
        <row r="72">
          <cell r="C72" t="str">
            <v>8414.59.10</v>
          </cell>
          <cell r="D72">
            <v>0.17</v>
          </cell>
          <cell r="E72">
            <v>0.18</v>
          </cell>
          <cell r="F72">
            <v>0.18</v>
          </cell>
          <cell r="G72">
            <v>0.18</v>
          </cell>
          <cell r="H72">
            <v>0.18</v>
          </cell>
          <cell r="I72">
            <v>0.18</v>
          </cell>
          <cell r="J72">
            <v>0.12</v>
          </cell>
          <cell r="K72">
            <v>0.12</v>
          </cell>
          <cell r="L72">
            <v>0.17</v>
          </cell>
          <cell r="M72">
            <v>0.18</v>
          </cell>
          <cell r="N72">
            <v>0.18</v>
          </cell>
          <cell r="O72">
            <v>0.17</v>
          </cell>
          <cell r="P72">
            <v>0.17</v>
          </cell>
          <cell r="Q72">
            <v>0.17</v>
          </cell>
          <cell r="R72">
            <v>0.18</v>
          </cell>
          <cell r="S72">
            <v>0.18</v>
          </cell>
          <cell r="T72">
            <v>0.18</v>
          </cell>
          <cell r="U72">
            <v>0.18</v>
          </cell>
          <cell r="V72">
            <v>0.2</v>
          </cell>
          <cell r="W72">
            <v>0.18</v>
          </cell>
          <cell r="X72">
            <v>0.17499999999999999</v>
          </cell>
          <cell r="Y72">
            <v>0.17</v>
          </cell>
          <cell r="Z72">
            <v>0.18</v>
          </cell>
          <cell r="AA72">
            <v>0.17</v>
          </cell>
          <cell r="AB72">
            <v>0.18</v>
          </cell>
          <cell r="AC72">
            <v>0.18</v>
          </cell>
          <cell r="AD72">
            <v>0.18</v>
          </cell>
          <cell r="AF72">
            <v>0.05</v>
          </cell>
        </row>
        <row r="73">
          <cell r="C73" t="str">
            <v>8414.59.90</v>
          </cell>
          <cell r="D73">
            <v>0.17</v>
          </cell>
          <cell r="E73">
            <v>0.18</v>
          </cell>
          <cell r="F73">
            <v>0.18</v>
          </cell>
          <cell r="G73">
            <v>0.18</v>
          </cell>
          <cell r="H73">
            <v>0.18</v>
          </cell>
          <cell r="I73">
            <v>0.18</v>
          </cell>
          <cell r="J73">
            <v>0.18</v>
          </cell>
          <cell r="K73">
            <v>0.12</v>
          </cell>
          <cell r="L73">
            <v>0.17</v>
          </cell>
          <cell r="M73">
            <v>0.18</v>
          </cell>
          <cell r="N73">
            <v>0.18</v>
          </cell>
          <cell r="O73">
            <v>0.17</v>
          </cell>
          <cell r="P73">
            <v>0.17</v>
          </cell>
          <cell r="Q73">
            <v>0.17</v>
          </cell>
          <cell r="R73">
            <v>0.18</v>
          </cell>
          <cell r="S73">
            <v>0.18</v>
          </cell>
          <cell r="T73">
            <v>0.18</v>
          </cell>
          <cell r="U73">
            <v>0.18</v>
          </cell>
          <cell r="V73">
            <v>0.2</v>
          </cell>
          <cell r="W73">
            <v>0.18</v>
          </cell>
          <cell r="X73">
            <v>0.17499999999999999</v>
          </cell>
          <cell r="Y73">
            <v>0.17</v>
          </cell>
          <cell r="Z73">
            <v>0.18</v>
          </cell>
          <cell r="AA73">
            <v>0.17</v>
          </cell>
          <cell r="AB73">
            <v>0.18</v>
          </cell>
          <cell r="AC73">
            <v>0.12</v>
          </cell>
          <cell r="AD73">
            <v>0.18</v>
          </cell>
          <cell r="AF73">
            <v>0</v>
          </cell>
        </row>
        <row r="74">
          <cell r="C74" t="str">
            <v>8414.90.20</v>
          </cell>
          <cell r="D74">
            <v>0.17</v>
          </cell>
          <cell r="E74">
            <v>0.18</v>
          </cell>
          <cell r="F74">
            <v>0.18</v>
          </cell>
          <cell r="G74">
            <v>0.18</v>
          </cell>
          <cell r="H74">
            <v>0.18</v>
          </cell>
          <cell r="I74">
            <v>0.18</v>
          </cell>
          <cell r="J74">
            <v>0.18</v>
          </cell>
          <cell r="K74">
            <v>0.17</v>
          </cell>
          <cell r="L74">
            <v>0.17</v>
          </cell>
          <cell r="M74">
            <v>0.18</v>
          </cell>
          <cell r="N74">
            <v>0.18</v>
          </cell>
          <cell r="O74">
            <v>0.17</v>
          </cell>
          <cell r="P74">
            <v>0.17</v>
          </cell>
          <cell r="Q74">
            <v>0.17</v>
          </cell>
          <cell r="R74">
            <v>0.18</v>
          </cell>
          <cell r="S74">
            <v>0.18</v>
          </cell>
          <cell r="T74">
            <v>0.18</v>
          </cell>
          <cell r="U74">
            <v>0.18</v>
          </cell>
          <cell r="V74">
            <v>0.2</v>
          </cell>
          <cell r="W74">
            <v>0.18</v>
          </cell>
          <cell r="X74">
            <v>0.17499999999999999</v>
          </cell>
          <cell r="Y74">
            <v>0.17</v>
          </cell>
          <cell r="Z74">
            <v>0.18</v>
          </cell>
          <cell r="AA74">
            <v>0.17</v>
          </cell>
          <cell r="AB74">
            <v>0.18</v>
          </cell>
          <cell r="AC74">
            <v>0.18</v>
          </cell>
          <cell r="AD74">
            <v>0.18</v>
          </cell>
          <cell r="AF74">
            <v>0.05</v>
          </cell>
        </row>
        <row r="75">
          <cell r="C75" t="str">
            <v>8419.89.99</v>
          </cell>
          <cell r="D75">
            <v>0.17</v>
          </cell>
          <cell r="E75">
            <v>0.18</v>
          </cell>
          <cell r="F75">
            <v>0.18</v>
          </cell>
          <cell r="G75">
            <v>0.18</v>
          </cell>
          <cell r="H75">
            <v>0.18</v>
          </cell>
          <cell r="I75">
            <v>0.18</v>
          </cell>
          <cell r="J75">
            <v>0.18</v>
          </cell>
          <cell r="K75">
            <v>0.17</v>
          </cell>
          <cell r="L75">
            <v>0.17</v>
          </cell>
          <cell r="M75">
            <v>0.18</v>
          </cell>
          <cell r="N75">
            <v>0.18</v>
          </cell>
          <cell r="O75">
            <v>0.17</v>
          </cell>
          <cell r="P75">
            <v>0.17</v>
          </cell>
          <cell r="Q75">
            <v>0.17</v>
          </cell>
          <cell r="R75">
            <v>0.18</v>
          </cell>
          <cell r="S75">
            <v>0.18</v>
          </cell>
          <cell r="T75">
            <v>0.18</v>
          </cell>
          <cell r="U75">
            <v>0.18</v>
          </cell>
          <cell r="V75">
            <v>0.2</v>
          </cell>
          <cell r="W75">
            <v>0.18</v>
          </cell>
          <cell r="X75">
            <v>0.17499999999999999</v>
          </cell>
          <cell r="Y75">
            <v>0.17</v>
          </cell>
          <cell r="Z75">
            <v>0.18</v>
          </cell>
          <cell r="AA75">
            <v>0.17</v>
          </cell>
          <cell r="AB75">
            <v>0.18</v>
          </cell>
          <cell r="AC75">
            <v>0.18</v>
          </cell>
          <cell r="AD75">
            <v>0.18</v>
          </cell>
          <cell r="AF75">
            <v>0.05</v>
          </cell>
        </row>
        <row r="76">
          <cell r="C76" t="str">
            <v>8421.39.90</v>
          </cell>
          <cell r="D76">
            <v>0.17</v>
          </cell>
          <cell r="E76">
            <v>0.18</v>
          </cell>
          <cell r="F76">
            <v>0.18</v>
          </cell>
          <cell r="G76">
            <v>0.18</v>
          </cell>
          <cell r="H76">
            <v>0.18</v>
          </cell>
          <cell r="I76">
            <v>0.18</v>
          </cell>
          <cell r="J76">
            <v>0.18</v>
          </cell>
          <cell r="K76">
            <v>0.12</v>
          </cell>
          <cell r="L76">
            <v>0.17</v>
          </cell>
          <cell r="M76">
            <v>0.18</v>
          </cell>
          <cell r="N76">
            <v>0.18</v>
          </cell>
          <cell r="O76">
            <v>0.17</v>
          </cell>
          <cell r="P76">
            <v>0.17</v>
          </cell>
          <cell r="Q76">
            <v>0.17</v>
          </cell>
          <cell r="R76">
            <v>0.18</v>
          </cell>
          <cell r="S76">
            <v>0.18</v>
          </cell>
          <cell r="T76">
            <v>0.18</v>
          </cell>
          <cell r="U76">
            <v>0.18</v>
          </cell>
          <cell r="V76">
            <v>0.2</v>
          </cell>
          <cell r="W76">
            <v>0.18</v>
          </cell>
          <cell r="X76">
            <v>0.17499999999999999</v>
          </cell>
          <cell r="Y76">
            <v>0.17</v>
          </cell>
          <cell r="Z76">
            <v>0.18</v>
          </cell>
          <cell r="AA76">
            <v>0.17</v>
          </cell>
          <cell r="AB76">
            <v>0.18</v>
          </cell>
          <cell r="AC76">
            <v>0.18</v>
          </cell>
          <cell r="AD76">
            <v>0.18</v>
          </cell>
          <cell r="AF76">
            <v>0</v>
          </cell>
        </row>
        <row r="77">
          <cell r="C77" t="str">
            <v>8423.30.90</v>
          </cell>
          <cell r="D77">
            <v>0.17</v>
          </cell>
          <cell r="E77">
            <v>0.18</v>
          </cell>
          <cell r="F77">
            <v>0.18</v>
          </cell>
          <cell r="G77">
            <v>0.18</v>
          </cell>
          <cell r="H77">
            <v>0.18</v>
          </cell>
          <cell r="I77">
            <v>0.18</v>
          </cell>
          <cell r="J77">
            <v>0.18</v>
          </cell>
          <cell r="K77">
            <v>0.12</v>
          </cell>
          <cell r="L77">
            <v>0.17</v>
          </cell>
          <cell r="M77">
            <v>0.18</v>
          </cell>
          <cell r="N77">
            <v>0.18</v>
          </cell>
          <cell r="O77">
            <v>0.17</v>
          </cell>
          <cell r="P77">
            <v>0.17</v>
          </cell>
          <cell r="Q77">
            <v>0.17</v>
          </cell>
          <cell r="R77">
            <v>0.18</v>
          </cell>
          <cell r="S77">
            <v>0.18</v>
          </cell>
          <cell r="T77">
            <v>0.18</v>
          </cell>
          <cell r="U77">
            <v>0.18</v>
          </cell>
          <cell r="V77">
            <v>0.2</v>
          </cell>
          <cell r="W77">
            <v>0.18</v>
          </cell>
          <cell r="X77">
            <v>0.17499999999999999</v>
          </cell>
          <cell r="Y77">
            <v>0.17</v>
          </cell>
          <cell r="Z77">
            <v>0.18</v>
          </cell>
          <cell r="AA77">
            <v>0.17</v>
          </cell>
          <cell r="AB77">
            <v>0.18</v>
          </cell>
          <cell r="AC77">
            <v>0.18</v>
          </cell>
          <cell r="AD77">
            <v>0.18</v>
          </cell>
          <cell r="AF77">
            <v>0</v>
          </cell>
        </row>
        <row r="78">
          <cell r="C78" t="str">
            <v>8424.10.00</v>
          </cell>
          <cell r="D78">
            <v>0.17</v>
          </cell>
          <cell r="E78">
            <v>0.18</v>
          </cell>
          <cell r="F78">
            <v>0.18</v>
          </cell>
          <cell r="G78">
            <v>0.18</v>
          </cell>
          <cell r="H78">
            <v>0.18</v>
          </cell>
          <cell r="I78">
            <v>0.18</v>
          </cell>
          <cell r="J78">
            <v>0.18</v>
          </cell>
          <cell r="K78">
            <v>0.17</v>
          </cell>
          <cell r="L78">
            <v>0.17</v>
          </cell>
          <cell r="M78">
            <v>0.18</v>
          </cell>
          <cell r="N78">
            <v>0.18</v>
          </cell>
          <cell r="O78">
            <v>0.17</v>
          </cell>
          <cell r="P78">
            <v>0.17</v>
          </cell>
          <cell r="Q78">
            <v>0.17</v>
          </cell>
          <cell r="R78">
            <v>0.18</v>
          </cell>
          <cell r="S78">
            <v>0.18</v>
          </cell>
          <cell r="T78">
            <v>0.18</v>
          </cell>
          <cell r="U78">
            <v>0.18</v>
          </cell>
          <cell r="V78">
            <v>0.2</v>
          </cell>
          <cell r="W78">
            <v>0.18</v>
          </cell>
          <cell r="X78">
            <v>0.17499999999999999</v>
          </cell>
          <cell r="Y78">
            <v>0.17</v>
          </cell>
          <cell r="Z78">
            <v>0.18</v>
          </cell>
          <cell r="AA78">
            <v>0.17</v>
          </cell>
          <cell r="AB78">
            <v>0.18</v>
          </cell>
          <cell r="AC78">
            <v>0.18</v>
          </cell>
          <cell r="AD78">
            <v>0.18</v>
          </cell>
          <cell r="AF78">
            <v>0.08</v>
          </cell>
        </row>
        <row r="79">
          <cell r="C79" t="str">
            <v>8424.30.90</v>
          </cell>
          <cell r="D79">
            <v>0.17</v>
          </cell>
          <cell r="E79">
            <v>0.18</v>
          </cell>
          <cell r="F79">
            <v>0.18</v>
          </cell>
          <cell r="G79">
            <v>0.18</v>
          </cell>
          <cell r="H79">
            <v>0.18</v>
          </cell>
          <cell r="I79">
            <v>0.18</v>
          </cell>
          <cell r="J79">
            <v>0.18</v>
          </cell>
          <cell r="K79">
            <v>0.12</v>
          </cell>
          <cell r="L79">
            <v>0.17</v>
          </cell>
          <cell r="M79">
            <v>0.18</v>
          </cell>
          <cell r="N79">
            <v>0.18</v>
          </cell>
          <cell r="O79">
            <v>0.17</v>
          </cell>
          <cell r="P79">
            <v>0.17</v>
          </cell>
          <cell r="Q79">
            <v>0.17</v>
          </cell>
          <cell r="R79">
            <v>0.18</v>
          </cell>
          <cell r="S79">
            <v>0.18</v>
          </cell>
          <cell r="T79">
            <v>0.18</v>
          </cell>
          <cell r="U79">
            <v>0.18</v>
          </cell>
          <cell r="V79">
            <v>0.2</v>
          </cell>
          <cell r="W79">
            <v>0.18</v>
          </cell>
          <cell r="X79">
            <v>0.17499999999999999</v>
          </cell>
          <cell r="Y79">
            <v>0.17</v>
          </cell>
          <cell r="Z79">
            <v>0.18</v>
          </cell>
          <cell r="AA79">
            <v>0.17</v>
          </cell>
          <cell r="AB79">
            <v>0.18</v>
          </cell>
          <cell r="AC79">
            <v>0.18</v>
          </cell>
          <cell r="AD79">
            <v>0.18</v>
          </cell>
          <cell r="AF79">
            <v>0</v>
          </cell>
        </row>
        <row r="80">
          <cell r="C80" t="str">
            <v>8427.10.90</v>
          </cell>
          <cell r="D80">
            <v>0.17</v>
          </cell>
          <cell r="E80">
            <v>0.18</v>
          </cell>
          <cell r="F80">
            <v>0.18</v>
          </cell>
          <cell r="G80">
            <v>0.18</v>
          </cell>
          <cell r="H80">
            <v>0.18</v>
          </cell>
          <cell r="I80">
            <v>0.18</v>
          </cell>
          <cell r="J80">
            <v>0.18</v>
          </cell>
          <cell r="K80">
            <v>0.12</v>
          </cell>
          <cell r="L80">
            <v>0.17</v>
          </cell>
          <cell r="M80">
            <v>0.18</v>
          </cell>
          <cell r="N80">
            <v>0.18</v>
          </cell>
          <cell r="O80">
            <v>0.17</v>
          </cell>
          <cell r="P80">
            <v>0.17</v>
          </cell>
          <cell r="Q80">
            <v>0.17</v>
          </cell>
          <cell r="R80">
            <v>0.18</v>
          </cell>
          <cell r="S80">
            <v>0.18</v>
          </cell>
          <cell r="T80">
            <v>0.18</v>
          </cell>
          <cell r="U80">
            <v>0.18</v>
          </cell>
          <cell r="V80">
            <v>0.2</v>
          </cell>
          <cell r="W80">
            <v>0.18</v>
          </cell>
          <cell r="X80">
            <v>0.17499999999999999</v>
          </cell>
          <cell r="Y80">
            <v>0.17</v>
          </cell>
          <cell r="Z80">
            <v>0.18</v>
          </cell>
          <cell r="AA80">
            <v>0.17</v>
          </cell>
          <cell r="AB80">
            <v>0.18</v>
          </cell>
          <cell r="AC80">
            <v>0.12</v>
          </cell>
          <cell r="AD80">
            <v>0.18</v>
          </cell>
          <cell r="AF80">
            <v>0</v>
          </cell>
        </row>
        <row r="81">
          <cell r="C81" t="str">
            <v>8429.51.29</v>
          </cell>
          <cell r="D81">
            <v>0.17</v>
          </cell>
          <cell r="E81">
            <v>0.18</v>
          </cell>
          <cell r="F81">
            <v>0.18</v>
          </cell>
          <cell r="G81">
            <v>0.18</v>
          </cell>
          <cell r="H81">
            <v>0.18</v>
          </cell>
          <cell r="I81">
            <v>0.18</v>
          </cell>
          <cell r="J81">
            <v>0.18</v>
          </cell>
          <cell r="K81">
            <v>0.12</v>
          </cell>
          <cell r="L81">
            <v>0.17</v>
          </cell>
          <cell r="M81">
            <v>0.18</v>
          </cell>
          <cell r="N81">
            <v>0.18</v>
          </cell>
          <cell r="O81">
            <v>0.17</v>
          </cell>
          <cell r="P81">
            <v>0.17</v>
          </cell>
          <cell r="Q81">
            <v>0.17</v>
          </cell>
          <cell r="R81">
            <v>0.18</v>
          </cell>
          <cell r="S81">
            <v>0.18</v>
          </cell>
          <cell r="T81">
            <v>0.18</v>
          </cell>
          <cell r="U81">
            <v>0.18</v>
          </cell>
          <cell r="V81">
            <v>0.2</v>
          </cell>
          <cell r="W81">
            <v>0.18</v>
          </cell>
          <cell r="X81">
            <v>0.17499999999999999</v>
          </cell>
          <cell r="Y81">
            <v>0.17</v>
          </cell>
          <cell r="Z81">
            <v>0.18</v>
          </cell>
          <cell r="AA81">
            <v>0.17</v>
          </cell>
          <cell r="AB81">
            <v>0.18</v>
          </cell>
          <cell r="AC81">
            <v>0.12</v>
          </cell>
          <cell r="AD81">
            <v>0.18</v>
          </cell>
          <cell r="AF81">
            <v>0</v>
          </cell>
        </row>
        <row r="82">
          <cell r="C82" t="str">
            <v>8443.31.15</v>
          </cell>
          <cell r="D82">
            <v>0.17</v>
          </cell>
          <cell r="E82">
            <v>0.18</v>
          </cell>
          <cell r="F82">
            <v>0.18</v>
          </cell>
          <cell r="G82">
            <v>0.18</v>
          </cell>
          <cell r="H82">
            <v>0.18</v>
          </cell>
          <cell r="I82">
            <v>0.18</v>
          </cell>
          <cell r="J82">
            <v>0.18</v>
          </cell>
          <cell r="K82">
            <v>0.17</v>
          </cell>
          <cell r="L82">
            <v>0.17</v>
          </cell>
          <cell r="M82">
            <v>0.18</v>
          </cell>
          <cell r="N82">
            <v>0.18</v>
          </cell>
          <cell r="O82">
            <v>0.17</v>
          </cell>
          <cell r="P82">
            <v>0.17</v>
          </cell>
          <cell r="Q82">
            <v>0.17</v>
          </cell>
          <cell r="R82">
            <v>0.18</v>
          </cell>
          <cell r="S82">
            <v>7.0000000000000007E-2</v>
          </cell>
          <cell r="T82">
            <v>0.12</v>
          </cell>
          <cell r="U82">
            <v>0.18</v>
          </cell>
          <cell r="V82">
            <v>0.2</v>
          </cell>
          <cell r="W82">
            <v>0.18</v>
          </cell>
          <cell r="X82">
            <v>0.17499999999999999</v>
          </cell>
          <cell r="Y82">
            <v>0.17</v>
          </cell>
          <cell r="Z82">
            <v>0.18</v>
          </cell>
          <cell r="AA82">
            <v>0.17</v>
          </cell>
          <cell r="AB82">
            <v>7.0000000000000007E-2</v>
          </cell>
          <cell r="AC82">
            <v>0.18</v>
          </cell>
          <cell r="AD82">
            <v>0.18</v>
          </cell>
          <cell r="AF82">
            <v>0.15</v>
          </cell>
        </row>
        <row r="83">
          <cell r="C83" t="str">
            <v>8443.32.40</v>
          </cell>
          <cell r="D83">
            <v>0.17</v>
          </cell>
          <cell r="E83">
            <v>0.18</v>
          </cell>
          <cell r="F83">
            <v>0.18</v>
          </cell>
          <cell r="G83">
            <v>0.18</v>
          </cell>
          <cell r="H83">
            <v>0.18</v>
          </cell>
          <cell r="I83">
            <v>0.18</v>
          </cell>
          <cell r="J83">
            <v>0.18</v>
          </cell>
          <cell r="K83">
            <v>0.17</v>
          </cell>
          <cell r="L83">
            <v>0.17</v>
          </cell>
          <cell r="M83">
            <v>0.18</v>
          </cell>
          <cell r="N83">
            <v>0.18</v>
          </cell>
          <cell r="O83">
            <v>0.17</v>
          </cell>
          <cell r="P83">
            <v>0.17</v>
          </cell>
          <cell r="Q83">
            <v>0.17</v>
          </cell>
          <cell r="R83">
            <v>0.18</v>
          </cell>
          <cell r="S83">
            <v>7.0000000000000007E-2</v>
          </cell>
          <cell r="T83">
            <v>0.12</v>
          </cell>
          <cell r="U83">
            <v>0.18</v>
          </cell>
          <cell r="V83">
            <v>0.2</v>
          </cell>
          <cell r="W83">
            <v>0.18</v>
          </cell>
          <cell r="X83">
            <v>0.17499999999999999</v>
          </cell>
          <cell r="Y83">
            <v>0.17</v>
          </cell>
          <cell r="Z83">
            <v>0.18</v>
          </cell>
          <cell r="AA83">
            <v>0.17</v>
          </cell>
          <cell r="AB83">
            <v>7.0000000000000007E-2</v>
          </cell>
          <cell r="AC83">
            <v>0.18</v>
          </cell>
          <cell r="AD83">
            <v>0.18</v>
          </cell>
          <cell r="AF83">
            <v>0.15</v>
          </cell>
        </row>
        <row r="84">
          <cell r="C84" t="str">
            <v>8443.99.33</v>
          </cell>
          <cell r="D84">
            <v>0.17</v>
          </cell>
          <cell r="E84">
            <v>0.18</v>
          </cell>
          <cell r="F84">
            <v>0.18</v>
          </cell>
          <cell r="G84">
            <v>0.18</v>
          </cell>
          <cell r="H84">
            <v>0.18</v>
          </cell>
          <cell r="I84">
            <v>0.18</v>
          </cell>
          <cell r="J84">
            <v>0.18</v>
          </cell>
          <cell r="K84">
            <v>0.12</v>
          </cell>
          <cell r="L84">
            <v>0.17</v>
          </cell>
          <cell r="M84">
            <v>0.18</v>
          </cell>
          <cell r="N84">
            <v>0.18</v>
          </cell>
          <cell r="O84">
            <v>0.17</v>
          </cell>
          <cell r="P84">
            <v>0.17</v>
          </cell>
          <cell r="Q84">
            <v>0.17</v>
          </cell>
          <cell r="R84">
            <v>0.18</v>
          </cell>
          <cell r="S84">
            <v>7.0000000000000007E-2</v>
          </cell>
          <cell r="T84">
            <v>0.12</v>
          </cell>
          <cell r="U84">
            <v>0.18</v>
          </cell>
          <cell r="V84">
            <v>0.2</v>
          </cell>
          <cell r="W84">
            <v>0.18</v>
          </cell>
          <cell r="X84">
            <v>0.17499999999999999</v>
          </cell>
          <cell r="Y84">
            <v>0.17</v>
          </cell>
          <cell r="Z84">
            <v>0.18</v>
          </cell>
          <cell r="AA84">
            <v>0.17</v>
          </cell>
          <cell r="AB84">
            <v>7.0000000000000007E-2</v>
          </cell>
          <cell r="AC84">
            <v>0.18</v>
          </cell>
          <cell r="AD84">
            <v>0.18</v>
          </cell>
          <cell r="AF84">
            <v>0.05</v>
          </cell>
        </row>
        <row r="85">
          <cell r="C85" t="str">
            <v>8470.50.11</v>
          </cell>
          <cell r="D85">
            <v>0.17</v>
          </cell>
          <cell r="E85">
            <v>0.18</v>
          </cell>
          <cell r="F85">
            <v>0.18</v>
          </cell>
          <cell r="G85">
            <v>0.18</v>
          </cell>
          <cell r="H85">
            <v>0.18</v>
          </cell>
          <cell r="I85">
            <v>0.18</v>
          </cell>
          <cell r="J85">
            <v>0.12</v>
          </cell>
          <cell r="K85">
            <v>0.17</v>
          </cell>
          <cell r="L85">
            <v>0.17</v>
          </cell>
          <cell r="M85">
            <v>0.18</v>
          </cell>
          <cell r="N85">
            <v>0.18</v>
          </cell>
          <cell r="O85">
            <v>0.17</v>
          </cell>
          <cell r="P85">
            <v>0.17</v>
          </cell>
          <cell r="Q85">
            <v>0.17</v>
          </cell>
          <cell r="R85">
            <v>0.18</v>
          </cell>
          <cell r="S85">
            <v>7.0000000000000007E-2</v>
          </cell>
          <cell r="T85">
            <v>0.12</v>
          </cell>
          <cell r="U85">
            <v>0.18</v>
          </cell>
          <cell r="V85">
            <v>0.2</v>
          </cell>
          <cell r="W85">
            <v>0.18</v>
          </cell>
          <cell r="X85">
            <v>0.17499999999999999</v>
          </cell>
          <cell r="Y85">
            <v>0.17</v>
          </cell>
          <cell r="Z85">
            <v>0.18</v>
          </cell>
          <cell r="AA85">
            <v>0.17</v>
          </cell>
          <cell r="AB85">
            <v>7.0000000000000007E-2</v>
          </cell>
          <cell r="AC85">
            <v>0.18</v>
          </cell>
          <cell r="AD85">
            <v>0.18</v>
          </cell>
          <cell r="AF85">
            <v>0.15</v>
          </cell>
        </row>
        <row r="86">
          <cell r="C86" t="str">
            <v>8471.30.12</v>
          </cell>
          <cell r="D86">
            <v>0.17</v>
          </cell>
          <cell r="E86">
            <v>0.18</v>
          </cell>
          <cell r="F86">
            <v>0.18</v>
          </cell>
          <cell r="G86">
            <v>0.18</v>
          </cell>
          <cell r="H86">
            <v>0.18</v>
          </cell>
          <cell r="I86">
            <v>0.18</v>
          </cell>
          <cell r="J86">
            <v>0.12</v>
          </cell>
          <cell r="K86">
            <v>0.17</v>
          </cell>
          <cell r="L86">
            <v>0.17</v>
          </cell>
          <cell r="M86">
            <v>0.18</v>
          </cell>
          <cell r="N86">
            <v>0.18</v>
          </cell>
          <cell r="O86">
            <v>0.17</v>
          </cell>
          <cell r="P86">
            <v>0.17</v>
          </cell>
          <cell r="Q86">
            <v>0.17</v>
          </cell>
          <cell r="R86">
            <v>0.18</v>
          </cell>
          <cell r="S86">
            <v>7.0000000000000007E-2</v>
          </cell>
          <cell r="T86">
            <v>0.12</v>
          </cell>
          <cell r="U86">
            <v>0.18</v>
          </cell>
          <cell r="V86">
            <v>0.2</v>
          </cell>
          <cell r="W86">
            <v>0.18</v>
          </cell>
          <cell r="X86">
            <v>0.17499999999999999</v>
          </cell>
          <cell r="Y86">
            <v>0.17</v>
          </cell>
          <cell r="Z86">
            <v>0.18</v>
          </cell>
          <cell r="AA86">
            <v>0.17</v>
          </cell>
          <cell r="AB86">
            <v>7.0000000000000007E-2</v>
          </cell>
          <cell r="AC86">
            <v>0.18</v>
          </cell>
          <cell r="AD86">
            <v>0.18</v>
          </cell>
          <cell r="AF86">
            <v>0.15</v>
          </cell>
        </row>
        <row r="87">
          <cell r="C87" t="str">
            <v>8471.30.19</v>
          </cell>
          <cell r="D87">
            <v>0.17</v>
          </cell>
          <cell r="E87">
            <v>0.18</v>
          </cell>
          <cell r="F87">
            <v>0.18</v>
          </cell>
          <cell r="G87">
            <v>0.18</v>
          </cell>
          <cell r="H87">
            <v>0.18</v>
          </cell>
          <cell r="I87">
            <v>0.18</v>
          </cell>
          <cell r="J87">
            <v>0.12</v>
          </cell>
          <cell r="K87">
            <v>0.17</v>
          </cell>
          <cell r="L87">
            <v>0.17</v>
          </cell>
          <cell r="M87">
            <v>0.18</v>
          </cell>
          <cell r="N87">
            <v>0.18</v>
          </cell>
          <cell r="O87">
            <v>0.17</v>
          </cell>
          <cell r="P87">
            <v>0.17</v>
          </cell>
          <cell r="Q87">
            <v>0.17</v>
          </cell>
          <cell r="R87">
            <v>0.18</v>
          </cell>
          <cell r="S87">
            <v>7.0000000000000007E-2</v>
          </cell>
          <cell r="T87">
            <v>0.12</v>
          </cell>
          <cell r="U87">
            <v>0.18</v>
          </cell>
          <cell r="V87">
            <v>0.2</v>
          </cell>
          <cell r="W87">
            <v>0.18</v>
          </cell>
          <cell r="X87">
            <v>0.17499999999999999</v>
          </cell>
          <cell r="Y87">
            <v>0.17</v>
          </cell>
          <cell r="Z87">
            <v>0.18</v>
          </cell>
          <cell r="AA87">
            <v>0.17</v>
          </cell>
          <cell r="AB87">
            <v>7.0000000000000007E-2</v>
          </cell>
          <cell r="AC87">
            <v>0.18</v>
          </cell>
          <cell r="AD87">
            <v>0.18</v>
          </cell>
          <cell r="AF87">
            <v>0.15</v>
          </cell>
        </row>
        <row r="88">
          <cell r="C88" t="str">
            <v>8471.30.90</v>
          </cell>
          <cell r="D88">
            <v>0.17</v>
          </cell>
          <cell r="E88">
            <v>0.18</v>
          </cell>
          <cell r="F88">
            <v>0.18</v>
          </cell>
          <cell r="G88">
            <v>0.18</v>
          </cell>
          <cell r="H88">
            <v>0.18</v>
          </cell>
          <cell r="I88">
            <v>0.18</v>
          </cell>
          <cell r="J88">
            <v>0.12</v>
          </cell>
          <cell r="K88">
            <v>0.17</v>
          </cell>
          <cell r="L88">
            <v>0.17</v>
          </cell>
          <cell r="M88">
            <v>0.18</v>
          </cell>
          <cell r="N88">
            <v>0.18</v>
          </cell>
          <cell r="O88">
            <v>0.17</v>
          </cell>
          <cell r="P88">
            <v>0.17</v>
          </cell>
          <cell r="Q88">
            <v>0.17</v>
          </cell>
          <cell r="R88">
            <v>0.18</v>
          </cell>
          <cell r="S88">
            <v>7.0000000000000007E-2</v>
          </cell>
          <cell r="T88">
            <v>0.12</v>
          </cell>
          <cell r="U88">
            <v>0.18</v>
          </cell>
          <cell r="V88">
            <v>0.2</v>
          </cell>
          <cell r="W88">
            <v>0.18</v>
          </cell>
          <cell r="X88">
            <v>0.17499999999999999</v>
          </cell>
          <cell r="Y88">
            <v>0.17</v>
          </cell>
          <cell r="Z88">
            <v>0.18</v>
          </cell>
          <cell r="AA88">
            <v>0.17</v>
          </cell>
          <cell r="AB88">
            <v>7.0000000000000007E-2</v>
          </cell>
          <cell r="AC88">
            <v>0.18</v>
          </cell>
          <cell r="AD88">
            <v>0.18</v>
          </cell>
          <cell r="AF88">
            <v>0.15</v>
          </cell>
        </row>
        <row r="89">
          <cell r="C89" t="str">
            <v>8471.41.90</v>
          </cell>
          <cell r="D89">
            <v>0.17</v>
          </cell>
          <cell r="E89">
            <v>0.18</v>
          </cell>
          <cell r="F89">
            <v>0.18</v>
          </cell>
          <cell r="G89">
            <v>0.18</v>
          </cell>
          <cell r="H89">
            <v>0.18</v>
          </cell>
          <cell r="I89">
            <v>0.18</v>
          </cell>
          <cell r="J89">
            <v>0.12</v>
          </cell>
          <cell r="K89">
            <v>0.17</v>
          </cell>
          <cell r="L89">
            <v>0.17</v>
          </cell>
          <cell r="M89">
            <v>0.18</v>
          </cell>
          <cell r="N89">
            <v>0.18</v>
          </cell>
          <cell r="O89">
            <v>0.17</v>
          </cell>
          <cell r="P89">
            <v>0.17</v>
          </cell>
          <cell r="Q89">
            <v>0.17</v>
          </cell>
          <cell r="R89">
            <v>0.18</v>
          </cell>
          <cell r="S89">
            <v>7.0000000000000007E-2</v>
          </cell>
          <cell r="T89">
            <v>0.12</v>
          </cell>
          <cell r="U89">
            <v>0.18</v>
          </cell>
          <cell r="V89">
            <v>0.2</v>
          </cell>
          <cell r="W89">
            <v>0.18</v>
          </cell>
          <cell r="X89">
            <v>0.17499999999999999</v>
          </cell>
          <cell r="Y89">
            <v>0.17</v>
          </cell>
          <cell r="Z89">
            <v>0.18</v>
          </cell>
          <cell r="AA89">
            <v>0.17</v>
          </cell>
          <cell r="AB89">
            <v>7.0000000000000007E-2</v>
          </cell>
          <cell r="AC89">
            <v>0.18</v>
          </cell>
          <cell r="AD89">
            <v>0.18</v>
          </cell>
          <cell r="AF89">
            <v>0.15</v>
          </cell>
        </row>
        <row r="90">
          <cell r="C90" t="str">
            <v>8471.50.10</v>
          </cell>
          <cell r="D90">
            <v>0.17</v>
          </cell>
          <cell r="E90">
            <v>0.18</v>
          </cell>
          <cell r="F90">
            <v>0.18</v>
          </cell>
          <cell r="G90">
            <v>0.18</v>
          </cell>
          <cell r="H90">
            <v>0.18</v>
          </cell>
          <cell r="I90">
            <v>0.18</v>
          </cell>
          <cell r="J90">
            <v>0.12</v>
          </cell>
          <cell r="K90">
            <v>0.12</v>
          </cell>
          <cell r="L90">
            <v>0.17</v>
          </cell>
          <cell r="M90">
            <v>0.18</v>
          </cell>
          <cell r="N90">
            <v>0.18</v>
          </cell>
          <cell r="O90">
            <v>0.17</v>
          </cell>
          <cell r="P90">
            <v>0.17</v>
          </cell>
          <cell r="Q90">
            <v>0.17</v>
          </cell>
          <cell r="R90">
            <v>0.18</v>
          </cell>
          <cell r="S90">
            <v>7.0000000000000007E-2</v>
          </cell>
          <cell r="T90">
            <v>0.12</v>
          </cell>
          <cell r="U90">
            <v>0.18</v>
          </cell>
          <cell r="V90">
            <v>0.2</v>
          </cell>
          <cell r="W90">
            <v>0.18</v>
          </cell>
          <cell r="X90">
            <v>0.17499999999999999</v>
          </cell>
          <cell r="Y90">
            <v>0.17</v>
          </cell>
          <cell r="Z90">
            <v>0.18</v>
          </cell>
          <cell r="AA90">
            <v>0.17</v>
          </cell>
          <cell r="AB90">
            <v>7.0000000000000007E-2</v>
          </cell>
          <cell r="AC90">
            <v>0.18</v>
          </cell>
          <cell r="AD90">
            <v>0.18</v>
          </cell>
          <cell r="AF90">
            <v>0.15</v>
          </cell>
        </row>
        <row r="91">
          <cell r="C91" t="str">
            <v>8471.50.20</v>
          </cell>
          <cell r="D91">
            <v>0.17</v>
          </cell>
          <cell r="E91">
            <v>0.18</v>
          </cell>
          <cell r="F91">
            <v>0.18</v>
          </cell>
          <cell r="G91">
            <v>0.18</v>
          </cell>
          <cell r="H91">
            <v>0.18</v>
          </cell>
          <cell r="I91">
            <v>0.18</v>
          </cell>
          <cell r="J91">
            <v>0.12</v>
          </cell>
          <cell r="K91">
            <v>0.12</v>
          </cell>
          <cell r="L91">
            <v>0.17</v>
          </cell>
          <cell r="M91">
            <v>0.18</v>
          </cell>
          <cell r="N91">
            <v>0.18</v>
          </cell>
          <cell r="O91">
            <v>0.17</v>
          </cell>
          <cell r="P91">
            <v>0.17</v>
          </cell>
          <cell r="Q91">
            <v>0.17</v>
          </cell>
          <cell r="R91">
            <v>0.18</v>
          </cell>
          <cell r="S91">
            <v>7.0000000000000007E-2</v>
          </cell>
          <cell r="T91">
            <v>0.12</v>
          </cell>
          <cell r="U91">
            <v>0.18</v>
          </cell>
          <cell r="V91">
            <v>0.2</v>
          </cell>
          <cell r="W91">
            <v>0.18</v>
          </cell>
          <cell r="X91">
            <v>0.17499999999999999</v>
          </cell>
          <cell r="Y91">
            <v>0.17</v>
          </cell>
          <cell r="Z91">
            <v>0.18</v>
          </cell>
          <cell r="AA91">
            <v>0.17</v>
          </cell>
          <cell r="AB91">
            <v>7.0000000000000007E-2</v>
          </cell>
          <cell r="AC91">
            <v>0.18</v>
          </cell>
          <cell r="AD91">
            <v>0.18</v>
          </cell>
          <cell r="AF91">
            <v>0.15</v>
          </cell>
        </row>
        <row r="92">
          <cell r="C92" t="str">
            <v>8471.50.30</v>
          </cell>
          <cell r="D92">
            <v>0.17</v>
          </cell>
          <cell r="E92">
            <v>0.18</v>
          </cell>
          <cell r="F92">
            <v>0.18</v>
          </cell>
          <cell r="G92">
            <v>0.18</v>
          </cell>
          <cell r="H92">
            <v>0.18</v>
          </cell>
          <cell r="I92">
            <v>0.18</v>
          </cell>
          <cell r="J92">
            <v>0.12</v>
          </cell>
          <cell r="K92">
            <v>0.12</v>
          </cell>
          <cell r="L92">
            <v>0.17</v>
          </cell>
          <cell r="M92">
            <v>0.18</v>
          </cell>
          <cell r="N92">
            <v>0.18</v>
          </cell>
          <cell r="O92">
            <v>0.17</v>
          </cell>
          <cell r="P92">
            <v>0.17</v>
          </cell>
          <cell r="Q92">
            <v>0.17</v>
          </cell>
          <cell r="R92">
            <v>0.18</v>
          </cell>
          <cell r="S92">
            <v>7.0000000000000007E-2</v>
          </cell>
          <cell r="T92">
            <v>0.12</v>
          </cell>
          <cell r="U92">
            <v>0.18</v>
          </cell>
          <cell r="V92">
            <v>0.2</v>
          </cell>
          <cell r="W92">
            <v>0.18</v>
          </cell>
          <cell r="X92">
            <v>0.17499999999999999</v>
          </cell>
          <cell r="Y92">
            <v>0.17</v>
          </cell>
          <cell r="Z92">
            <v>0.18</v>
          </cell>
          <cell r="AA92">
            <v>0.17</v>
          </cell>
          <cell r="AB92">
            <v>7.0000000000000007E-2</v>
          </cell>
          <cell r="AC92">
            <v>0.18</v>
          </cell>
          <cell r="AD92">
            <v>0.18</v>
          </cell>
          <cell r="AF92">
            <v>0.15</v>
          </cell>
        </row>
        <row r="93">
          <cell r="C93" t="str">
            <v>8471.50.40</v>
          </cell>
          <cell r="D93">
            <v>0.17</v>
          </cell>
          <cell r="E93">
            <v>0.18</v>
          </cell>
          <cell r="F93">
            <v>0.18</v>
          </cell>
          <cell r="G93">
            <v>0.18</v>
          </cell>
          <cell r="H93">
            <v>0.18</v>
          </cell>
          <cell r="I93">
            <v>0.18</v>
          </cell>
          <cell r="J93">
            <v>0.12</v>
          </cell>
          <cell r="K93">
            <v>0.12</v>
          </cell>
          <cell r="L93">
            <v>0.17</v>
          </cell>
          <cell r="M93">
            <v>0.18</v>
          </cell>
          <cell r="N93">
            <v>0.18</v>
          </cell>
          <cell r="O93">
            <v>0.17</v>
          </cell>
          <cell r="P93">
            <v>0.17</v>
          </cell>
          <cell r="Q93">
            <v>0.17</v>
          </cell>
          <cell r="R93">
            <v>0.18</v>
          </cell>
          <cell r="S93">
            <v>7.0000000000000007E-2</v>
          </cell>
          <cell r="T93">
            <v>0.12</v>
          </cell>
          <cell r="U93">
            <v>0.18</v>
          </cell>
          <cell r="V93">
            <v>0.2</v>
          </cell>
          <cell r="W93">
            <v>0.18</v>
          </cell>
          <cell r="X93">
            <v>0.17499999999999999</v>
          </cell>
          <cell r="Y93">
            <v>0.17</v>
          </cell>
          <cell r="Z93">
            <v>0.18</v>
          </cell>
          <cell r="AA93">
            <v>0.17</v>
          </cell>
          <cell r="AB93">
            <v>7.0000000000000007E-2</v>
          </cell>
          <cell r="AC93">
            <v>0.18</v>
          </cell>
          <cell r="AD93">
            <v>0.18</v>
          </cell>
          <cell r="AF93">
            <v>0.15</v>
          </cell>
        </row>
        <row r="94">
          <cell r="C94" t="str">
            <v>8471.50.90</v>
          </cell>
          <cell r="D94">
            <v>0.17</v>
          </cell>
          <cell r="E94">
            <v>0.18</v>
          </cell>
          <cell r="F94">
            <v>0.18</v>
          </cell>
          <cell r="G94">
            <v>0.18</v>
          </cell>
          <cell r="H94">
            <v>0.18</v>
          </cell>
          <cell r="I94">
            <v>0.18</v>
          </cell>
          <cell r="J94">
            <v>0.12</v>
          </cell>
          <cell r="K94">
            <v>0.12</v>
          </cell>
          <cell r="L94">
            <v>0.17</v>
          </cell>
          <cell r="M94">
            <v>0.18</v>
          </cell>
          <cell r="N94">
            <v>0.18</v>
          </cell>
          <cell r="O94">
            <v>0.17</v>
          </cell>
          <cell r="P94">
            <v>0.17</v>
          </cell>
          <cell r="Q94">
            <v>0.17</v>
          </cell>
          <cell r="R94">
            <v>0.18</v>
          </cell>
          <cell r="S94">
            <v>7.0000000000000007E-2</v>
          </cell>
          <cell r="T94">
            <v>0.12</v>
          </cell>
          <cell r="U94">
            <v>0.18</v>
          </cell>
          <cell r="V94">
            <v>0.2</v>
          </cell>
          <cell r="W94">
            <v>0.18</v>
          </cell>
          <cell r="X94">
            <v>0.17499999999999999</v>
          </cell>
          <cell r="Y94">
            <v>0.17</v>
          </cell>
          <cell r="Z94">
            <v>0.18</v>
          </cell>
          <cell r="AA94">
            <v>0.17</v>
          </cell>
          <cell r="AB94">
            <v>7.0000000000000007E-2</v>
          </cell>
          <cell r="AC94">
            <v>0.18</v>
          </cell>
          <cell r="AD94">
            <v>0.18</v>
          </cell>
          <cell r="AF94">
            <v>0.15</v>
          </cell>
        </row>
        <row r="95">
          <cell r="C95" t="str">
            <v>8471.60.52</v>
          </cell>
          <cell r="D95">
            <v>0.17</v>
          </cell>
          <cell r="E95">
            <v>0.18</v>
          </cell>
          <cell r="F95">
            <v>0.18</v>
          </cell>
          <cell r="G95">
            <v>0.18</v>
          </cell>
          <cell r="H95">
            <v>0.18</v>
          </cell>
          <cell r="I95">
            <v>0.18</v>
          </cell>
          <cell r="J95">
            <v>0.18</v>
          </cell>
          <cell r="K95">
            <v>0.12</v>
          </cell>
          <cell r="L95">
            <v>0.17</v>
          </cell>
          <cell r="M95">
            <v>0.18</v>
          </cell>
          <cell r="N95">
            <v>0.18</v>
          </cell>
          <cell r="O95">
            <v>0.17</v>
          </cell>
          <cell r="P95">
            <v>0.17</v>
          </cell>
          <cell r="Q95">
            <v>0.17</v>
          </cell>
          <cell r="R95">
            <v>0.18</v>
          </cell>
          <cell r="S95">
            <v>7.0000000000000007E-2</v>
          </cell>
          <cell r="T95">
            <v>0.12</v>
          </cell>
          <cell r="U95">
            <v>0.18</v>
          </cell>
          <cell r="V95">
            <v>0.2</v>
          </cell>
          <cell r="W95">
            <v>0.18</v>
          </cell>
          <cell r="X95">
            <v>0.17499999999999999</v>
          </cell>
          <cell r="Y95">
            <v>0.17</v>
          </cell>
          <cell r="Z95">
            <v>0.18</v>
          </cell>
          <cell r="AA95">
            <v>0.17</v>
          </cell>
          <cell r="AB95">
            <v>7.0000000000000007E-2</v>
          </cell>
          <cell r="AC95">
            <v>0.12</v>
          </cell>
          <cell r="AD95">
            <v>0.18</v>
          </cell>
          <cell r="AF95">
            <v>0.15</v>
          </cell>
        </row>
        <row r="96">
          <cell r="C96" t="str">
            <v>8471.60.53</v>
          </cell>
          <cell r="D96">
            <v>0.17</v>
          </cell>
          <cell r="E96">
            <v>0.18</v>
          </cell>
          <cell r="F96">
            <v>0.18</v>
          </cell>
          <cell r="G96">
            <v>0.18</v>
          </cell>
          <cell r="H96">
            <v>0.18</v>
          </cell>
          <cell r="I96">
            <v>0.18</v>
          </cell>
          <cell r="J96">
            <v>0.12</v>
          </cell>
          <cell r="K96">
            <v>0.12</v>
          </cell>
          <cell r="L96">
            <v>0.17</v>
          </cell>
          <cell r="M96">
            <v>0.18</v>
          </cell>
          <cell r="N96">
            <v>0.18</v>
          </cell>
          <cell r="O96">
            <v>0.17</v>
          </cell>
          <cell r="P96">
            <v>0.17</v>
          </cell>
          <cell r="Q96">
            <v>0.17</v>
          </cell>
          <cell r="R96">
            <v>0.18</v>
          </cell>
          <cell r="S96">
            <v>7.0000000000000007E-2</v>
          </cell>
          <cell r="T96">
            <v>0.12</v>
          </cell>
          <cell r="U96">
            <v>0.18</v>
          </cell>
          <cell r="V96">
            <v>0.2</v>
          </cell>
          <cell r="W96">
            <v>0.18</v>
          </cell>
          <cell r="X96">
            <v>0.17499999999999999</v>
          </cell>
          <cell r="Y96">
            <v>0.17</v>
          </cell>
          <cell r="Z96">
            <v>0.18</v>
          </cell>
          <cell r="AA96">
            <v>0.17</v>
          </cell>
          <cell r="AB96">
            <v>7.0000000000000007E-2</v>
          </cell>
          <cell r="AC96">
            <v>0.12</v>
          </cell>
          <cell r="AD96">
            <v>0.18</v>
          </cell>
          <cell r="AF96">
            <v>0.15</v>
          </cell>
        </row>
        <row r="97">
          <cell r="C97" t="str">
            <v>8471.60.62</v>
          </cell>
          <cell r="D97">
            <v>0.17</v>
          </cell>
          <cell r="E97">
            <v>0.18</v>
          </cell>
          <cell r="F97">
            <v>0.18</v>
          </cell>
          <cell r="G97">
            <v>0.18</v>
          </cell>
          <cell r="H97">
            <v>0.18</v>
          </cell>
          <cell r="I97">
            <v>0.18</v>
          </cell>
          <cell r="J97">
            <v>0.12</v>
          </cell>
          <cell r="K97">
            <v>0.12</v>
          </cell>
          <cell r="L97">
            <v>0.17</v>
          </cell>
          <cell r="M97">
            <v>0.18</v>
          </cell>
          <cell r="N97">
            <v>0.18</v>
          </cell>
          <cell r="O97">
            <v>0.17</v>
          </cell>
          <cell r="P97">
            <v>0.17</v>
          </cell>
          <cell r="Q97">
            <v>0.17</v>
          </cell>
          <cell r="R97">
            <v>0.18</v>
          </cell>
          <cell r="S97">
            <v>7.0000000000000007E-2</v>
          </cell>
          <cell r="T97">
            <v>0.12</v>
          </cell>
          <cell r="U97">
            <v>0.18</v>
          </cell>
          <cell r="V97">
            <v>0.2</v>
          </cell>
          <cell r="W97">
            <v>0.18</v>
          </cell>
          <cell r="X97">
            <v>0.17499999999999999</v>
          </cell>
          <cell r="Y97">
            <v>0.17</v>
          </cell>
          <cell r="Z97">
            <v>0.18</v>
          </cell>
          <cell r="AA97">
            <v>0.17</v>
          </cell>
          <cell r="AB97">
            <v>7.0000000000000007E-2</v>
          </cell>
          <cell r="AC97">
            <v>0.18</v>
          </cell>
          <cell r="AD97">
            <v>0.18</v>
          </cell>
          <cell r="AF97">
            <v>0.15</v>
          </cell>
        </row>
        <row r="98">
          <cell r="C98" t="str">
            <v>8471.60.80</v>
          </cell>
          <cell r="D98">
            <v>0.17</v>
          </cell>
          <cell r="E98">
            <v>0.18</v>
          </cell>
          <cell r="F98">
            <v>0.18</v>
          </cell>
          <cell r="G98">
            <v>0.18</v>
          </cell>
          <cell r="H98">
            <v>0.18</v>
          </cell>
          <cell r="I98">
            <v>0.18</v>
          </cell>
          <cell r="J98">
            <v>0.12</v>
          </cell>
          <cell r="K98">
            <v>0.12</v>
          </cell>
          <cell r="L98">
            <v>0.17</v>
          </cell>
          <cell r="M98">
            <v>0.18</v>
          </cell>
          <cell r="N98">
            <v>0.18</v>
          </cell>
          <cell r="O98">
            <v>0.17</v>
          </cell>
          <cell r="P98">
            <v>0.17</v>
          </cell>
          <cell r="Q98">
            <v>0.17</v>
          </cell>
          <cell r="R98">
            <v>0.18</v>
          </cell>
          <cell r="S98">
            <v>7.0000000000000007E-2</v>
          </cell>
          <cell r="T98">
            <v>0.12</v>
          </cell>
          <cell r="U98">
            <v>0.18</v>
          </cell>
          <cell r="V98">
            <v>0.2</v>
          </cell>
          <cell r="W98">
            <v>0.18</v>
          </cell>
          <cell r="X98">
            <v>0.17499999999999999</v>
          </cell>
          <cell r="Y98">
            <v>0.17</v>
          </cell>
          <cell r="Z98">
            <v>0.18</v>
          </cell>
          <cell r="AA98">
            <v>0.17</v>
          </cell>
          <cell r="AB98">
            <v>7.0000000000000007E-2</v>
          </cell>
          <cell r="AC98">
            <v>0.18</v>
          </cell>
          <cell r="AD98">
            <v>0.18</v>
          </cell>
          <cell r="AF98">
            <v>0.15</v>
          </cell>
        </row>
        <row r="99">
          <cell r="C99" t="str">
            <v>8471.70.11</v>
          </cell>
          <cell r="D99">
            <v>0.17</v>
          </cell>
          <cell r="E99">
            <v>0.18</v>
          </cell>
          <cell r="F99">
            <v>0.18</v>
          </cell>
          <cell r="G99">
            <v>0.18</v>
          </cell>
          <cell r="H99">
            <v>0.18</v>
          </cell>
          <cell r="I99">
            <v>0.18</v>
          </cell>
          <cell r="J99">
            <v>0.12</v>
          </cell>
          <cell r="K99">
            <v>0.12</v>
          </cell>
          <cell r="L99">
            <v>0.17</v>
          </cell>
          <cell r="M99">
            <v>0.18</v>
          </cell>
          <cell r="N99">
            <v>0.18</v>
          </cell>
          <cell r="O99">
            <v>0.17</v>
          </cell>
          <cell r="P99">
            <v>0.17</v>
          </cell>
          <cell r="Q99">
            <v>0.17</v>
          </cell>
          <cell r="R99">
            <v>0.18</v>
          </cell>
          <cell r="S99">
            <v>7.0000000000000007E-2</v>
          </cell>
          <cell r="T99">
            <v>0.12</v>
          </cell>
          <cell r="U99">
            <v>0.18</v>
          </cell>
          <cell r="V99">
            <v>0.2</v>
          </cell>
          <cell r="W99">
            <v>0.18</v>
          </cell>
          <cell r="X99">
            <v>0.17499999999999999</v>
          </cell>
          <cell r="Y99">
            <v>0.17</v>
          </cell>
          <cell r="Z99">
            <v>0.18</v>
          </cell>
          <cell r="AA99">
            <v>0.17</v>
          </cell>
          <cell r="AB99">
            <v>7.0000000000000007E-2</v>
          </cell>
          <cell r="AC99">
            <v>0.12</v>
          </cell>
          <cell r="AD99">
            <v>0.18</v>
          </cell>
          <cell r="AF99">
            <v>0.1</v>
          </cell>
        </row>
        <row r="100">
          <cell r="C100" t="str">
            <v>8471.70.12</v>
          </cell>
          <cell r="D100">
            <v>0.17</v>
          </cell>
          <cell r="E100">
            <v>0.18</v>
          </cell>
          <cell r="F100">
            <v>0.18</v>
          </cell>
          <cell r="G100">
            <v>0.18</v>
          </cell>
          <cell r="H100">
            <v>0.18</v>
          </cell>
          <cell r="I100">
            <v>0.18</v>
          </cell>
          <cell r="J100">
            <v>0.18</v>
          </cell>
          <cell r="K100">
            <v>0.12</v>
          </cell>
          <cell r="L100">
            <v>0.17</v>
          </cell>
          <cell r="M100">
            <v>0.18</v>
          </cell>
          <cell r="N100">
            <v>0.18</v>
          </cell>
          <cell r="O100">
            <v>0.17</v>
          </cell>
          <cell r="P100">
            <v>0.17</v>
          </cell>
          <cell r="Q100">
            <v>0.17</v>
          </cell>
          <cell r="R100">
            <v>0.18</v>
          </cell>
          <cell r="S100">
            <v>7.0000000000000007E-2</v>
          </cell>
          <cell r="T100">
            <v>0.12</v>
          </cell>
          <cell r="U100">
            <v>0.18</v>
          </cell>
          <cell r="V100">
            <v>0.2</v>
          </cell>
          <cell r="W100">
            <v>0.18</v>
          </cell>
          <cell r="X100">
            <v>0.17499999999999999</v>
          </cell>
          <cell r="Y100">
            <v>0.17</v>
          </cell>
          <cell r="Z100">
            <v>0.18</v>
          </cell>
          <cell r="AA100">
            <v>0.17</v>
          </cell>
          <cell r="AB100">
            <v>7.0000000000000007E-2</v>
          </cell>
          <cell r="AC100">
            <v>0.18</v>
          </cell>
          <cell r="AD100">
            <v>0.18</v>
          </cell>
          <cell r="AF100">
            <v>0.1</v>
          </cell>
        </row>
        <row r="101">
          <cell r="C101" t="str">
            <v>8471.70.19</v>
          </cell>
          <cell r="D101">
            <v>0.17</v>
          </cell>
          <cell r="E101">
            <v>0.18</v>
          </cell>
          <cell r="F101">
            <v>0.18</v>
          </cell>
          <cell r="G101">
            <v>0.18</v>
          </cell>
          <cell r="H101">
            <v>0.18</v>
          </cell>
          <cell r="I101">
            <v>0.18</v>
          </cell>
          <cell r="J101">
            <v>0.12</v>
          </cell>
          <cell r="K101">
            <v>0.12</v>
          </cell>
          <cell r="L101">
            <v>0.17</v>
          </cell>
          <cell r="M101">
            <v>0.18</v>
          </cell>
          <cell r="N101">
            <v>0.18</v>
          </cell>
          <cell r="O101">
            <v>0.17</v>
          </cell>
          <cell r="P101">
            <v>0.17</v>
          </cell>
          <cell r="Q101">
            <v>0.17</v>
          </cell>
          <cell r="R101">
            <v>0.18</v>
          </cell>
          <cell r="S101">
            <v>7.0000000000000007E-2</v>
          </cell>
          <cell r="T101">
            <v>0.12</v>
          </cell>
          <cell r="U101">
            <v>0.18</v>
          </cell>
          <cell r="V101">
            <v>0.2</v>
          </cell>
          <cell r="W101">
            <v>0.18</v>
          </cell>
          <cell r="X101">
            <v>0.17499999999999999</v>
          </cell>
          <cell r="Y101">
            <v>0.17</v>
          </cell>
          <cell r="Z101">
            <v>0.18</v>
          </cell>
          <cell r="AA101">
            <v>0.17</v>
          </cell>
          <cell r="AB101">
            <v>7.0000000000000007E-2</v>
          </cell>
          <cell r="AC101">
            <v>0.12</v>
          </cell>
          <cell r="AD101">
            <v>0.18</v>
          </cell>
          <cell r="AF101">
            <v>0.15</v>
          </cell>
        </row>
        <row r="102">
          <cell r="C102" t="str">
            <v>8471.70.21</v>
          </cell>
          <cell r="D102">
            <v>0.17</v>
          </cell>
          <cell r="E102">
            <v>0.18</v>
          </cell>
          <cell r="F102">
            <v>0.18</v>
          </cell>
          <cell r="G102">
            <v>0.18</v>
          </cell>
          <cell r="H102">
            <v>0.18</v>
          </cell>
          <cell r="I102">
            <v>0.18</v>
          </cell>
          <cell r="J102">
            <v>0.18</v>
          </cell>
          <cell r="K102">
            <v>0.12</v>
          </cell>
          <cell r="L102">
            <v>0.17</v>
          </cell>
          <cell r="M102">
            <v>0.18</v>
          </cell>
          <cell r="N102">
            <v>0.18</v>
          </cell>
          <cell r="O102">
            <v>0.17</v>
          </cell>
          <cell r="P102">
            <v>0.17</v>
          </cell>
          <cell r="Q102">
            <v>0.17</v>
          </cell>
          <cell r="R102">
            <v>0.18</v>
          </cell>
          <cell r="S102">
            <v>7.0000000000000007E-2</v>
          </cell>
          <cell r="T102">
            <v>0.12</v>
          </cell>
          <cell r="U102">
            <v>0.18</v>
          </cell>
          <cell r="V102">
            <v>0.2</v>
          </cell>
          <cell r="W102">
            <v>0.18</v>
          </cell>
          <cell r="X102">
            <v>0.17499999999999999</v>
          </cell>
          <cell r="Y102">
            <v>0.17</v>
          </cell>
          <cell r="Z102">
            <v>0.18</v>
          </cell>
          <cell r="AA102">
            <v>0.17</v>
          </cell>
          <cell r="AB102">
            <v>7.0000000000000007E-2</v>
          </cell>
          <cell r="AC102">
            <v>0.18</v>
          </cell>
          <cell r="AD102">
            <v>0.18</v>
          </cell>
          <cell r="AF102">
            <v>0.1</v>
          </cell>
        </row>
        <row r="103">
          <cell r="C103" t="str">
            <v>8471.70.29</v>
          </cell>
          <cell r="D103">
            <v>0.17</v>
          </cell>
          <cell r="E103">
            <v>0.18</v>
          </cell>
          <cell r="F103">
            <v>0.18</v>
          </cell>
          <cell r="G103">
            <v>0.18</v>
          </cell>
          <cell r="H103">
            <v>0.18</v>
          </cell>
          <cell r="I103">
            <v>0.18</v>
          </cell>
          <cell r="J103">
            <v>0.12</v>
          </cell>
          <cell r="K103">
            <v>0.12</v>
          </cell>
          <cell r="L103">
            <v>0.17</v>
          </cell>
          <cell r="M103">
            <v>0.18</v>
          </cell>
          <cell r="N103">
            <v>0.18</v>
          </cell>
          <cell r="O103">
            <v>0.17</v>
          </cell>
          <cell r="P103">
            <v>0.17</v>
          </cell>
          <cell r="Q103">
            <v>0.17</v>
          </cell>
          <cell r="R103">
            <v>0.18</v>
          </cell>
          <cell r="S103">
            <v>7.0000000000000007E-2</v>
          </cell>
          <cell r="T103">
            <v>0.12</v>
          </cell>
          <cell r="U103">
            <v>0.18</v>
          </cell>
          <cell r="V103">
            <v>0.2</v>
          </cell>
          <cell r="W103">
            <v>0.18</v>
          </cell>
          <cell r="X103">
            <v>0.17499999999999999</v>
          </cell>
          <cell r="Y103">
            <v>0.17</v>
          </cell>
          <cell r="Z103">
            <v>0.18</v>
          </cell>
          <cell r="AA103">
            <v>0.17</v>
          </cell>
          <cell r="AB103">
            <v>7.0000000000000007E-2</v>
          </cell>
          <cell r="AC103">
            <v>0.18</v>
          </cell>
          <cell r="AD103">
            <v>0.18</v>
          </cell>
          <cell r="AF103">
            <v>0.1</v>
          </cell>
        </row>
        <row r="104">
          <cell r="C104" t="str">
            <v>8471.70.32</v>
          </cell>
          <cell r="D104">
            <v>0.17</v>
          </cell>
          <cell r="E104">
            <v>0.18</v>
          </cell>
          <cell r="F104">
            <v>0.18</v>
          </cell>
          <cell r="G104">
            <v>0.18</v>
          </cell>
          <cell r="H104">
            <v>0.18</v>
          </cell>
          <cell r="I104">
            <v>0.18</v>
          </cell>
          <cell r="J104">
            <v>0.12</v>
          </cell>
          <cell r="K104">
            <v>0.12</v>
          </cell>
          <cell r="L104">
            <v>0.17</v>
          </cell>
          <cell r="M104">
            <v>0.18</v>
          </cell>
          <cell r="N104">
            <v>0.18</v>
          </cell>
          <cell r="O104">
            <v>0.17</v>
          </cell>
          <cell r="P104">
            <v>0.17</v>
          </cell>
          <cell r="Q104">
            <v>0.17</v>
          </cell>
          <cell r="R104">
            <v>0.18</v>
          </cell>
          <cell r="S104">
            <v>7.0000000000000007E-2</v>
          </cell>
          <cell r="T104">
            <v>0.12</v>
          </cell>
          <cell r="U104">
            <v>0.18</v>
          </cell>
          <cell r="V104">
            <v>0.2</v>
          </cell>
          <cell r="W104">
            <v>0.18</v>
          </cell>
          <cell r="X104">
            <v>0.17499999999999999</v>
          </cell>
          <cell r="Y104">
            <v>0.17</v>
          </cell>
          <cell r="Z104">
            <v>0.18</v>
          </cell>
          <cell r="AA104">
            <v>0.17</v>
          </cell>
          <cell r="AB104">
            <v>7.0000000000000007E-2</v>
          </cell>
          <cell r="AC104">
            <v>0.12</v>
          </cell>
          <cell r="AD104">
            <v>0.18</v>
          </cell>
          <cell r="AF104">
            <v>0.15</v>
          </cell>
        </row>
        <row r="105">
          <cell r="C105" t="str">
            <v>8471.70.39</v>
          </cell>
          <cell r="D105">
            <v>0.17</v>
          </cell>
          <cell r="E105">
            <v>0.18</v>
          </cell>
          <cell r="F105">
            <v>0.18</v>
          </cell>
          <cell r="G105">
            <v>0.18</v>
          </cell>
          <cell r="H105">
            <v>0.18</v>
          </cell>
          <cell r="I105">
            <v>0.18</v>
          </cell>
          <cell r="J105">
            <v>0.12</v>
          </cell>
          <cell r="K105">
            <v>0.12</v>
          </cell>
          <cell r="L105">
            <v>0.17</v>
          </cell>
          <cell r="M105">
            <v>0.18</v>
          </cell>
          <cell r="N105">
            <v>0.18</v>
          </cell>
          <cell r="O105">
            <v>0.17</v>
          </cell>
          <cell r="P105">
            <v>0.17</v>
          </cell>
          <cell r="Q105">
            <v>0.17</v>
          </cell>
          <cell r="R105">
            <v>0.18</v>
          </cell>
          <cell r="S105">
            <v>7.0000000000000007E-2</v>
          </cell>
          <cell r="T105">
            <v>0.12</v>
          </cell>
          <cell r="U105">
            <v>0.18</v>
          </cell>
          <cell r="V105">
            <v>0.2</v>
          </cell>
          <cell r="W105">
            <v>0.18</v>
          </cell>
          <cell r="X105">
            <v>0.17499999999999999</v>
          </cell>
          <cell r="Y105">
            <v>0.17</v>
          </cell>
          <cell r="Z105">
            <v>0.18</v>
          </cell>
          <cell r="AA105">
            <v>0.17</v>
          </cell>
          <cell r="AB105">
            <v>7.0000000000000007E-2</v>
          </cell>
          <cell r="AC105">
            <v>0.12</v>
          </cell>
          <cell r="AD105">
            <v>0.18</v>
          </cell>
          <cell r="AF105">
            <v>0.15</v>
          </cell>
        </row>
        <row r="106">
          <cell r="C106" t="str">
            <v>8471.70.90</v>
          </cell>
          <cell r="D106">
            <v>0.17</v>
          </cell>
          <cell r="E106">
            <v>0.18</v>
          </cell>
          <cell r="F106">
            <v>0.18</v>
          </cell>
          <cell r="G106">
            <v>0.18</v>
          </cell>
          <cell r="H106">
            <v>0.18</v>
          </cell>
          <cell r="I106">
            <v>0.18</v>
          </cell>
          <cell r="J106">
            <v>0.18</v>
          </cell>
          <cell r="K106">
            <v>0.12</v>
          </cell>
          <cell r="L106">
            <v>0.17</v>
          </cell>
          <cell r="M106">
            <v>0.18</v>
          </cell>
          <cell r="N106">
            <v>0.18</v>
          </cell>
          <cell r="O106">
            <v>0.17</v>
          </cell>
          <cell r="P106">
            <v>0.17</v>
          </cell>
          <cell r="Q106">
            <v>0.17</v>
          </cell>
          <cell r="R106">
            <v>0.18</v>
          </cell>
          <cell r="S106">
            <v>0.18</v>
          </cell>
          <cell r="T106">
            <v>0.12</v>
          </cell>
          <cell r="U106">
            <v>0.18</v>
          </cell>
          <cell r="V106">
            <v>0.2</v>
          </cell>
          <cell r="W106">
            <v>0.18</v>
          </cell>
          <cell r="X106">
            <v>0.17499999999999999</v>
          </cell>
          <cell r="Y106">
            <v>0.17</v>
          </cell>
          <cell r="Z106">
            <v>0.18</v>
          </cell>
          <cell r="AA106">
            <v>0.17</v>
          </cell>
          <cell r="AB106">
            <v>7.0000000000000007E-2</v>
          </cell>
          <cell r="AC106">
            <v>0.12</v>
          </cell>
          <cell r="AD106">
            <v>0.18</v>
          </cell>
          <cell r="AF106">
            <v>0.15</v>
          </cell>
        </row>
        <row r="107">
          <cell r="C107" t="str">
            <v>8471.80.00</v>
          </cell>
          <cell r="D107">
            <v>0.17</v>
          </cell>
          <cell r="E107">
            <v>0.18</v>
          </cell>
          <cell r="F107">
            <v>0.18</v>
          </cell>
          <cell r="G107">
            <v>0.18</v>
          </cell>
          <cell r="H107">
            <v>0.18</v>
          </cell>
          <cell r="I107">
            <v>0.18</v>
          </cell>
          <cell r="J107">
            <v>0.18</v>
          </cell>
          <cell r="K107">
            <v>0.12</v>
          </cell>
          <cell r="L107">
            <v>0.17</v>
          </cell>
          <cell r="M107">
            <v>0.18</v>
          </cell>
          <cell r="N107">
            <v>0.18</v>
          </cell>
          <cell r="O107">
            <v>0.17</v>
          </cell>
          <cell r="P107">
            <v>0.17</v>
          </cell>
          <cell r="Q107">
            <v>0.17</v>
          </cell>
          <cell r="R107">
            <v>0.18</v>
          </cell>
          <cell r="S107">
            <v>7.0000000000000007E-2</v>
          </cell>
          <cell r="T107">
            <v>0.12</v>
          </cell>
          <cell r="U107">
            <v>0.18</v>
          </cell>
          <cell r="V107">
            <v>0.2</v>
          </cell>
          <cell r="W107">
            <v>0.18</v>
          </cell>
          <cell r="X107">
            <v>0.17499999999999999</v>
          </cell>
          <cell r="Y107">
            <v>0.17</v>
          </cell>
          <cell r="Z107">
            <v>0.18</v>
          </cell>
          <cell r="AA107">
            <v>0.17</v>
          </cell>
          <cell r="AB107">
            <v>7.0000000000000007E-2</v>
          </cell>
          <cell r="AC107">
            <v>0.12</v>
          </cell>
          <cell r="AD107">
            <v>0.18</v>
          </cell>
          <cell r="AF107">
            <v>0.15</v>
          </cell>
        </row>
        <row r="108">
          <cell r="C108" t="str">
            <v>8471.90.11</v>
          </cell>
          <cell r="D108">
            <v>0.17</v>
          </cell>
          <cell r="E108">
            <v>0.18</v>
          </cell>
          <cell r="F108">
            <v>0.18</v>
          </cell>
          <cell r="G108">
            <v>0.18</v>
          </cell>
          <cell r="H108">
            <v>0.18</v>
          </cell>
          <cell r="I108">
            <v>0.18</v>
          </cell>
          <cell r="J108">
            <v>0.12</v>
          </cell>
          <cell r="K108">
            <v>0.12</v>
          </cell>
          <cell r="L108">
            <v>0.17</v>
          </cell>
          <cell r="M108">
            <v>0.18</v>
          </cell>
          <cell r="N108">
            <v>0.18</v>
          </cell>
          <cell r="O108">
            <v>0.17</v>
          </cell>
          <cell r="P108">
            <v>0.17</v>
          </cell>
          <cell r="Q108">
            <v>0.17</v>
          </cell>
          <cell r="R108">
            <v>0.18</v>
          </cell>
          <cell r="S108">
            <v>7.0000000000000007E-2</v>
          </cell>
          <cell r="T108">
            <v>0.12</v>
          </cell>
          <cell r="U108">
            <v>0.18</v>
          </cell>
          <cell r="V108">
            <v>0.2</v>
          </cell>
          <cell r="W108">
            <v>0.18</v>
          </cell>
          <cell r="X108">
            <v>0.17499999999999999</v>
          </cell>
          <cell r="Y108">
            <v>0.17</v>
          </cell>
          <cell r="Z108">
            <v>0.18</v>
          </cell>
          <cell r="AA108">
            <v>0.17</v>
          </cell>
          <cell r="AB108">
            <v>7.0000000000000007E-2</v>
          </cell>
          <cell r="AC108">
            <v>0.18</v>
          </cell>
          <cell r="AD108">
            <v>0.18</v>
          </cell>
          <cell r="AF108">
            <v>0.15</v>
          </cell>
        </row>
        <row r="109">
          <cell r="C109" t="str">
            <v>8471.90.12</v>
          </cell>
          <cell r="D109">
            <v>0.17</v>
          </cell>
          <cell r="E109">
            <v>0.18</v>
          </cell>
          <cell r="F109">
            <v>0.18</v>
          </cell>
          <cell r="G109">
            <v>0.18</v>
          </cell>
          <cell r="H109">
            <v>0.18</v>
          </cell>
          <cell r="I109">
            <v>0.18</v>
          </cell>
          <cell r="J109">
            <v>0.12</v>
          </cell>
          <cell r="K109">
            <v>0.12</v>
          </cell>
          <cell r="L109">
            <v>0.17</v>
          </cell>
          <cell r="M109">
            <v>0.18</v>
          </cell>
          <cell r="N109">
            <v>0.18</v>
          </cell>
          <cell r="O109">
            <v>0.17</v>
          </cell>
          <cell r="P109">
            <v>0.17</v>
          </cell>
          <cell r="Q109">
            <v>0.17</v>
          </cell>
          <cell r="R109">
            <v>0.18</v>
          </cell>
          <cell r="S109">
            <v>7.0000000000000007E-2</v>
          </cell>
          <cell r="T109">
            <v>0.12</v>
          </cell>
          <cell r="U109">
            <v>0.18</v>
          </cell>
          <cell r="V109">
            <v>0.2</v>
          </cell>
          <cell r="W109">
            <v>0.18</v>
          </cell>
          <cell r="X109">
            <v>0.17499999999999999</v>
          </cell>
          <cell r="Y109">
            <v>0.17</v>
          </cell>
          <cell r="Z109">
            <v>0.18</v>
          </cell>
          <cell r="AA109">
            <v>0.17</v>
          </cell>
          <cell r="AB109">
            <v>7.0000000000000007E-2</v>
          </cell>
          <cell r="AC109">
            <v>0.12</v>
          </cell>
          <cell r="AD109">
            <v>0.18</v>
          </cell>
          <cell r="AF109">
            <v>0.15</v>
          </cell>
        </row>
        <row r="110">
          <cell r="C110" t="str">
            <v>8471.90.14</v>
          </cell>
          <cell r="D110">
            <v>0.17</v>
          </cell>
          <cell r="E110">
            <v>0.18</v>
          </cell>
          <cell r="F110">
            <v>0.18</v>
          </cell>
          <cell r="G110">
            <v>0.18</v>
          </cell>
          <cell r="H110">
            <v>0.18</v>
          </cell>
          <cell r="I110">
            <v>0.18</v>
          </cell>
          <cell r="J110">
            <v>0.12</v>
          </cell>
          <cell r="K110">
            <v>0.12</v>
          </cell>
          <cell r="L110">
            <v>0.17</v>
          </cell>
          <cell r="M110">
            <v>0.18</v>
          </cell>
          <cell r="N110">
            <v>0.18</v>
          </cell>
          <cell r="O110">
            <v>0.17</v>
          </cell>
          <cell r="P110">
            <v>0.17</v>
          </cell>
          <cell r="Q110">
            <v>0.17</v>
          </cell>
          <cell r="R110">
            <v>0.18</v>
          </cell>
          <cell r="S110">
            <v>7.0000000000000007E-2</v>
          </cell>
          <cell r="T110">
            <v>0.12</v>
          </cell>
          <cell r="U110">
            <v>0.18</v>
          </cell>
          <cell r="V110">
            <v>0.2</v>
          </cell>
          <cell r="W110">
            <v>0.18</v>
          </cell>
          <cell r="X110">
            <v>0.17499999999999999</v>
          </cell>
          <cell r="Y110">
            <v>0.17</v>
          </cell>
          <cell r="Z110">
            <v>0.18</v>
          </cell>
          <cell r="AA110">
            <v>0.17</v>
          </cell>
          <cell r="AB110">
            <v>7.0000000000000007E-2</v>
          </cell>
          <cell r="AC110">
            <v>0.12</v>
          </cell>
          <cell r="AD110">
            <v>0.18</v>
          </cell>
          <cell r="AF110">
            <v>0.15</v>
          </cell>
        </row>
        <row r="111">
          <cell r="C111" t="str">
            <v>8471.90.19</v>
          </cell>
          <cell r="D111">
            <v>0.17</v>
          </cell>
          <cell r="E111">
            <v>0.18</v>
          </cell>
          <cell r="F111">
            <v>0.18</v>
          </cell>
          <cell r="G111">
            <v>0.18</v>
          </cell>
          <cell r="H111">
            <v>0.18</v>
          </cell>
          <cell r="I111">
            <v>0.18</v>
          </cell>
          <cell r="J111">
            <v>0.12</v>
          </cell>
          <cell r="K111">
            <v>0.12</v>
          </cell>
          <cell r="L111">
            <v>0.17</v>
          </cell>
          <cell r="M111">
            <v>0.18</v>
          </cell>
          <cell r="N111">
            <v>0.18</v>
          </cell>
          <cell r="O111">
            <v>0.17</v>
          </cell>
          <cell r="P111">
            <v>0.17</v>
          </cell>
          <cell r="Q111">
            <v>0.17</v>
          </cell>
          <cell r="R111">
            <v>0.18</v>
          </cell>
          <cell r="S111">
            <v>7.0000000000000007E-2</v>
          </cell>
          <cell r="T111">
            <v>0.12</v>
          </cell>
          <cell r="U111">
            <v>0.18</v>
          </cell>
          <cell r="V111">
            <v>0.2</v>
          </cell>
          <cell r="W111">
            <v>0.18</v>
          </cell>
          <cell r="X111">
            <v>0.17499999999999999</v>
          </cell>
          <cell r="Y111">
            <v>0.17</v>
          </cell>
          <cell r="Z111">
            <v>0.18</v>
          </cell>
          <cell r="AA111">
            <v>0.17</v>
          </cell>
          <cell r="AB111">
            <v>7.0000000000000007E-2</v>
          </cell>
          <cell r="AC111">
            <v>0.12</v>
          </cell>
          <cell r="AD111">
            <v>0.18</v>
          </cell>
          <cell r="AF111">
            <v>0.15</v>
          </cell>
        </row>
        <row r="112">
          <cell r="C112" t="str">
            <v>8471.90.90</v>
          </cell>
          <cell r="D112">
            <v>0.17</v>
          </cell>
          <cell r="E112">
            <v>0.18</v>
          </cell>
          <cell r="F112">
            <v>0.18</v>
          </cell>
          <cell r="G112">
            <v>0.18</v>
          </cell>
          <cell r="H112">
            <v>0.18</v>
          </cell>
          <cell r="I112">
            <v>0.18</v>
          </cell>
          <cell r="J112">
            <v>0.12</v>
          </cell>
          <cell r="K112">
            <v>0.12</v>
          </cell>
          <cell r="L112">
            <v>0.17</v>
          </cell>
          <cell r="M112">
            <v>0.18</v>
          </cell>
          <cell r="N112">
            <v>0.18</v>
          </cell>
          <cell r="O112">
            <v>0.17</v>
          </cell>
          <cell r="P112">
            <v>0.17</v>
          </cell>
          <cell r="Q112">
            <v>0.17</v>
          </cell>
          <cell r="R112">
            <v>0.18</v>
          </cell>
          <cell r="S112">
            <v>7.0000000000000007E-2</v>
          </cell>
          <cell r="T112">
            <v>0.12</v>
          </cell>
          <cell r="U112">
            <v>0.18</v>
          </cell>
          <cell r="V112">
            <v>0.2</v>
          </cell>
          <cell r="W112">
            <v>0.18</v>
          </cell>
          <cell r="X112">
            <v>0.17499999999999999</v>
          </cell>
          <cell r="Y112">
            <v>0.17</v>
          </cell>
          <cell r="Z112">
            <v>0.18</v>
          </cell>
          <cell r="AA112">
            <v>0.17</v>
          </cell>
          <cell r="AB112">
            <v>7.0000000000000007E-2</v>
          </cell>
          <cell r="AC112">
            <v>0.12</v>
          </cell>
          <cell r="AD112">
            <v>0.18</v>
          </cell>
          <cell r="AF112">
            <v>0.15</v>
          </cell>
        </row>
        <row r="113">
          <cell r="C113" t="str">
            <v>8473.30.11</v>
          </cell>
          <cell r="D113">
            <v>0.17</v>
          </cell>
          <cell r="E113">
            <v>0.18</v>
          </cell>
          <cell r="F113">
            <v>0.18</v>
          </cell>
          <cell r="G113">
            <v>0.18</v>
          </cell>
          <cell r="H113">
            <v>0.18</v>
          </cell>
          <cell r="I113">
            <v>0.18</v>
          </cell>
          <cell r="J113">
            <v>0.12</v>
          </cell>
          <cell r="K113">
            <v>0.12</v>
          </cell>
          <cell r="L113">
            <v>0.17</v>
          </cell>
          <cell r="M113">
            <v>0.18</v>
          </cell>
          <cell r="N113">
            <v>0.18</v>
          </cell>
          <cell r="O113">
            <v>0.17</v>
          </cell>
          <cell r="P113">
            <v>0.17</v>
          </cell>
          <cell r="Q113">
            <v>0.17</v>
          </cell>
          <cell r="R113">
            <v>0.18</v>
          </cell>
          <cell r="S113">
            <v>7.0000000000000007E-2</v>
          </cell>
          <cell r="T113">
            <v>0.12</v>
          </cell>
          <cell r="U113">
            <v>0.18</v>
          </cell>
          <cell r="V113">
            <v>0.2</v>
          </cell>
          <cell r="W113">
            <v>0.18</v>
          </cell>
          <cell r="X113">
            <v>0.17499999999999999</v>
          </cell>
          <cell r="Y113">
            <v>0.17</v>
          </cell>
          <cell r="Z113">
            <v>0.18</v>
          </cell>
          <cell r="AA113">
            <v>0.17</v>
          </cell>
          <cell r="AB113">
            <v>7.0000000000000007E-2</v>
          </cell>
          <cell r="AC113">
            <v>0.18</v>
          </cell>
          <cell r="AD113">
            <v>0.18</v>
          </cell>
          <cell r="AF113">
            <v>0.1</v>
          </cell>
        </row>
        <row r="114">
          <cell r="C114" t="str">
            <v>8473.30.19</v>
          </cell>
          <cell r="D114">
            <v>0.17</v>
          </cell>
          <cell r="E114">
            <v>0.18</v>
          </cell>
          <cell r="F114">
            <v>0.18</v>
          </cell>
          <cell r="G114">
            <v>0.18</v>
          </cell>
          <cell r="H114">
            <v>0.18</v>
          </cell>
          <cell r="I114">
            <v>0.18</v>
          </cell>
          <cell r="J114">
            <v>0.12</v>
          </cell>
          <cell r="K114">
            <v>0.12</v>
          </cell>
          <cell r="L114">
            <v>0.17</v>
          </cell>
          <cell r="M114">
            <v>0.18</v>
          </cell>
          <cell r="N114">
            <v>0.18</v>
          </cell>
          <cell r="O114">
            <v>0.17</v>
          </cell>
          <cell r="P114">
            <v>0.17</v>
          </cell>
          <cell r="Q114">
            <v>0.17</v>
          </cell>
          <cell r="R114">
            <v>0.18</v>
          </cell>
          <cell r="S114">
            <v>7.0000000000000007E-2</v>
          </cell>
          <cell r="T114">
            <v>0.12</v>
          </cell>
          <cell r="U114">
            <v>0.18</v>
          </cell>
          <cell r="V114">
            <v>0.2</v>
          </cell>
          <cell r="W114">
            <v>0.18</v>
          </cell>
          <cell r="X114">
            <v>0.17499999999999999</v>
          </cell>
          <cell r="Y114">
            <v>0.17</v>
          </cell>
          <cell r="Z114">
            <v>0.18</v>
          </cell>
          <cell r="AA114">
            <v>0.17</v>
          </cell>
          <cell r="AB114">
            <v>7.0000000000000007E-2</v>
          </cell>
          <cell r="AC114">
            <v>0.18</v>
          </cell>
          <cell r="AD114">
            <v>0.18</v>
          </cell>
          <cell r="AF114">
            <v>0.1</v>
          </cell>
        </row>
        <row r="115">
          <cell r="C115" t="str">
            <v>8473.30.39</v>
          </cell>
          <cell r="D115">
            <v>0.17</v>
          </cell>
          <cell r="E115">
            <v>0.18</v>
          </cell>
          <cell r="F115">
            <v>0.18</v>
          </cell>
          <cell r="G115">
            <v>0.18</v>
          </cell>
          <cell r="H115">
            <v>0.18</v>
          </cell>
          <cell r="I115">
            <v>0.18</v>
          </cell>
          <cell r="J115">
            <v>0.12</v>
          </cell>
          <cell r="K115">
            <v>0.12</v>
          </cell>
          <cell r="L115">
            <v>0.17</v>
          </cell>
          <cell r="M115">
            <v>0.18</v>
          </cell>
          <cell r="N115">
            <v>0.18</v>
          </cell>
          <cell r="O115">
            <v>0.17</v>
          </cell>
          <cell r="P115">
            <v>0.17</v>
          </cell>
          <cell r="Q115">
            <v>0.17</v>
          </cell>
          <cell r="R115">
            <v>0.18</v>
          </cell>
          <cell r="S115">
            <v>7.0000000000000007E-2</v>
          </cell>
          <cell r="T115">
            <v>0.12</v>
          </cell>
          <cell r="U115">
            <v>0.18</v>
          </cell>
          <cell r="V115">
            <v>0.2</v>
          </cell>
          <cell r="W115">
            <v>0.18</v>
          </cell>
          <cell r="X115">
            <v>0.17499999999999999</v>
          </cell>
          <cell r="Y115">
            <v>0.17</v>
          </cell>
          <cell r="Z115">
            <v>0.18</v>
          </cell>
          <cell r="AA115">
            <v>0.17</v>
          </cell>
          <cell r="AB115">
            <v>7.0000000000000007E-2</v>
          </cell>
          <cell r="AC115">
            <v>0.12</v>
          </cell>
          <cell r="AD115">
            <v>0.18</v>
          </cell>
          <cell r="AF115">
            <v>0.1</v>
          </cell>
        </row>
        <row r="116">
          <cell r="C116" t="str">
            <v>8473.30.42</v>
          </cell>
          <cell r="D116">
            <v>0.17</v>
          </cell>
          <cell r="E116">
            <v>0.18</v>
          </cell>
          <cell r="F116">
            <v>0.18</v>
          </cell>
          <cell r="G116">
            <v>0.18</v>
          </cell>
          <cell r="H116">
            <v>0.18</v>
          </cell>
          <cell r="I116">
            <v>0.18</v>
          </cell>
          <cell r="J116">
            <v>0.12</v>
          </cell>
          <cell r="K116">
            <v>0.12</v>
          </cell>
          <cell r="L116">
            <v>0.17</v>
          </cell>
          <cell r="M116">
            <v>0.18</v>
          </cell>
          <cell r="N116">
            <v>0.18</v>
          </cell>
          <cell r="O116">
            <v>0.17</v>
          </cell>
          <cell r="P116">
            <v>0.17</v>
          </cell>
          <cell r="Q116">
            <v>0.17</v>
          </cell>
          <cell r="R116">
            <v>0.18</v>
          </cell>
          <cell r="S116">
            <v>7.0000000000000007E-2</v>
          </cell>
          <cell r="T116">
            <v>0.12</v>
          </cell>
          <cell r="U116">
            <v>0.18</v>
          </cell>
          <cell r="V116">
            <v>0.2</v>
          </cell>
          <cell r="W116">
            <v>0.18</v>
          </cell>
          <cell r="X116">
            <v>0.17499999999999999</v>
          </cell>
          <cell r="Y116">
            <v>0.17</v>
          </cell>
          <cell r="Z116">
            <v>0.18</v>
          </cell>
          <cell r="AA116">
            <v>0.17</v>
          </cell>
          <cell r="AB116">
            <v>7.0000000000000007E-2</v>
          </cell>
          <cell r="AC116">
            <v>0.12</v>
          </cell>
          <cell r="AD116">
            <v>0.18</v>
          </cell>
          <cell r="AF116">
            <v>0.15</v>
          </cell>
        </row>
        <row r="117">
          <cell r="C117" t="str">
            <v>8473.30.43</v>
          </cell>
          <cell r="D117">
            <v>0.17</v>
          </cell>
          <cell r="E117">
            <v>0.18</v>
          </cell>
          <cell r="F117">
            <v>0.18</v>
          </cell>
          <cell r="G117">
            <v>0.18</v>
          </cell>
          <cell r="H117">
            <v>0.18</v>
          </cell>
          <cell r="I117">
            <v>0.18</v>
          </cell>
          <cell r="J117">
            <v>0.12</v>
          </cell>
          <cell r="K117">
            <v>0.12</v>
          </cell>
          <cell r="L117">
            <v>0.17</v>
          </cell>
          <cell r="M117">
            <v>0.18</v>
          </cell>
          <cell r="N117">
            <v>0.18</v>
          </cell>
          <cell r="O117">
            <v>0.17</v>
          </cell>
          <cell r="P117">
            <v>0.17</v>
          </cell>
          <cell r="Q117">
            <v>0.17</v>
          </cell>
          <cell r="R117">
            <v>0.18</v>
          </cell>
          <cell r="S117">
            <v>7.0000000000000007E-2</v>
          </cell>
          <cell r="T117">
            <v>0.12</v>
          </cell>
          <cell r="U117">
            <v>0.18</v>
          </cell>
          <cell r="V117">
            <v>0.2</v>
          </cell>
          <cell r="W117">
            <v>0.18</v>
          </cell>
          <cell r="X117">
            <v>0.17499999999999999</v>
          </cell>
          <cell r="Y117">
            <v>0.17</v>
          </cell>
          <cell r="Z117">
            <v>0.18</v>
          </cell>
          <cell r="AA117">
            <v>0.17</v>
          </cell>
          <cell r="AB117">
            <v>7.0000000000000007E-2</v>
          </cell>
          <cell r="AC117">
            <v>0.12</v>
          </cell>
          <cell r="AD117">
            <v>0.18</v>
          </cell>
          <cell r="AF117">
            <v>0.02</v>
          </cell>
        </row>
        <row r="118">
          <cell r="C118" t="str">
            <v>8473.30.49</v>
          </cell>
          <cell r="D118">
            <v>0.17</v>
          </cell>
          <cell r="E118">
            <v>0.18</v>
          </cell>
          <cell r="F118">
            <v>0.18</v>
          </cell>
          <cell r="G118">
            <v>0.18</v>
          </cell>
          <cell r="H118">
            <v>0.18</v>
          </cell>
          <cell r="I118">
            <v>0.18</v>
          </cell>
          <cell r="J118">
            <v>0.12</v>
          </cell>
          <cell r="K118">
            <v>0.12</v>
          </cell>
          <cell r="L118">
            <v>0.17</v>
          </cell>
          <cell r="M118">
            <v>0.18</v>
          </cell>
          <cell r="N118">
            <v>0.18</v>
          </cell>
          <cell r="O118">
            <v>0.17</v>
          </cell>
          <cell r="P118">
            <v>0.17</v>
          </cell>
          <cell r="Q118">
            <v>0.17</v>
          </cell>
          <cell r="R118">
            <v>0.18</v>
          </cell>
          <cell r="S118">
            <v>7.0000000000000007E-2</v>
          </cell>
          <cell r="T118">
            <v>0.12</v>
          </cell>
          <cell r="U118">
            <v>0.18</v>
          </cell>
          <cell r="V118">
            <v>0.2</v>
          </cell>
          <cell r="W118">
            <v>0.18</v>
          </cell>
          <cell r="X118">
            <v>0.17499999999999999</v>
          </cell>
          <cell r="Y118">
            <v>0.17</v>
          </cell>
          <cell r="Z118">
            <v>0.18</v>
          </cell>
          <cell r="AA118">
            <v>0.17</v>
          </cell>
          <cell r="AB118">
            <v>7.0000000000000007E-2</v>
          </cell>
          <cell r="AC118">
            <v>0.12</v>
          </cell>
          <cell r="AD118">
            <v>0.18</v>
          </cell>
          <cell r="AF118">
            <v>0.15</v>
          </cell>
        </row>
        <row r="119">
          <cell r="C119" t="str">
            <v>8473.30.99</v>
          </cell>
          <cell r="D119">
            <v>0.17</v>
          </cell>
          <cell r="E119">
            <v>0.18</v>
          </cell>
          <cell r="F119">
            <v>0.18</v>
          </cell>
          <cell r="G119">
            <v>0.18</v>
          </cell>
          <cell r="H119">
            <v>0.18</v>
          </cell>
          <cell r="I119">
            <v>0.18</v>
          </cell>
          <cell r="J119">
            <v>0.12</v>
          </cell>
          <cell r="K119">
            <v>0.12</v>
          </cell>
          <cell r="L119">
            <v>0.17</v>
          </cell>
          <cell r="M119">
            <v>0.18</v>
          </cell>
          <cell r="N119">
            <v>0.18</v>
          </cell>
          <cell r="O119">
            <v>0.17</v>
          </cell>
          <cell r="P119">
            <v>0.17</v>
          </cell>
          <cell r="Q119">
            <v>0.17</v>
          </cell>
          <cell r="R119">
            <v>0.18</v>
          </cell>
          <cell r="S119">
            <v>7.0000000000000007E-2</v>
          </cell>
          <cell r="T119">
            <v>0.12</v>
          </cell>
          <cell r="U119">
            <v>0.18</v>
          </cell>
          <cell r="V119">
            <v>0.2</v>
          </cell>
          <cell r="W119">
            <v>0.18</v>
          </cell>
          <cell r="X119">
            <v>0.17499999999999999</v>
          </cell>
          <cell r="Y119">
            <v>0.17</v>
          </cell>
          <cell r="Z119">
            <v>0.18</v>
          </cell>
          <cell r="AA119">
            <v>0.17</v>
          </cell>
          <cell r="AB119">
            <v>7.0000000000000007E-2</v>
          </cell>
          <cell r="AC119">
            <v>0.18</v>
          </cell>
          <cell r="AD119">
            <v>0.18</v>
          </cell>
          <cell r="AF119">
            <v>0.1</v>
          </cell>
        </row>
        <row r="120">
          <cell r="C120" t="str">
            <v>8481.80.95</v>
          </cell>
          <cell r="D120">
            <v>0.17</v>
          </cell>
          <cell r="E120">
            <v>0.18</v>
          </cell>
          <cell r="F120">
            <v>0.18</v>
          </cell>
          <cell r="G120">
            <v>0.18</v>
          </cell>
          <cell r="H120">
            <v>0.18</v>
          </cell>
          <cell r="I120">
            <v>0.18</v>
          </cell>
          <cell r="J120">
            <v>0.18</v>
          </cell>
          <cell r="K120">
            <v>0.17</v>
          </cell>
          <cell r="L120">
            <v>0.17</v>
          </cell>
          <cell r="M120">
            <v>0.18</v>
          </cell>
          <cell r="N120">
            <v>0.18</v>
          </cell>
          <cell r="O120">
            <v>0.17</v>
          </cell>
          <cell r="P120">
            <v>0.17</v>
          </cell>
          <cell r="Q120">
            <v>0.17</v>
          </cell>
          <cell r="R120">
            <v>0.18</v>
          </cell>
          <cell r="S120">
            <v>0.18</v>
          </cell>
          <cell r="T120">
            <v>0.18</v>
          </cell>
          <cell r="U120">
            <v>0.18</v>
          </cell>
          <cell r="V120">
            <v>0.2</v>
          </cell>
          <cell r="W120">
            <v>0.18</v>
          </cell>
          <cell r="X120">
            <v>0.17499999999999999</v>
          </cell>
          <cell r="Y120">
            <v>0.17</v>
          </cell>
          <cell r="Z120">
            <v>0.18</v>
          </cell>
          <cell r="AA120">
            <v>0.17</v>
          </cell>
          <cell r="AB120">
            <v>0.18</v>
          </cell>
          <cell r="AC120">
            <v>0.18</v>
          </cell>
          <cell r="AD120">
            <v>0.18</v>
          </cell>
          <cell r="AF120">
            <v>0</v>
          </cell>
        </row>
        <row r="121">
          <cell r="C121" t="str">
            <v>8483.20.00</v>
          </cell>
          <cell r="D121">
            <v>0.17</v>
          </cell>
          <cell r="E121">
            <v>0.18</v>
          </cell>
          <cell r="F121">
            <v>0.18</v>
          </cell>
          <cell r="G121">
            <v>0.18</v>
          </cell>
          <cell r="H121">
            <v>0.18</v>
          </cell>
          <cell r="I121">
            <v>0.18</v>
          </cell>
          <cell r="J121">
            <v>0.18</v>
          </cell>
          <cell r="K121">
            <v>0.17</v>
          </cell>
          <cell r="L121">
            <v>0.17</v>
          </cell>
          <cell r="M121">
            <v>0.18</v>
          </cell>
          <cell r="N121">
            <v>0.18</v>
          </cell>
          <cell r="O121">
            <v>0.17</v>
          </cell>
          <cell r="P121">
            <v>0.17</v>
          </cell>
          <cell r="Q121">
            <v>0.17</v>
          </cell>
          <cell r="R121">
            <v>0.18</v>
          </cell>
          <cell r="S121">
            <v>0.18</v>
          </cell>
          <cell r="T121">
            <v>0.18</v>
          </cell>
          <cell r="U121">
            <v>0.18</v>
          </cell>
          <cell r="V121">
            <v>0.2</v>
          </cell>
          <cell r="W121">
            <v>0.18</v>
          </cell>
          <cell r="X121">
            <v>0.17499999999999999</v>
          </cell>
          <cell r="Y121">
            <v>0.17</v>
          </cell>
          <cell r="Z121">
            <v>0.18</v>
          </cell>
          <cell r="AA121">
            <v>0.17</v>
          </cell>
          <cell r="AB121">
            <v>0.18</v>
          </cell>
          <cell r="AC121">
            <v>0.18</v>
          </cell>
          <cell r="AD121">
            <v>0.18</v>
          </cell>
          <cell r="AF121">
            <v>0.12</v>
          </cell>
        </row>
        <row r="122">
          <cell r="C122" t="str">
            <v>8487.90.00</v>
          </cell>
          <cell r="D122">
            <v>0.17</v>
          </cell>
          <cell r="E122">
            <v>0.18</v>
          </cell>
          <cell r="F122">
            <v>0.18</v>
          </cell>
          <cell r="G122">
            <v>0.18</v>
          </cell>
          <cell r="H122">
            <v>0.18</v>
          </cell>
          <cell r="I122">
            <v>0.18</v>
          </cell>
          <cell r="J122">
            <v>0.18</v>
          </cell>
          <cell r="K122">
            <v>0.17</v>
          </cell>
          <cell r="L122">
            <v>0.17</v>
          </cell>
          <cell r="M122">
            <v>0.18</v>
          </cell>
          <cell r="N122">
            <v>0.18</v>
          </cell>
          <cell r="O122">
            <v>0.17</v>
          </cell>
          <cell r="P122">
            <v>0.17</v>
          </cell>
          <cell r="Q122">
            <v>0.17</v>
          </cell>
          <cell r="R122">
            <v>0.18</v>
          </cell>
          <cell r="S122">
            <v>0.18</v>
          </cell>
          <cell r="T122">
            <v>0.18</v>
          </cell>
          <cell r="U122">
            <v>0.18</v>
          </cell>
          <cell r="V122">
            <v>0.2</v>
          </cell>
          <cell r="W122">
            <v>0.18</v>
          </cell>
          <cell r="X122">
            <v>0.17499999999999999</v>
          </cell>
          <cell r="Y122">
            <v>0.17</v>
          </cell>
          <cell r="Z122">
            <v>0.18</v>
          </cell>
          <cell r="AA122">
            <v>0.17</v>
          </cell>
          <cell r="AB122">
            <v>0.18</v>
          </cell>
          <cell r="AC122">
            <v>0.18</v>
          </cell>
          <cell r="AD122">
            <v>0.18</v>
          </cell>
          <cell r="AF122">
            <v>0.1</v>
          </cell>
        </row>
        <row r="123">
          <cell r="C123" t="str">
            <v>8501.31.20</v>
          </cell>
          <cell r="D123">
            <v>0.17</v>
          </cell>
          <cell r="E123">
            <v>0.18</v>
          </cell>
          <cell r="F123">
            <v>0.18</v>
          </cell>
          <cell r="G123">
            <v>0.18</v>
          </cell>
          <cell r="H123">
            <v>0.18</v>
          </cell>
          <cell r="I123">
            <v>0.18</v>
          </cell>
          <cell r="J123">
            <v>0.12</v>
          </cell>
          <cell r="K123">
            <v>0.17</v>
          </cell>
          <cell r="L123">
            <v>0.17</v>
          </cell>
          <cell r="M123">
            <v>0.18</v>
          </cell>
          <cell r="N123">
            <v>0.18</v>
          </cell>
          <cell r="O123">
            <v>0.17</v>
          </cell>
          <cell r="P123">
            <v>0.17</v>
          </cell>
          <cell r="Q123">
            <v>0.17</v>
          </cell>
          <cell r="R123">
            <v>0.18</v>
          </cell>
          <cell r="S123">
            <v>0.18</v>
          </cell>
          <cell r="T123">
            <v>0.18</v>
          </cell>
          <cell r="U123">
            <v>0.18</v>
          </cell>
          <cell r="V123">
            <v>0.2</v>
          </cell>
          <cell r="W123">
            <v>0.18</v>
          </cell>
          <cell r="X123">
            <v>0.17499999999999999</v>
          </cell>
          <cell r="Y123">
            <v>0.17</v>
          </cell>
          <cell r="Z123">
            <v>0.18</v>
          </cell>
          <cell r="AA123">
            <v>0.17</v>
          </cell>
          <cell r="AB123">
            <v>0.18</v>
          </cell>
          <cell r="AC123">
            <v>0.12</v>
          </cell>
          <cell r="AD123">
            <v>0.18</v>
          </cell>
          <cell r="AF123">
            <v>0</v>
          </cell>
        </row>
        <row r="124">
          <cell r="C124" t="str">
            <v>8501.32.20</v>
          </cell>
          <cell r="D124">
            <v>0.17</v>
          </cell>
          <cell r="E124">
            <v>0.18</v>
          </cell>
          <cell r="F124">
            <v>0.18</v>
          </cell>
          <cell r="G124">
            <v>0.18</v>
          </cell>
          <cell r="H124">
            <v>0.18</v>
          </cell>
          <cell r="I124">
            <v>0.18</v>
          </cell>
          <cell r="J124">
            <v>0.18</v>
          </cell>
          <cell r="K124">
            <v>0.12</v>
          </cell>
          <cell r="L124">
            <v>0.17</v>
          </cell>
          <cell r="M124">
            <v>0.18</v>
          </cell>
          <cell r="N124">
            <v>0.18</v>
          </cell>
          <cell r="O124">
            <v>0.17</v>
          </cell>
          <cell r="P124">
            <v>0.17</v>
          </cell>
          <cell r="Q124">
            <v>0.17</v>
          </cell>
          <cell r="R124">
            <v>0.18</v>
          </cell>
          <cell r="S124">
            <v>0.18</v>
          </cell>
          <cell r="T124">
            <v>0.18</v>
          </cell>
          <cell r="U124">
            <v>0.18</v>
          </cell>
          <cell r="V124">
            <v>0.2</v>
          </cell>
          <cell r="W124">
            <v>0.18</v>
          </cell>
          <cell r="X124">
            <v>0.17499999999999999</v>
          </cell>
          <cell r="Y124">
            <v>0.17</v>
          </cell>
          <cell r="Z124">
            <v>0.18</v>
          </cell>
          <cell r="AA124">
            <v>0.17</v>
          </cell>
          <cell r="AB124">
            <v>0.18</v>
          </cell>
          <cell r="AC124">
            <v>0.12</v>
          </cell>
          <cell r="AD124">
            <v>0.18</v>
          </cell>
          <cell r="AF124">
            <v>0</v>
          </cell>
        </row>
        <row r="125">
          <cell r="C125" t="str">
            <v>8503.00.90</v>
          </cell>
          <cell r="D125">
            <v>0.17</v>
          </cell>
          <cell r="E125">
            <v>0.18</v>
          </cell>
          <cell r="F125">
            <v>0.18</v>
          </cell>
          <cell r="G125">
            <v>0.18</v>
          </cell>
          <cell r="H125">
            <v>0.18</v>
          </cell>
          <cell r="I125">
            <v>0.18</v>
          </cell>
          <cell r="J125">
            <v>0.18</v>
          </cell>
          <cell r="K125">
            <v>0.12</v>
          </cell>
          <cell r="L125">
            <v>0.17</v>
          </cell>
          <cell r="M125">
            <v>0.18</v>
          </cell>
          <cell r="N125">
            <v>0.18</v>
          </cell>
          <cell r="O125">
            <v>0.17</v>
          </cell>
          <cell r="P125">
            <v>0.17</v>
          </cell>
          <cell r="Q125">
            <v>0.17</v>
          </cell>
          <cell r="R125">
            <v>0.18</v>
          </cell>
          <cell r="S125">
            <v>0.18</v>
          </cell>
          <cell r="T125">
            <v>0.18</v>
          </cell>
          <cell r="U125">
            <v>0.18</v>
          </cell>
          <cell r="V125">
            <v>0.2</v>
          </cell>
          <cell r="W125">
            <v>0.18</v>
          </cell>
          <cell r="X125">
            <v>0.17499999999999999</v>
          </cell>
          <cell r="Y125">
            <v>0.17</v>
          </cell>
          <cell r="Z125">
            <v>0.18</v>
          </cell>
          <cell r="AA125">
            <v>0.17</v>
          </cell>
          <cell r="AB125">
            <v>0.18</v>
          </cell>
          <cell r="AC125">
            <v>0.18</v>
          </cell>
          <cell r="AD125">
            <v>0.18</v>
          </cell>
          <cell r="AF125">
            <v>0.1</v>
          </cell>
        </row>
        <row r="126">
          <cell r="C126" t="str">
            <v>8504.21.00</v>
          </cell>
          <cell r="D126">
            <v>0.17</v>
          </cell>
          <cell r="E126">
            <v>0.18</v>
          </cell>
          <cell r="F126">
            <v>0.18</v>
          </cell>
          <cell r="G126">
            <v>0.18</v>
          </cell>
          <cell r="H126">
            <v>0.18</v>
          </cell>
          <cell r="I126">
            <v>0.18</v>
          </cell>
          <cell r="J126">
            <v>0.18</v>
          </cell>
          <cell r="K126">
            <v>0.12</v>
          </cell>
          <cell r="L126">
            <v>0.17</v>
          </cell>
          <cell r="M126">
            <v>0.18</v>
          </cell>
          <cell r="N126">
            <v>0.18</v>
          </cell>
          <cell r="O126">
            <v>0.17</v>
          </cell>
          <cell r="P126">
            <v>0.17</v>
          </cell>
          <cell r="Q126">
            <v>0.17</v>
          </cell>
          <cell r="R126">
            <v>0.18</v>
          </cell>
          <cell r="S126">
            <v>0.18</v>
          </cell>
          <cell r="T126">
            <v>0.18</v>
          </cell>
          <cell r="U126">
            <v>0.18</v>
          </cell>
          <cell r="V126">
            <v>0.2</v>
          </cell>
          <cell r="W126">
            <v>0.18</v>
          </cell>
          <cell r="X126">
            <v>0.17499999999999999</v>
          </cell>
          <cell r="Y126">
            <v>0.17</v>
          </cell>
          <cell r="Z126">
            <v>0.18</v>
          </cell>
          <cell r="AA126">
            <v>0.17</v>
          </cell>
          <cell r="AB126">
            <v>0.18</v>
          </cell>
          <cell r="AC126">
            <v>0.18</v>
          </cell>
          <cell r="AD126">
            <v>0.18</v>
          </cell>
          <cell r="AF126">
            <v>0</v>
          </cell>
        </row>
        <row r="127">
          <cell r="C127" t="str">
            <v>8504.31.11</v>
          </cell>
          <cell r="D127">
            <v>0.17</v>
          </cell>
          <cell r="E127">
            <v>0.18</v>
          </cell>
          <cell r="F127">
            <v>0.18</v>
          </cell>
          <cell r="G127">
            <v>0.18</v>
          </cell>
          <cell r="H127">
            <v>0.18</v>
          </cell>
          <cell r="I127">
            <v>0.18</v>
          </cell>
          <cell r="J127">
            <v>0.12</v>
          </cell>
          <cell r="K127">
            <v>0.17</v>
          </cell>
          <cell r="L127">
            <v>0.17</v>
          </cell>
          <cell r="M127">
            <v>0.18</v>
          </cell>
          <cell r="N127">
            <v>0.18</v>
          </cell>
          <cell r="O127">
            <v>0.17</v>
          </cell>
          <cell r="P127">
            <v>0.17</v>
          </cell>
          <cell r="Q127">
            <v>0.17</v>
          </cell>
          <cell r="R127">
            <v>0.18</v>
          </cell>
          <cell r="S127">
            <v>0.18</v>
          </cell>
          <cell r="T127">
            <v>0.18</v>
          </cell>
          <cell r="U127">
            <v>0.18</v>
          </cell>
          <cell r="V127">
            <v>0.2</v>
          </cell>
          <cell r="W127">
            <v>0.18</v>
          </cell>
          <cell r="X127">
            <v>0.17499999999999999</v>
          </cell>
          <cell r="Y127">
            <v>0.17</v>
          </cell>
          <cell r="Z127">
            <v>0.18</v>
          </cell>
          <cell r="AA127">
            <v>0.17</v>
          </cell>
          <cell r="AB127">
            <v>0.18</v>
          </cell>
          <cell r="AC127">
            <v>0.18</v>
          </cell>
          <cell r="AD127">
            <v>0.18</v>
          </cell>
          <cell r="AF127">
            <v>0.1</v>
          </cell>
        </row>
        <row r="128">
          <cell r="C128" t="str">
            <v>8504.31.19</v>
          </cell>
          <cell r="D128">
            <v>0.17</v>
          </cell>
          <cell r="E128">
            <v>0.18</v>
          </cell>
          <cell r="F128">
            <v>0.18</v>
          </cell>
          <cell r="G128">
            <v>0.18</v>
          </cell>
          <cell r="H128">
            <v>0.18</v>
          </cell>
          <cell r="I128">
            <v>0.18</v>
          </cell>
          <cell r="J128">
            <v>0.12</v>
          </cell>
          <cell r="K128">
            <v>0.17</v>
          </cell>
          <cell r="L128">
            <v>0.17</v>
          </cell>
          <cell r="M128">
            <v>0.18</v>
          </cell>
          <cell r="N128">
            <v>0.18</v>
          </cell>
          <cell r="O128">
            <v>0.17</v>
          </cell>
          <cell r="P128">
            <v>0.17</v>
          </cell>
          <cell r="Q128">
            <v>0.17</v>
          </cell>
          <cell r="R128">
            <v>0.18</v>
          </cell>
          <cell r="S128">
            <v>0.18</v>
          </cell>
          <cell r="T128">
            <v>0.18</v>
          </cell>
          <cell r="U128">
            <v>0.18</v>
          </cell>
          <cell r="V128">
            <v>0.2</v>
          </cell>
          <cell r="W128">
            <v>0.18</v>
          </cell>
          <cell r="X128">
            <v>0.17499999999999999</v>
          </cell>
          <cell r="Y128">
            <v>0.17</v>
          </cell>
          <cell r="Z128">
            <v>0.18</v>
          </cell>
          <cell r="AA128">
            <v>0.17</v>
          </cell>
          <cell r="AB128">
            <v>0.18</v>
          </cell>
          <cell r="AC128">
            <v>0.12</v>
          </cell>
          <cell r="AD128">
            <v>0.18</v>
          </cell>
          <cell r="AF128">
            <v>0.1</v>
          </cell>
        </row>
        <row r="129">
          <cell r="C129" t="str">
            <v>8504.40.10</v>
          </cell>
          <cell r="D129">
            <v>0.17</v>
          </cell>
          <cell r="E129">
            <v>0.18</v>
          </cell>
          <cell r="F129">
            <v>0.18</v>
          </cell>
          <cell r="G129">
            <v>0.18</v>
          </cell>
          <cell r="H129">
            <v>0.18</v>
          </cell>
          <cell r="I129">
            <v>0.18</v>
          </cell>
          <cell r="J129">
            <v>0.12</v>
          </cell>
          <cell r="K129">
            <v>0.17</v>
          </cell>
          <cell r="L129">
            <v>0.17</v>
          </cell>
          <cell r="M129">
            <v>0.18</v>
          </cell>
          <cell r="N129">
            <v>0.18</v>
          </cell>
          <cell r="O129">
            <v>0.17</v>
          </cell>
          <cell r="P129">
            <v>0.17</v>
          </cell>
          <cell r="Q129">
            <v>0.17</v>
          </cell>
          <cell r="R129">
            <v>0.18</v>
          </cell>
          <cell r="S129">
            <v>0.18</v>
          </cell>
          <cell r="T129">
            <v>0.18</v>
          </cell>
          <cell r="U129">
            <v>0.18</v>
          </cell>
          <cell r="V129">
            <v>0.2</v>
          </cell>
          <cell r="W129">
            <v>0.18</v>
          </cell>
          <cell r="X129">
            <v>0.17499999999999999</v>
          </cell>
          <cell r="Y129">
            <v>0.17</v>
          </cell>
          <cell r="Z129">
            <v>0.18</v>
          </cell>
          <cell r="AA129">
            <v>0.17</v>
          </cell>
          <cell r="AB129">
            <v>0.18</v>
          </cell>
          <cell r="AC129">
            <v>0.18</v>
          </cell>
          <cell r="AD129">
            <v>0.18</v>
          </cell>
          <cell r="AF129">
            <v>0.05</v>
          </cell>
        </row>
        <row r="130">
          <cell r="C130" t="str">
            <v>8504.40.21</v>
          </cell>
          <cell r="D130">
            <v>0.17</v>
          </cell>
          <cell r="E130">
            <v>0.18</v>
          </cell>
          <cell r="F130">
            <v>0.18</v>
          </cell>
          <cell r="G130">
            <v>0.18</v>
          </cell>
          <cell r="H130">
            <v>0.18</v>
          </cell>
          <cell r="I130">
            <v>0.18</v>
          </cell>
          <cell r="J130">
            <v>0.18</v>
          </cell>
          <cell r="K130">
            <v>0.12</v>
          </cell>
          <cell r="L130">
            <v>0.17</v>
          </cell>
          <cell r="M130">
            <v>0.18</v>
          </cell>
          <cell r="N130">
            <v>0.18</v>
          </cell>
          <cell r="O130">
            <v>0.17</v>
          </cell>
          <cell r="P130">
            <v>0.17</v>
          </cell>
          <cell r="Q130">
            <v>0.17</v>
          </cell>
          <cell r="R130">
            <v>0.18</v>
          </cell>
          <cell r="S130">
            <v>0.18</v>
          </cell>
          <cell r="T130">
            <v>0.18</v>
          </cell>
          <cell r="U130">
            <v>0.18</v>
          </cell>
          <cell r="V130">
            <v>0.2</v>
          </cell>
          <cell r="W130">
            <v>0.18</v>
          </cell>
          <cell r="X130">
            <v>0.17499999999999999</v>
          </cell>
          <cell r="Y130">
            <v>0.17</v>
          </cell>
          <cell r="Z130">
            <v>0.18</v>
          </cell>
          <cell r="AA130">
            <v>0.17</v>
          </cell>
          <cell r="AB130">
            <v>0.18</v>
          </cell>
          <cell r="AC130">
            <v>0.18</v>
          </cell>
          <cell r="AD130">
            <v>0.18</v>
          </cell>
          <cell r="AF130">
            <v>0.05</v>
          </cell>
        </row>
        <row r="131">
          <cell r="C131" t="str">
            <v>8504.40.29</v>
          </cell>
          <cell r="D131">
            <v>0.17</v>
          </cell>
          <cell r="E131">
            <v>0.18</v>
          </cell>
          <cell r="F131">
            <v>0.18</v>
          </cell>
          <cell r="G131">
            <v>0.18</v>
          </cell>
          <cell r="H131">
            <v>0.18</v>
          </cell>
          <cell r="I131">
            <v>0.18</v>
          </cell>
          <cell r="J131">
            <v>0.18</v>
          </cell>
          <cell r="K131">
            <v>0.12</v>
          </cell>
          <cell r="L131">
            <v>0.17</v>
          </cell>
          <cell r="M131">
            <v>0.18</v>
          </cell>
          <cell r="N131">
            <v>0.18</v>
          </cell>
          <cell r="O131">
            <v>0.17</v>
          </cell>
          <cell r="P131">
            <v>0.17</v>
          </cell>
          <cell r="Q131">
            <v>0.17</v>
          </cell>
          <cell r="R131">
            <v>0.18</v>
          </cell>
          <cell r="S131">
            <v>0.18</v>
          </cell>
          <cell r="T131">
            <v>0.18</v>
          </cell>
          <cell r="U131">
            <v>0.18</v>
          </cell>
          <cell r="V131">
            <v>0.2</v>
          </cell>
          <cell r="W131">
            <v>0.18</v>
          </cell>
          <cell r="X131">
            <v>0.17499999999999999</v>
          </cell>
          <cell r="Y131">
            <v>0.17</v>
          </cell>
          <cell r="Z131">
            <v>0.18</v>
          </cell>
          <cell r="AA131">
            <v>0.17</v>
          </cell>
          <cell r="AB131">
            <v>0.18</v>
          </cell>
          <cell r="AC131">
            <v>0.18</v>
          </cell>
          <cell r="AD131">
            <v>0.18</v>
          </cell>
          <cell r="AF131">
            <v>0.05</v>
          </cell>
        </row>
        <row r="132">
          <cell r="C132" t="str">
            <v>8504.40.30</v>
          </cell>
          <cell r="D132">
            <v>0.17</v>
          </cell>
          <cell r="E132">
            <v>0.18</v>
          </cell>
          <cell r="F132">
            <v>0.18</v>
          </cell>
          <cell r="G132">
            <v>0.18</v>
          </cell>
          <cell r="H132">
            <v>0.18</v>
          </cell>
          <cell r="I132">
            <v>0.18</v>
          </cell>
          <cell r="J132">
            <v>0.12</v>
          </cell>
          <cell r="K132">
            <v>0.17</v>
          </cell>
          <cell r="L132">
            <v>0.17</v>
          </cell>
          <cell r="M132">
            <v>0.18</v>
          </cell>
          <cell r="N132">
            <v>0.18</v>
          </cell>
          <cell r="O132">
            <v>0.17</v>
          </cell>
          <cell r="P132">
            <v>0.17</v>
          </cell>
          <cell r="Q132">
            <v>0.17</v>
          </cell>
          <cell r="R132">
            <v>0.18</v>
          </cell>
          <cell r="S132">
            <v>0.18</v>
          </cell>
          <cell r="T132">
            <v>0.18</v>
          </cell>
          <cell r="U132">
            <v>0.18</v>
          </cell>
          <cell r="V132">
            <v>0.2</v>
          </cell>
          <cell r="W132">
            <v>0.18</v>
          </cell>
          <cell r="X132">
            <v>0.17499999999999999</v>
          </cell>
          <cell r="Y132">
            <v>0.17</v>
          </cell>
          <cell r="Z132">
            <v>0.18</v>
          </cell>
          <cell r="AA132">
            <v>0.17</v>
          </cell>
          <cell r="AB132">
            <v>0.18</v>
          </cell>
          <cell r="AC132">
            <v>0.18</v>
          </cell>
          <cell r="AD132">
            <v>0.18</v>
          </cell>
          <cell r="AF132">
            <v>0.15</v>
          </cell>
        </row>
        <row r="133">
          <cell r="C133" t="str">
            <v>8504.40.40</v>
          </cell>
          <cell r="D133">
            <v>0.17</v>
          </cell>
          <cell r="E133">
            <v>0.18</v>
          </cell>
          <cell r="F133">
            <v>0.18</v>
          </cell>
          <cell r="G133">
            <v>0.18</v>
          </cell>
          <cell r="H133">
            <v>0.18</v>
          </cell>
          <cell r="I133">
            <v>0.18</v>
          </cell>
          <cell r="J133">
            <v>0.12</v>
          </cell>
          <cell r="K133">
            <v>0.12</v>
          </cell>
          <cell r="L133">
            <v>0.17</v>
          </cell>
          <cell r="M133">
            <v>0.18</v>
          </cell>
          <cell r="N133">
            <v>0.18</v>
          </cell>
          <cell r="O133">
            <v>0.17</v>
          </cell>
          <cell r="P133">
            <v>0.17</v>
          </cell>
          <cell r="Q133">
            <v>0.17</v>
          </cell>
          <cell r="R133">
            <v>0.18</v>
          </cell>
          <cell r="S133">
            <v>0.18</v>
          </cell>
          <cell r="T133">
            <v>0.18</v>
          </cell>
          <cell r="U133">
            <v>0.18</v>
          </cell>
          <cell r="V133">
            <v>0.2</v>
          </cell>
          <cell r="W133">
            <v>0.18</v>
          </cell>
          <cell r="X133">
            <v>0.17499999999999999</v>
          </cell>
          <cell r="Y133">
            <v>0.17</v>
          </cell>
          <cell r="Z133">
            <v>0.18</v>
          </cell>
          <cell r="AA133">
            <v>0.17</v>
          </cell>
          <cell r="AB133">
            <v>0.18</v>
          </cell>
          <cell r="AC133">
            <v>0.18</v>
          </cell>
          <cell r="AD133">
            <v>0.18</v>
          </cell>
          <cell r="AF133">
            <v>0.15</v>
          </cell>
        </row>
        <row r="134">
          <cell r="C134" t="str">
            <v>8504.40.90</v>
          </cell>
          <cell r="D134">
            <v>0.17</v>
          </cell>
          <cell r="E134">
            <v>0.18</v>
          </cell>
          <cell r="F134">
            <v>0.18</v>
          </cell>
          <cell r="G134">
            <v>0.18</v>
          </cell>
          <cell r="H134">
            <v>0.18</v>
          </cell>
          <cell r="I134">
            <v>0.18</v>
          </cell>
          <cell r="J134">
            <v>0.18</v>
          </cell>
          <cell r="K134">
            <v>0.12</v>
          </cell>
          <cell r="L134">
            <v>0.17</v>
          </cell>
          <cell r="M134">
            <v>0.18</v>
          </cell>
          <cell r="N134">
            <v>0.18</v>
          </cell>
          <cell r="O134">
            <v>0.17</v>
          </cell>
          <cell r="P134">
            <v>0.17</v>
          </cell>
          <cell r="Q134">
            <v>0.17</v>
          </cell>
          <cell r="R134">
            <v>0.18</v>
          </cell>
          <cell r="S134">
            <v>0.18</v>
          </cell>
          <cell r="T134">
            <v>0.18</v>
          </cell>
          <cell r="U134">
            <v>0.18</v>
          </cell>
          <cell r="V134">
            <v>0.2</v>
          </cell>
          <cell r="W134">
            <v>0.18</v>
          </cell>
          <cell r="X134">
            <v>0.17499999999999999</v>
          </cell>
          <cell r="Y134">
            <v>0.17</v>
          </cell>
          <cell r="Z134">
            <v>0.18</v>
          </cell>
          <cell r="AA134">
            <v>0.17</v>
          </cell>
          <cell r="AB134">
            <v>0.18</v>
          </cell>
          <cell r="AC134">
            <v>0.18</v>
          </cell>
          <cell r="AD134">
            <v>0.18</v>
          </cell>
          <cell r="AF134">
            <v>0.15</v>
          </cell>
        </row>
        <row r="135">
          <cell r="C135" t="str">
            <v>8504.50.00</v>
          </cell>
          <cell r="D135">
            <v>0.17</v>
          </cell>
          <cell r="E135">
            <v>0.18</v>
          </cell>
          <cell r="F135">
            <v>0.18</v>
          </cell>
          <cell r="G135">
            <v>0.18</v>
          </cell>
          <cell r="H135">
            <v>0.18</v>
          </cell>
          <cell r="I135">
            <v>0.18</v>
          </cell>
          <cell r="J135">
            <v>0.12</v>
          </cell>
          <cell r="K135">
            <v>0.12</v>
          </cell>
          <cell r="L135">
            <v>0.17</v>
          </cell>
          <cell r="M135">
            <v>0.18</v>
          </cell>
          <cell r="N135">
            <v>0.18</v>
          </cell>
          <cell r="O135">
            <v>0.17</v>
          </cell>
          <cell r="P135">
            <v>0.17</v>
          </cell>
          <cell r="Q135">
            <v>0.17</v>
          </cell>
          <cell r="R135">
            <v>0.18</v>
          </cell>
          <cell r="S135">
            <v>0.18</v>
          </cell>
          <cell r="T135">
            <v>0.18</v>
          </cell>
          <cell r="U135">
            <v>0.18</v>
          </cell>
          <cell r="V135">
            <v>0.2</v>
          </cell>
          <cell r="W135">
            <v>0.18</v>
          </cell>
          <cell r="X135">
            <v>0.17499999999999999</v>
          </cell>
          <cell r="Y135">
            <v>0.17</v>
          </cell>
          <cell r="Z135">
            <v>0.18</v>
          </cell>
          <cell r="AA135">
            <v>0.17</v>
          </cell>
          <cell r="AB135">
            <v>0.18</v>
          </cell>
          <cell r="AC135">
            <v>0.18</v>
          </cell>
          <cell r="AD135">
            <v>0.18</v>
          </cell>
          <cell r="AF135">
            <v>0</v>
          </cell>
        </row>
        <row r="136">
          <cell r="C136" t="str">
            <v>8504.90.40</v>
          </cell>
          <cell r="D136">
            <v>0.17</v>
          </cell>
          <cell r="E136">
            <v>0.18</v>
          </cell>
          <cell r="F136">
            <v>0.18</v>
          </cell>
          <cell r="G136">
            <v>0.18</v>
          </cell>
          <cell r="H136">
            <v>0.18</v>
          </cell>
          <cell r="I136">
            <v>0.18</v>
          </cell>
          <cell r="J136">
            <v>0.18</v>
          </cell>
          <cell r="K136">
            <v>0.17</v>
          </cell>
          <cell r="L136">
            <v>0.17</v>
          </cell>
          <cell r="M136">
            <v>0.18</v>
          </cell>
          <cell r="N136">
            <v>0.18</v>
          </cell>
          <cell r="O136">
            <v>0.17</v>
          </cell>
          <cell r="P136">
            <v>0.17</v>
          </cell>
          <cell r="Q136">
            <v>0.17</v>
          </cell>
          <cell r="R136">
            <v>0.18</v>
          </cell>
          <cell r="S136">
            <v>0.18</v>
          </cell>
          <cell r="T136">
            <v>0.18</v>
          </cell>
          <cell r="U136">
            <v>0.18</v>
          </cell>
          <cell r="V136">
            <v>0.2</v>
          </cell>
          <cell r="W136">
            <v>0.18</v>
          </cell>
          <cell r="X136">
            <v>0.17499999999999999</v>
          </cell>
          <cell r="Y136">
            <v>0.17</v>
          </cell>
          <cell r="Z136">
            <v>0.18</v>
          </cell>
          <cell r="AA136">
            <v>0.17</v>
          </cell>
          <cell r="AB136">
            <v>0.18</v>
          </cell>
          <cell r="AC136">
            <v>0.18</v>
          </cell>
          <cell r="AD136">
            <v>0.18</v>
          </cell>
          <cell r="AF136">
            <v>0.1</v>
          </cell>
        </row>
        <row r="137">
          <cell r="C137" t="str">
            <v>8504.90.90</v>
          </cell>
          <cell r="D137">
            <v>0.17</v>
          </cell>
          <cell r="E137">
            <v>0.18</v>
          </cell>
          <cell r="F137">
            <v>0.18</v>
          </cell>
          <cell r="G137">
            <v>0.18</v>
          </cell>
          <cell r="H137">
            <v>0.18</v>
          </cell>
          <cell r="I137">
            <v>0.18</v>
          </cell>
          <cell r="J137">
            <v>0.12</v>
          </cell>
          <cell r="K137">
            <v>0.17</v>
          </cell>
          <cell r="L137">
            <v>0.17</v>
          </cell>
          <cell r="M137">
            <v>0.18</v>
          </cell>
          <cell r="N137">
            <v>0.18</v>
          </cell>
          <cell r="O137">
            <v>0.17</v>
          </cell>
          <cell r="P137">
            <v>0.17</v>
          </cell>
          <cell r="Q137">
            <v>0.17</v>
          </cell>
          <cell r="R137">
            <v>0.18</v>
          </cell>
          <cell r="S137">
            <v>0.18</v>
          </cell>
          <cell r="T137">
            <v>0.18</v>
          </cell>
          <cell r="U137">
            <v>0.18</v>
          </cell>
          <cell r="V137">
            <v>0.2</v>
          </cell>
          <cell r="W137">
            <v>0.18</v>
          </cell>
          <cell r="X137">
            <v>0.17499999999999999</v>
          </cell>
          <cell r="Y137">
            <v>0.17</v>
          </cell>
          <cell r="Z137">
            <v>0.18</v>
          </cell>
          <cell r="AA137">
            <v>0.17</v>
          </cell>
          <cell r="AB137">
            <v>0.18</v>
          </cell>
          <cell r="AC137">
            <v>0.18</v>
          </cell>
          <cell r="AD137">
            <v>0.18</v>
          </cell>
          <cell r="AF137">
            <v>0.1</v>
          </cell>
        </row>
        <row r="138">
          <cell r="C138" t="str">
            <v>8506.10.30</v>
          </cell>
          <cell r="D138">
            <v>0.17</v>
          </cell>
          <cell r="E138">
            <v>0.18</v>
          </cell>
          <cell r="F138">
            <v>0.18</v>
          </cell>
          <cell r="G138">
            <v>0.18</v>
          </cell>
          <cell r="H138">
            <v>0.18</v>
          </cell>
          <cell r="I138">
            <v>0.18</v>
          </cell>
          <cell r="J138">
            <v>0.18</v>
          </cell>
          <cell r="K138">
            <v>0.17</v>
          </cell>
          <cell r="L138">
            <v>0.17</v>
          </cell>
          <cell r="M138">
            <v>0.18</v>
          </cell>
          <cell r="N138">
            <v>0.18</v>
          </cell>
          <cell r="O138">
            <v>0.17</v>
          </cell>
          <cell r="P138">
            <v>0.17</v>
          </cell>
          <cell r="Q138">
            <v>0.17</v>
          </cell>
          <cell r="R138">
            <v>0.18</v>
          </cell>
          <cell r="S138">
            <v>0.18</v>
          </cell>
          <cell r="T138">
            <v>0.18</v>
          </cell>
          <cell r="U138">
            <v>0.18</v>
          </cell>
          <cell r="V138">
            <v>0.2</v>
          </cell>
          <cell r="W138">
            <v>0.18</v>
          </cell>
          <cell r="X138">
            <v>0.17499999999999999</v>
          </cell>
          <cell r="Y138">
            <v>0.17</v>
          </cell>
          <cell r="Z138">
            <v>0.18</v>
          </cell>
          <cell r="AA138">
            <v>0.17</v>
          </cell>
          <cell r="AB138">
            <v>0.18</v>
          </cell>
          <cell r="AC138">
            <v>0.18</v>
          </cell>
          <cell r="AD138">
            <v>0.18</v>
          </cell>
          <cell r="AF138">
            <v>0.15</v>
          </cell>
        </row>
        <row r="139">
          <cell r="C139" t="str">
            <v>8506.50.10</v>
          </cell>
          <cell r="D139">
            <v>0.17</v>
          </cell>
          <cell r="E139">
            <v>0.18</v>
          </cell>
          <cell r="F139">
            <v>0.18</v>
          </cell>
          <cell r="G139">
            <v>0.18</v>
          </cell>
          <cell r="H139">
            <v>0.18</v>
          </cell>
          <cell r="I139">
            <v>0.18</v>
          </cell>
          <cell r="J139">
            <v>0.18</v>
          </cell>
          <cell r="K139">
            <v>0.17</v>
          </cell>
          <cell r="L139">
            <v>0.17</v>
          </cell>
          <cell r="M139">
            <v>0.18</v>
          </cell>
          <cell r="N139">
            <v>0.18</v>
          </cell>
          <cell r="O139">
            <v>0.17</v>
          </cell>
          <cell r="P139">
            <v>0.17</v>
          </cell>
          <cell r="Q139">
            <v>0.17</v>
          </cell>
          <cell r="R139">
            <v>0.18</v>
          </cell>
          <cell r="S139">
            <v>0.18</v>
          </cell>
          <cell r="T139">
            <v>0.18</v>
          </cell>
          <cell r="U139">
            <v>0.18</v>
          </cell>
          <cell r="V139">
            <v>0.2</v>
          </cell>
          <cell r="W139">
            <v>0.18</v>
          </cell>
          <cell r="X139">
            <v>0.17499999999999999</v>
          </cell>
          <cell r="Y139">
            <v>0.17</v>
          </cell>
          <cell r="Z139">
            <v>0.18</v>
          </cell>
          <cell r="AA139">
            <v>0.17</v>
          </cell>
          <cell r="AB139">
            <v>0.18</v>
          </cell>
          <cell r="AC139">
            <v>0.18</v>
          </cell>
          <cell r="AD139">
            <v>0.18</v>
          </cell>
          <cell r="AF139">
            <v>0.15</v>
          </cell>
        </row>
        <row r="140">
          <cell r="C140" t="str">
            <v>8507.10.10</v>
          </cell>
          <cell r="D140">
            <v>0.17</v>
          </cell>
          <cell r="E140">
            <v>0.18</v>
          </cell>
          <cell r="F140">
            <v>0.18</v>
          </cell>
          <cell r="G140">
            <v>0.18</v>
          </cell>
          <cell r="H140">
            <v>0.18</v>
          </cell>
          <cell r="I140">
            <v>0.18</v>
          </cell>
          <cell r="J140">
            <v>0.18</v>
          </cell>
          <cell r="K140">
            <v>0.17</v>
          </cell>
          <cell r="L140">
            <v>0.17</v>
          </cell>
          <cell r="M140">
            <v>0.18</v>
          </cell>
          <cell r="N140">
            <v>0.18</v>
          </cell>
          <cell r="O140">
            <v>0.17</v>
          </cell>
          <cell r="P140">
            <v>0.17</v>
          </cell>
          <cell r="Q140">
            <v>0.17</v>
          </cell>
          <cell r="R140">
            <v>0.18</v>
          </cell>
          <cell r="S140">
            <v>0.18</v>
          </cell>
          <cell r="T140">
            <v>0.18</v>
          </cell>
          <cell r="U140">
            <v>0.18</v>
          </cell>
          <cell r="V140">
            <v>0.2</v>
          </cell>
          <cell r="W140">
            <v>0.18</v>
          </cell>
          <cell r="X140">
            <v>0.17499999999999999</v>
          </cell>
          <cell r="Y140">
            <v>0.17</v>
          </cell>
          <cell r="Z140">
            <v>0.18</v>
          </cell>
          <cell r="AA140">
            <v>0.17</v>
          </cell>
          <cell r="AB140">
            <v>0.18</v>
          </cell>
          <cell r="AC140">
            <v>0.18</v>
          </cell>
          <cell r="AD140">
            <v>0.18</v>
          </cell>
          <cell r="AF140">
            <v>0.15</v>
          </cell>
        </row>
        <row r="141">
          <cell r="C141" t="str">
            <v>8507.10.90</v>
          </cell>
          <cell r="D141">
            <v>0.17</v>
          </cell>
          <cell r="E141">
            <v>0.18</v>
          </cell>
          <cell r="F141">
            <v>0.18</v>
          </cell>
          <cell r="G141">
            <v>0.18</v>
          </cell>
          <cell r="H141">
            <v>0.18</v>
          </cell>
          <cell r="I141">
            <v>0.18</v>
          </cell>
          <cell r="J141">
            <v>0.18</v>
          </cell>
          <cell r="K141">
            <v>0.17</v>
          </cell>
          <cell r="L141">
            <v>0.17</v>
          </cell>
          <cell r="M141">
            <v>0.18</v>
          </cell>
          <cell r="N141">
            <v>0.18</v>
          </cell>
          <cell r="O141">
            <v>0.17</v>
          </cell>
          <cell r="P141">
            <v>0.17</v>
          </cell>
          <cell r="Q141">
            <v>0.17</v>
          </cell>
          <cell r="R141">
            <v>0.18</v>
          </cell>
          <cell r="S141">
            <v>0.18</v>
          </cell>
          <cell r="T141">
            <v>0.18</v>
          </cell>
          <cell r="U141">
            <v>0.18</v>
          </cell>
          <cell r="V141">
            <v>0.2</v>
          </cell>
          <cell r="W141">
            <v>0.18</v>
          </cell>
          <cell r="X141">
            <v>0.17499999999999999</v>
          </cell>
          <cell r="Y141">
            <v>0.17</v>
          </cell>
          <cell r="Z141">
            <v>0.18</v>
          </cell>
          <cell r="AA141">
            <v>0.17</v>
          </cell>
          <cell r="AB141">
            <v>0.18</v>
          </cell>
          <cell r="AC141">
            <v>0.18</v>
          </cell>
          <cell r="AD141">
            <v>0.18</v>
          </cell>
          <cell r="AF141">
            <v>0.15</v>
          </cell>
        </row>
        <row r="142">
          <cell r="C142" t="str">
            <v>8507.20.10</v>
          </cell>
          <cell r="D142">
            <v>0.17</v>
          </cell>
          <cell r="E142">
            <v>0.18</v>
          </cell>
          <cell r="F142">
            <v>0.18</v>
          </cell>
          <cell r="G142">
            <v>0.18</v>
          </cell>
          <cell r="H142">
            <v>0.18</v>
          </cell>
          <cell r="I142">
            <v>0.18</v>
          </cell>
          <cell r="J142">
            <v>0.18</v>
          </cell>
          <cell r="K142">
            <v>0.17</v>
          </cell>
          <cell r="L142">
            <v>0.17</v>
          </cell>
          <cell r="M142">
            <v>0.18</v>
          </cell>
          <cell r="N142">
            <v>0.18</v>
          </cell>
          <cell r="O142">
            <v>0.17</v>
          </cell>
          <cell r="P142">
            <v>0.17</v>
          </cell>
          <cell r="Q142">
            <v>0.17</v>
          </cell>
          <cell r="R142">
            <v>0.18</v>
          </cell>
          <cell r="S142">
            <v>0.18</v>
          </cell>
          <cell r="T142">
            <v>0.18</v>
          </cell>
          <cell r="U142">
            <v>0.18</v>
          </cell>
          <cell r="V142">
            <v>0.2</v>
          </cell>
          <cell r="W142">
            <v>0.18</v>
          </cell>
          <cell r="X142">
            <v>0.17499999999999999</v>
          </cell>
          <cell r="Y142">
            <v>0.17</v>
          </cell>
          <cell r="Z142">
            <v>0.18</v>
          </cell>
          <cell r="AA142">
            <v>0.17</v>
          </cell>
          <cell r="AB142">
            <v>0.18</v>
          </cell>
          <cell r="AC142">
            <v>0.18</v>
          </cell>
          <cell r="AD142">
            <v>0.18</v>
          </cell>
          <cell r="AF142">
            <v>0.15</v>
          </cell>
        </row>
        <row r="143">
          <cell r="C143" t="str">
            <v>8507.60.00</v>
          </cell>
          <cell r="D143">
            <v>0.17</v>
          </cell>
          <cell r="E143">
            <v>0.18</v>
          </cell>
          <cell r="F143">
            <v>0.18</v>
          </cell>
          <cell r="G143">
            <v>0.18</v>
          </cell>
          <cell r="H143">
            <v>0.18</v>
          </cell>
          <cell r="I143">
            <v>0.18</v>
          </cell>
          <cell r="J143">
            <v>0.18</v>
          </cell>
          <cell r="K143">
            <v>0.17</v>
          </cell>
          <cell r="L143">
            <v>0.17</v>
          </cell>
          <cell r="M143">
            <v>0.18</v>
          </cell>
          <cell r="N143">
            <v>0.18</v>
          </cell>
          <cell r="O143">
            <v>0.17</v>
          </cell>
          <cell r="P143">
            <v>0.17</v>
          </cell>
          <cell r="Q143">
            <v>0.17</v>
          </cell>
          <cell r="R143">
            <v>0.18</v>
          </cell>
          <cell r="S143">
            <v>0.18</v>
          </cell>
          <cell r="T143">
            <v>0.18</v>
          </cell>
          <cell r="U143">
            <v>0.18</v>
          </cell>
          <cell r="V143">
            <v>0.2</v>
          </cell>
          <cell r="W143">
            <v>0.18</v>
          </cell>
          <cell r="X143">
            <v>0.17499999999999999</v>
          </cell>
          <cell r="Y143">
            <v>0.17</v>
          </cell>
          <cell r="Z143">
            <v>0.18</v>
          </cell>
          <cell r="AA143">
            <v>0.17</v>
          </cell>
          <cell r="AB143">
            <v>0.18</v>
          </cell>
          <cell r="AC143">
            <v>0.18</v>
          </cell>
          <cell r="AD143">
            <v>0.18</v>
          </cell>
          <cell r="AF143">
            <v>0.15</v>
          </cell>
        </row>
        <row r="144">
          <cell r="C144" t="str">
            <v>8511.90.00</v>
          </cell>
          <cell r="D144">
            <v>0.17</v>
          </cell>
          <cell r="E144">
            <v>0.18</v>
          </cell>
          <cell r="F144">
            <v>0.18</v>
          </cell>
          <cell r="G144">
            <v>0.18</v>
          </cell>
          <cell r="H144">
            <v>0.18</v>
          </cell>
          <cell r="I144">
            <v>0.18</v>
          </cell>
          <cell r="J144">
            <v>0.18</v>
          </cell>
          <cell r="K144">
            <v>0.17</v>
          </cell>
          <cell r="L144">
            <v>0.17</v>
          </cell>
          <cell r="M144">
            <v>0.18</v>
          </cell>
          <cell r="N144">
            <v>0.18</v>
          </cell>
          <cell r="O144">
            <v>0.17</v>
          </cell>
          <cell r="P144">
            <v>0.17</v>
          </cell>
          <cell r="Q144">
            <v>0.17</v>
          </cell>
          <cell r="R144">
            <v>0.18</v>
          </cell>
          <cell r="S144">
            <v>0.18</v>
          </cell>
          <cell r="T144">
            <v>0.18</v>
          </cell>
          <cell r="U144">
            <v>0.18</v>
          </cell>
          <cell r="V144">
            <v>0.2</v>
          </cell>
          <cell r="W144">
            <v>0.18</v>
          </cell>
          <cell r="X144">
            <v>0.17499999999999999</v>
          </cell>
          <cell r="Y144">
            <v>0.17</v>
          </cell>
          <cell r="Z144">
            <v>0.18</v>
          </cell>
          <cell r="AA144">
            <v>0.17</v>
          </cell>
          <cell r="AB144">
            <v>0.18</v>
          </cell>
          <cell r="AC144">
            <v>0.18</v>
          </cell>
          <cell r="AD144">
            <v>0.18</v>
          </cell>
          <cell r="AF144">
            <v>0.15</v>
          </cell>
        </row>
        <row r="145">
          <cell r="C145" t="str">
            <v>8517.12.31</v>
          </cell>
          <cell r="D145">
            <v>0.17</v>
          </cell>
          <cell r="E145">
            <v>0.18</v>
          </cell>
          <cell r="F145">
            <v>0.18</v>
          </cell>
          <cell r="G145">
            <v>0.18</v>
          </cell>
          <cell r="H145">
            <v>0.18</v>
          </cell>
          <cell r="I145">
            <v>0.18</v>
          </cell>
          <cell r="J145">
            <v>0.18</v>
          </cell>
          <cell r="K145">
            <v>0.17</v>
          </cell>
          <cell r="L145">
            <v>0.17</v>
          </cell>
          <cell r="M145">
            <v>0.18</v>
          </cell>
          <cell r="N145">
            <v>0.2</v>
          </cell>
          <cell r="O145">
            <v>0.17</v>
          </cell>
          <cell r="P145">
            <v>0.17</v>
          </cell>
          <cell r="Q145">
            <v>0.17</v>
          </cell>
          <cell r="R145">
            <v>0.18</v>
          </cell>
          <cell r="S145">
            <v>0.18</v>
          </cell>
          <cell r="T145">
            <v>0.18</v>
          </cell>
          <cell r="U145">
            <v>0.18</v>
          </cell>
          <cell r="V145">
            <v>0.2</v>
          </cell>
          <cell r="W145">
            <v>0.18</v>
          </cell>
          <cell r="X145">
            <v>0.17499999999999999</v>
          </cell>
          <cell r="Y145">
            <v>0.17</v>
          </cell>
          <cell r="Z145">
            <v>0.18</v>
          </cell>
          <cell r="AA145">
            <v>0.17</v>
          </cell>
          <cell r="AB145">
            <v>0.18</v>
          </cell>
          <cell r="AC145">
            <v>0.18</v>
          </cell>
          <cell r="AD145">
            <v>0.18</v>
          </cell>
          <cell r="AF145">
            <v>0.15</v>
          </cell>
        </row>
        <row r="146">
          <cell r="C146" t="str">
            <v>8517.12.90</v>
          </cell>
          <cell r="D146">
            <v>0.17</v>
          </cell>
          <cell r="E146">
            <v>0.18</v>
          </cell>
          <cell r="F146">
            <v>0.18</v>
          </cell>
          <cell r="G146">
            <v>0.18</v>
          </cell>
          <cell r="H146">
            <v>0.18</v>
          </cell>
          <cell r="I146">
            <v>0.18</v>
          </cell>
          <cell r="J146">
            <v>0.18</v>
          </cell>
          <cell r="K146">
            <v>0.17</v>
          </cell>
          <cell r="L146">
            <v>0.17</v>
          </cell>
          <cell r="M146">
            <v>0.18</v>
          </cell>
          <cell r="N146">
            <v>0.18</v>
          </cell>
          <cell r="O146">
            <v>0.17</v>
          </cell>
          <cell r="P146">
            <v>0.17</v>
          </cell>
          <cell r="Q146">
            <v>0.17</v>
          </cell>
          <cell r="R146">
            <v>0.18</v>
          </cell>
          <cell r="S146">
            <v>0.18</v>
          </cell>
          <cell r="T146">
            <v>0.18</v>
          </cell>
          <cell r="U146">
            <v>0.18</v>
          </cell>
          <cell r="V146">
            <v>0.2</v>
          </cell>
          <cell r="W146">
            <v>0.18</v>
          </cell>
          <cell r="X146">
            <v>0.17499999999999999</v>
          </cell>
          <cell r="Y146">
            <v>0.17</v>
          </cell>
          <cell r="Z146">
            <v>0.18</v>
          </cell>
          <cell r="AA146">
            <v>0.17</v>
          </cell>
          <cell r="AB146">
            <v>0.18</v>
          </cell>
          <cell r="AC146">
            <v>0.18</v>
          </cell>
          <cell r="AD146">
            <v>0.18</v>
          </cell>
          <cell r="AF146">
            <v>0.15</v>
          </cell>
        </row>
        <row r="147">
          <cell r="C147" t="str">
            <v>8517.18.10</v>
          </cell>
          <cell r="D147">
            <v>0.17</v>
          </cell>
          <cell r="E147">
            <v>0.18</v>
          </cell>
          <cell r="F147">
            <v>0.18</v>
          </cell>
          <cell r="G147">
            <v>0.18</v>
          </cell>
          <cell r="H147">
            <v>0.18</v>
          </cell>
          <cell r="I147">
            <v>0.18</v>
          </cell>
          <cell r="J147">
            <v>0.18</v>
          </cell>
          <cell r="K147">
            <v>0.17</v>
          </cell>
          <cell r="L147">
            <v>0.17</v>
          </cell>
          <cell r="M147">
            <v>0.18</v>
          </cell>
          <cell r="N147">
            <v>0.18</v>
          </cell>
          <cell r="O147">
            <v>0.17</v>
          </cell>
          <cell r="P147">
            <v>0.17</v>
          </cell>
          <cell r="Q147">
            <v>0.17</v>
          </cell>
          <cell r="R147">
            <v>0.18</v>
          </cell>
          <cell r="S147">
            <v>0.18</v>
          </cell>
          <cell r="T147">
            <v>0.18</v>
          </cell>
          <cell r="U147">
            <v>0.18</v>
          </cell>
          <cell r="V147">
            <v>0.2</v>
          </cell>
          <cell r="W147">
            <v>0.18</v>
          </cell>
          <cell r="X147">
            <v>0.17499999999999999</v>
          </cell>
          <cell r="Y147">
            <v>0.17</v>
          </cell>
          <cell r="Z147">
            <v>0.18</v>
          </cell>
          <cell r="AA147">
            <v>0.17</v>
          </cell>
          <cell r="AB147">
            <v>0.18</v>
          </cell>
          <cell r="AC147">
            <v>0.18</v>
          </cell>
          <cell r="AD147">
            <v>0.18</v>
          </cell>
          <cell r="AF147">
            <v>0.1</v>
          </cell>
        </row>
        <row r="148">
          <cell r="C148" t="str">
            <v>8517.18.91</v>
          </cell>
          <cell r="D148">
            <v>0.17</v>
          </cell>
          <cell r="E148">
            <v>0.18</v>
          </cell>
          <cell r="F148">
            <v>0.18</v>
          </cell>
          <cell r="G148">
            <v>0.18</v>
          </cell>
          <cell r="H148">
            <v>0.18</v>
          </cell>
          <cell r="I148">
            <v>0.18</v>
          </cell>
          <cell r="J148">
            <v>0.18</v>
          </cell>
          <cell r="K148">
            <v>0.17</v>
          </cell>
          <cell r="L148">
            <v>0.17</v>
          </cell>
          <cell r="M148">
            <v>0.18</v>
          </cell>
          <cell r="N148">
            <v>0.18</v>
          </cell>
          <cell r="O148">
            <v>0.17</v>
          </cell>
          <cell r="P148">
            <v>0.17</v>
          </cell>
          <cell r="Q148">
            <v>0.17</v>
          </cell>
          <cell r="R148">
            <v>0.18</v>
          </cell>
          <cell r="S148">
            <v>0.18</v>
          </cell>
          <cell r="T148">
            <v>0.18</v>
          </cell>
          <cell r="U148">
            <v>0.18</v>
          </cell>
          <cell r="V148">
            <v>0.2</v>
          </cell>
          <cell r="W148">
            <v>0.18</v>
          </cell>
          <cell r="X148">
            <v>0.17499999999999999</v>
          </cell>
          <cell r="Y148">
            <v>0.17</v>
          </cell>
          <cell r="Z148">
            <v>0.18</v>
          </cell>
          <cell r="AA148">
            <v>0.17</v>
          </cell>
          <cell r="AB148">
            <v>0.18</v>
          </cell>
          <cell r="AC148">
            <v>0.18</v>
          </cell>
          <cell r="AD148">
            <v>0.18</v>
          </cell>
          <cell r="AF148">
            <v>0.1</v>
          </cell>
        </row>
        <row r="149">
          <cell r="C149" t="str">
            <v>8517.18.99</v>
          </cell>
          <cell r="D149">
            <v>0.17</v>
          </cell>
          <cell r="E149">
            <v>0.18</v>
          </cell>
          <cell r="F149">
            <v>0.18</v>
          </cell>
          <cell r="G149">
            <v>0.18</v>
          </cell>
          <cell r="H149">
            <v>0.18</v>
          </cell>
          <cell r="I149">
            <v>0.18</v>
          </cell>
          <cell r="J149">
            <v>0.18</v>
          </cell>
          <cell r="K149">
            <v>0.17</v>
          </cell>
          <cell r="L149">
            <v>0.17</v>
          </cell>
          <cell r="M149">
            <v>0.18</v>
          </cell>
          <cell r="N149">
            <v>0.18</v>
          </cell>
          <cell r="O149">
            <v>0.17</v>
          </cell>
          <cell r="P149">
            <v>0.17</v>
          </cell>
          <cell r="Q149">
            <v>0.17</v>
          </cell>
          <cell r="R149">
            <v>0.18</v>
          </cell>
          <cell r="S149">
            <v>0.18</v>
          </cell>
          <cell r="T149">
            <v>0.18</v>
          </cell>
          <cell r="U149">
            <v>0.18</v>
          </cell>
          <cell r="V149">
            <v>0.2</v>
          </cell>
          <cell r="W149">
            <v>0.18</v>
          </cell>
          <cell r="X149">
            <v>0.17499999999999999</v>
          </cell>
          <cell r="Y149">
            <v>0.17</v>
          </cell>
          <cell r="Z149">
            <v>0.18</v>
          </cell>
          <cell r="AA149">
            <v>0.17</v>
          </cell>
          <cell r="AB149">
            <v>0.18</v>
          </cell>
          <cell r="AC149">
            <v>0.18</v>
          </cell>
          <cell r="AD149">
            <v>0.18</v>
          </cell>
          <cell r="AF149">
            <v>0.1</v>
          </cell>
        </row>
        <row r="150">
          <cell r="C150" t="str">
            <v>8517.61.19</v>
          </cell>
          <cell r="D150">
            <v>0.17</v>
          </cell>
          <cell r="E150">
            <v>0.18</v>
          </cell>
          <cell r="F150">
            <v>0.18</v>
          </cell>
          <cell r="G150">
            <v>0.18</v>
          </cell>
          <cell r="H150">
            <v>0.18</v>
          </cell>
          <cell r="I150">
            <v>0.18</v>
          </cell>
          <cell r="J150">
            <v>0.18</v>
          </cell>
          <cell r="K150">
            <v>0.17</v>
          </cell>
          <cell r="L150">
            <v>0.17</v>
          </cell>
          <cell r="M150">
            <v>0.18</v>
          </cell>
          <cell r="N150">
            <v>0.18</v>
          </cell>
          <cell r="O150">
            <v>0.17</v>
          </cell>
          <cell r="P150">
            <v>0.17</v>
          </cell>
          <cell r="Q150">
            <v>0.17</v>
          </cell>
          <cell r="R150">
            <v>0.18</v>
          </cell>
          <cell r="S150">
            <v>0.12</v>
          </cell>
          <cell r="T150">
            <v>0.18</v>
          </cell>
          <cell r="U150">
            <v>0.18</v>
          </cell>
          <cell r="V150">
            <v>0.2</v>
          </cell>
          <cell r="W150">
            <v>0.18</v>
          </cell>
          <cell r="X150">
            <v>0.17499999999999999</v>
          </cell>
          <cell r="Y150">
            <v>0.17</v>
          </cell>
          <cell r="Z150">
            <v>0.18</v>
          </cell>
          <cell r="AA150">
            <v>0.17</v>
          </cell>
          <cell r="AB150">
            <v>0.18</v>
          </cell>
          <cell r="AC150">
            <v>0.18</v>
          </cell>
          <cell r="AD150">
            <v>0.18</v>
          </cell>
          <cell r="AF150">
            <v>0.15</v>
          </cell>
        </row>
        <row r="151">
          <cell r="C151" t="str">
            <v>8517.61.30</v>
          </cell>
          <cell r="D151">
            <v>0.17</v>
          </cell>
          <cell r="E151">
            <v>0.18</v>
          </cell>
          <cell r="F151">
            <v>0.18</v>
          </cell>
          <cell r="G151">
            <v>0.18</v>
          </cell>
          <cell r="H151">
            <v>0.18</v>
          </cell>
          <cell r="I151">
            <v>0.18</v>
          </cell>
          <cell r="J151">
            <v>0.18</v>
          </cell>
          <cell r="K151">
            <v>0.17</v>
          </cell>
          <cell r="L151">
            <v>0.17</v>
          </cell>
          <cell r="M151">
            <v>0.18</v>
          </cell>
          <cell r="N151">
            <v>0.18</v>
          </cell>
          <cell r="O151">
            <v>0.17</v>
          </cell>
          <cell r="P151">
            <v>0.17</v>
          </cell>
          <cell r="Q151">
            <v>0.17</v>
          </cell>
          <cell r="R151">
            <v>0.18</v>
          </cell>
          <cell r="S151">
            <v>0.12</v>
          </cell>
          <cell r="T151">
            <v>0.18</v>
          </cell>
          <cell r="U151">
            <v>0.18</v>
          </cell>
          <cell r="V151">
            <v>0.2</v>
          </cell>
          <cell r="W151">
            <v>0.18</v>
          </cell>
          <cell r="X151">
            <v>0.17499999999999999</v>
          </cell>
          <cell r="Y151">
            <v>0.17</v>
          </cell>
          <cell r="Z151">
            <v>0.18</v>
          </cell>
          <cell r="AA151">
            <v>0.17</v>
          </cell>
          <cell r="AB151">
            <v>0.18</v>
          </cell>
          <cell r="AC151">
            <v>0.18</v>
          </cell>
          <cell r="AD151">
            <v>0.18</v>
          </cell>
          <cell r="AF151">
            <v>0.15</v>
          </cell>
        </row>
        <row r="152">
          <cell r="C152" t="str">
            <v>8517.61.42</v>
          </cell>
          <cell r="D152">
            <v>0.17</v>
          </cell>
          <cell r="E152">
            <v>0.18</v>
          </cell>
          <cell r="F152">
            <v>0.18</v>
          </cell>
          <cell r="G152">
            <v>0.18</v>
          </cell>
          <cell r="H152">
            <v>0.18</v>
          </cell>
          <cell r="I152">
            <v>0.18</v>
          </cell>
          <cell r="J152">
            <v>0.18</v>
          </cell>
          <cell r="K152">
            <v>0.17</v>
          </cell>
          <cell r="L152">
            <v>0.17</v>
          </cell>
          <cell r="M152">
            <v>0.18</v>
          </cell>
          <cell r="N152">
            <v>0.18</v>
          </cell>
          <cell r="O152">
            <v>0.17</v>
          </cell>
          <cell r="P152">
            <v>0.17</v>
          </cell>
          <cell r="Q152">
            <v>0.17</v>
          </cell>
          <cell r="R152">
            <v>0.18</v>
          </cell>
          <cell r="S152">
            <v>0.12</v>
          </cell>
          <cell r="T152">
            <v>0.18</v>
          </cell>
          <cell r="U152">
            <v>0.18</v>
          </cell>
          <cell r="V152">
            <v>0.2</v>
          </cell>
          <cell r="W152">
            <v>0.18</v>
          </cell>
          <cell r="X152">
            <v>0.17499999999999999</v>
          </cell>
          <cell r="Y152">
            <v>0.17</v>
          </cell>
          <cell r="Z152">
            <v>0.18</v>
          </cell>
          <cell r="AA152">
            <v>0.17</v>
          </cell>
          <cell r="AB152">
            <v>0.18</v>
          </cell>
          <cell r="AC152">
            <v>0.18</v>
          </cell>
          <cell r="AD152">
            <v>0.18</v>
          </cell>
          <cell r="AF152">
            <v>0.15</v>
          </cell>
        </row>
        <row r="153">
          <cell r="C153" t="str">
            <v>8517.62.11</v>
          </cell>
          <cell r="D153">
            <v>0.17</v>
          </cell>
          <cell r="E153">
            <v>0.18</v>
          </cell>
          <cell r="F153">
            <v>0.18</v>
          </cell>
          <cell r="G153">
            <v>0.18</v>
          </cell>
          <cell r="H153">
            <v>0.18</v>
          </cell>
          <cell r="I153">
            <v>0.18</v>
          </cell>
          <cell r="J153">
            <v>0.18</v>
          </cell>
          <cell r="K153">
            <v>0.12</v>
          </cell>
          <cell r="L153">
            <v>0.17</v>
          </cell>
          <cell r="M153">
            <v>0.18</v>
          </cell>
          <cell r="N153">
            <v>0.18</v>
          </cell>
          <cell r="O153">
            <v>0.17</v>
          </cell>
          <cell r="P153">
            <v>0.17</v>
          </cell>
          <cell r="Q153">
            <v>0.17</v>
          </cell>
          <cell r="R153">
            <v>0.18</v>
          </cell>
          <cell r="S153">
            <v>0.18</v>
          </cell>
          <cell r="T153">
            <v>0.18</v>
          </cell>
          <cell r="U153">
            <v>0.18</v>
          </cell>
          <cell r="V153">
            <v>0.2</v>
          </cell>
          <cell r="W153">
            <v>0.18</v>
          </cell>
          <cell r="X153">
            <v>0.17499999999999999</v>
          </cell>
          <cell r="Y153">
            <v>0.17</v>
          </cell>
          <cell r="Z153">
            <v>0.18</v>
          </cell>
          <cell r="AA153">
            <v>0.17</v>
          </cell>
          <cell r="AB153">
            <v>0.18</v>
          </cell>
          <cell r="AC153">
            <v>0.18</v>
          </cell>
          <cell r="AD153">
            <v>0.18</v>
          </cell>
          <cell r="AF153">
            <v>0.15</v>
          </cell>
        </row>
        <row r="154">
          <cell r="C154" t="str">
            <v>8517.62.13</v>
          </cell>
          <cell r="D154">
            <v>0.17</v>
          </cell>
          <cell r="E154">
            <v>0.18</v>
          </cell>
          <cell r="F154">
            <v>0.18</v>
          </cell>
          <cell r="G154">
            <v>0.18</v>
          </cell>
          <cell r="H154">
            <v>0.18</v>
          </cell>
          <cell r="I154">
            <v>0.18</v>
          </cell>
          <cell r="J154">
            <v>0.18</v>
          </cell>
          <cell r="K154">
            <v>0.12</v>
          </cell>
          <cell r="L154">
            <v>0.17</v>
          </cell>
          <cell r="M154">
            <v>0.18</v>
          </cell>
          <cell r="N154">
            <v>0.18</v>
          </cell>
          <cell r="O154">
            <v>0.17</v>
          </cell>
          <cell r="P154">
            <v>0.17</v>
          </cell>
          <cell r="Q154">
            <v>0.17</v>
          </cell>
          <cell r="R154">
            <v>0.18</v>
          </cell>
          <cell r="S154">
            <v>0.18</v>
          </cell>
          <cell r="T154">
            <v>0.18</v>
          </cell>
          <cell r="U154">
            <v>0.18</v>
          </cell>
          <cell r="V154">
            <v>0.2</v>
          </cell>
          <cell r="W154">
            <v>0.18</v>
          </cell>
          <cell r="X154">
            <v>0.17499999999999999</v>
          </cell>
          <cell r="Y154">
            <v>0.17</v>
          </cell>
          <cell r="Z154">
            <v>0.18</v>
          </cell>
          <cell r="AA154">
            <v>0.17</v>
          </cell>
          <cell r="AB154">
            <v>0.18</v>
          </cell>
          <cell r="AC154">
            <v>0.18</v>
          </cell>
          <cell r="AD154">
            <v>0.18</v>
          </cell>
          <cell r="AF154">
            <v>0.15</v>
          </cell>
        </row>
        <row r="155">
          <cell r="C155" t="str">
            <v>8517.62.14</v>
          </cell>
          <cell r="D155">
            <v>0.17</v>
          </cell>
          <cell r="E155">
            <v>0.18</v>
          </cell>
          <cell r="F155">
            <v>0.18</v>
          </cell>
          <cell r="G155">
            <v>0.18</v>
          </cell>
          <cell r="H155">
            <v>0.18</v>
          </cell>
          <cell r="I155">
            <v>0.18</v>
          </cell>
          <cell r="J155">
            <v>0.18</v>
          </cell>
          <cell r="K155">
            <v>0.12</v>
          </cell>
          <cell r="L155">
            <v>0.17</v>
          </cell>
          <cell r="M155">
            <v>0.18</v>
          </cell>
          <cell r="N155">
            <v>0.18</v>
          </cell>
          <cell r="O155">
            <v>0.17</v>
          </cell>
          <cell r="P155">
            <v>0.17</v>
          </cell>
          <cell r="Q155">
            <v>0.17</v>
          </cell>
          <cell r="R155">
            <v>0.18</v>
          </cell>
          <cell r="S155">
            <v>0.18</v>
          </cell>
          <cell r="T155">
            <v>0.18</v>
          </cell>
          <cell r="U155">
            <v>0.18</v>
          </cell>
          <cell r="V155">
            <v>0.2</v>
          </cell>
          <cell r="W155">
            <v>0.18</v>
          </cell>
          <cell r="X155">
            <v>0.17499999999999999</v>
          </cell>
          <cell r="Y155">
            <v>0.17</v>
          </cell>
          <cell r="Z155">
            <v>0.18</v>
          </cell>
          <cell r="AA155">
            <v>0.17</v>
          </cell>
          <cell r="AB155">
            <v>0.18</v>
          </cell>
          <cell r="AC155">
            <v>0.18</v>
          </cell>
          <cell r="AD155">
            <v>0.18</v>
          </cell>
          <cell r="AF155">
            <v>0.15</v>
          </cell>
        </row>
        <row r="156">
          <cell r="C156" t="str">
            <v>8517.62.19</v>
          </cell>
          <cell r="D156">
            <v>0.17</v>
          </cell>
          <cell r="E156">
            <v>0.18</v>
          </cell>
          <cell r="F156">
            <v>0.18</v>
          </cell>
          <cell r="G156">
            <v>0.18</v>
          </cell>
          <cell r="H156">
            <v>0.18</v>
          </cell>
          <cell r="I156">
            <v>0.18</v>
          </cell>
          <cell r="J156">
            <v>0.18</v>
          </cell>
          <cell r="K156">
            <v>0.12</v>
          </cell>
          <cell r="L156">
            <v>0.17</v>
          </cell>
          <cell r="M156">
            <v>0.18</v>
          </cell>
          <cell r="N156">
            <v>0.18</v>
          </cell>
          <cell r="O156">
            <v>0.17</v>
          </cell>
          <cell r="P156">
            <v>0.17</v>
          </cell>
          <cell r="Q156">
            <v>0.17</v>
          </cell>
          <cell r="R156">
            <v>0.18</v>
          </cell>
          <cell r="S156">
            <v>0.18</v>
          </cell>
          <cell r="T156">
            <v>0.18</v>
          </cell>
          <cell r="U156">
            <v>0.18</v>
          </cell>
          <cell r="V156">
            <v>0.2</v>
          </cell>
          <cell r="W156">
            <v>0.18</v>
          </cell>
          <cell r="X156">
            <v>0.17499999999999999</v>
          </cell>
          <cell r="Y156">
            <v>0.17</v>
          </cell>
          <cell r="Z156">
            <v>0.18</v>
          </cell>
          <cell r="AA156">
            <v>0.17</v>
          </cell>
          <cell r="AB156">
            <v>0.18</v>
          </cell>
          <cell r="AC156">
            <v>0.18</v>
          </cell>
          <cell r="AD156">
            <v>0.18</v>
          </cell>
          <cell r="AF156">
            <v>0.15</v>
          </cell>
        </row>
        <row r="157">
          <cell r="C157" t="str">
            <v>8517.62.22</v>
          </cell>
          <cell r="D157">
            <v>0.17</v>
          </cell>
          <cell r="E157">
            <v>0.18</v>
          </cell>
          <cell r="F157">
            <v>0.18</v>
          </cell>
          <cell r="G157">
            <v>0.18</v>
          </cell>
          <cell r="H157">
            <v>0.18</v>
          </cell>
          <cell r="I157">
            <v>0.18</v>
          </cell>
          <cell r="J157">
            <v>0.18</v>
          </cell>
          <cell r="K157">
            <v>0.17</v>
          </cell>
          <cell r="L157">
            <v>0.17</v>
          </cell>
          <cell r="M157">
            <v>0.18</v>
          </cell>
          <cell r="N157">
            <v>0.18</v>
          </cell>
          <cell r="O157">
            <v>0.17</v>
          </cell>
          <cell r="P157">
            <v>0.17</v>
          </cell>
          <cell r="Q157">
            <v>0.17</v>
          </cell>
          <cell r="R157">
            <v>0.18</v>
          </cell>
          <cell r="S157">
            <v>0.18</v>
          </cell>
          <cell r="T157">
            <v>0.18</v>
          </cell>
          <cell r="U157">
            <v>0.18</v>
          </cell>
          <cell r="V157">
            <v>0.2</v>
          </cell>
          <cell r="W157">
            <v>0.18</v>
          </cell>
          <cell r="X157">
            <v>0.17499999999999999</v>
          </cell>
          <cell r="Y157">
            <v>0.17</v>
          </cell>
          <cell r="Z157">
            <v>0.18</v>
          </cell>
          <cell r="AA157">
            <v>0.17</v>
          </cell>
          <cell r="AB157">
            <v>0.18</v>
          </cell>
          <cell r="AC157">
            <v>0.18</v>
          </cell>
          <cell r="AD157">
            <v>0.18</v>
          </cell>
          <cell r="AF157">
            <v>0.15</v>
          </cell>
        </row>
        <row r="158">
          <cell r="C158" t="str">
            <v>8517.62.23</v>
          </cell>
          <cell r="D158">
            <v>0.17</v>
          </cell>
          <cell r="E158">
            <v>0.18</v>
          </cell>
          <cell r="F158">
            <v>0.18</v>
          </cell>
          <cell r="G158">
            <v>0.18</v>
          </cell>
          <cell r="H158">
            <v>0.18</v>
          </cell>
          <cell r="I158">
            <v>0.18</v>
          </cell>
          <cell r="J158">
            <v>0.18</v>
          </cell>
          <cell r="K158">
            <v>0.17</v>
          </cell>
          <cell r="L158">
            <v>0.17</v>
          </cell>
          <cell r="M158">
            <v>0.18</v>
          </cell>
          <cell r="N158">
            <v>0.18</v>
          </cell>
          <cell r="O158">
            <v>0.17</v>
          </cell>
          <cell r="P158">
            <v>0.17</v>
          </cell>
          <cell r="Q158">
            <v>0.17</v>
          </cell>
          <cell r="R158">
            <v>0.18</v>
          </cell>
          <cell r="S158">
            <v>0.18</v>
          </cell>
          <cell r="T158">
            <v>0.18</v>
          </cell>
          <cell r="U158">
            <v>0.18</v>
          </cell>
          <cell r="V158">
            <v>0.2</v>
          </cell>
          <cell r="W158">
            <v>0.18</v>
          </cell>
          <cell r="X158">
            <v>0.17499999999999999</v>
          </cell>
          <cell r="Y158">
            <v>0.17</v>
          </cell>
          <cell r="Z158">
            <v>0.18</v>
          </cell>
          <cell r="AA158">
            <v>0.17</v>
          </cell>
          <cell r="AB158">
            <v>0.18</v>
          </cell>
          <cell r="AC158">
            <v>0.18</v>
          </cell>
          <cell r="AD158">
            <v>0.18</v>
          </cell>
          <cell r="AF158">
            <v>0.15</v>
          </cell>
        </row>
        <row r="159">
          <cell r="C159" t="str">
            <v>8517.62.24</v>
          </cell>
          <cell r="D159">
            <v>0.17</v>
          </cell>
          <cell r="E159">
            <v>0.18</v>
          </cell>
          <cell r="F159">
            <v>0.18</v>
          </cell>
          <cell r="G159">
            <v>0.18</v>
          </cell>
          <cell r="H159">
            <v>0.18</v>
          </cell>
          <cell r="I159">
            <v>0.18</v>
          </cell>
          <cell r="J159">
            <v>0.18</v>
          </cell>
          <cell r="K159">
            <v>0.17</v>
          </cell>
          <cell r="L159">
            <v>0.17</v>
          </cell>
          <cell r="M159">
            <v>0.18</v>
          </cell>
          <cell r="N159">
            <v>0.18</v>
          </cell>
          <cell r="O159">
            <v>0.17</v>
          </cell>
          <cell r="P159">
            <v>0.17</v>
          </cell>
          <cell r="Q159">
            <v>0.17</v>
          </cell>
          <cell r="R159">
            <v>0.18</v>
          </cell>
          <cell r="S159">
            <v>0.18</v>
          </cell>
          <cell r="T159">
            <v>0.18</v>
          </cell>
          <cell r="U159">
            <v>0.18</v>
          </cell>
          <cell r="V159">
            <v>0.2</v>
          </cell>
          <cell r="W159">
            <v>0.18</v>
          </cell>
          <cell r="X159">
            <v>0.17499999999999999</v>
          </cell>
          <cell r="Y159">
            <v>0.17</v>
          </cell>
          <cell r="Z159">
            <v>0.18</v>
          </cell>
          <cell r="AA159">
            <v>0.17</v>
          </cell>
          <cell r="AB159">
            <v>0.18</v>
          </cell>
          <cell r="AC159">
            <v>0.18</v>
          </cell>
          <cell r="AD159">
            <v>0.18</v>
          </cell>
          <cell r="AF159">
            <v>0.15</v>
          </cell>
        </row>
        <row r="160">
          <cell r="C160" t="str">
            <v>8517.62.39</v>
          </cell>
          <cell r="D160">
            <v>0.17</v>
          </cell>
          <cell r="E160">
            <v>0.18</v>
          </cell>
          <cell r="F160">
            <v>0.18</v>
          </cell>
          <cell r="G160">
            <v>0.18</v>
          </cell>
          <cell r="H160">
            <v>0.18</v>
          </cell>
          <cell r="I160">
            <v>0.18</v>
          </cell>
          <cell r="J160">
            <v>0.18</v>
          </cell>
          <cell r="K160">
            <v>0.12</v>
          </cell>
          <cell r="L160">
            <v>0.17</v>
          </cell>
          <cell r="M160">
            <v>0.18</v>
          </cell>
          <cell r="N160">
            <v>0.18</v>
          </cell>
          <cell r="O160">
            <v>0.17</v>
          </cell>
          <cell r="P160">
            <v>0.17</v>
          </cell>
          <cell r="Q160">
            <v>0.17</v>
          </cell>
          <cell r="R160">
            <v>0.18</v>
          </cell>
          <cell r="S160">
            <v>7.0000000000000007E-2</v>
          </cell>
          <cell r="T160">
            <v>0.18</v>
          </cell>
          <cell r="U160">
            <v>0.18</v>
          </cell>
          <cell r="V160">
            <v>0.2</v>
          </cell>
          <cell r="W160">
            <v>0.18</v>
          </cell>
          <cell r="X160">
            <v>0.17499999999999999</v>
          </cell>
          <cell r="Y160">
            <v>0.17</v>
          </cell>
          <cell r="Z160">
            <v>0.18</v>
          </cell>
          <cell r="AA160">
            <v>0.17</v>
          </cell>
          <cell r="AB160">
            <v>0.18</v>
          </cell>
          <cell r="AC160">
            <v>0.18</v>
          </cell>
          <cell r="AD160">
            <v>0.18</v>
          </cell>
          <cell r="AF160">
            <v>0.15</v>
          </cell>
        </row>
        <row r="161">
          <cell r="C161" t="str">
            <v>8517.62.41</v>
          </cell>
          <cell r="D161">
            <v>0.17</v>
          </cell>
          <cell r="E161">
            <v>0.18</v>
          </cell>
          <cell r="F161">
            <v>0.18</v>
          </cell>
          <cell r="G161">
            <v>0.18</v>
          </cell>
          <cell r="H161">
            <v>0.18</v>
          </cell>
          <cell r="I161">
            <v>0.18</v>
          </cell>
          <cell r="J161">
            <v>0.18</v>
          </cell>
          <cell r="K161">
            <v>0.12</v>
          </cell>
          <cell r="L161">
            <v>0.17</v>
          </cell>
          <cell r="M161">
            <v>0.18</v>
          </cell>
          <cell r="N161">
            <v>0.18</v>
          </cell>
          <cell r="O161">
            <v>0.17</v>
          </cell>
          <cell r="P161">
            <v>0.17</v>
          </cell>
          <cell r="Q161">
            <v>0.17</v>
          </cell>
          <cell r="R161">
            <v>0.18</v>
          </cell>
          <cell r="S161">
            <v>7.0000000000000007E-2</v>
          </cell>
          <cell r="T161">
            <v>0.12</v>
          </cell>
          <cell r="U161">
            <v>0.18</v>
          </cell>
          <cell r="V161">
            <v>0.2</v>
          </cell>
          <cell r="W161">
            <v>0.18</v>
          </cell>
          <cell r="X161">
            <v>0.17499999999999999</v>
          </cell>
          <cell r="Y161">
            <v>0.17</v>
          </cell>
          <cell r="Z161">
            <v>0.18</v>
          </cell>
          <cell r="AA161">
            <v>0.17</v>
          </cell>
          <cell r="AB161">
            <v>7.0000000000000007E-2</v>
          </cell>
          <cell r="AC161">
            <v>0.18</v>
          </cell>
          <cell r="AD161">
            <v>0.18</v>
          </cell>
          <cell r="AF161">
            <v>0.15</v>
          </cell>
        </row>
        <row r="162">
          <cell r="C162" t="str">
            <v>8517.62.48</v>
          </cell>
          <cell r="D162">
            <v>0.17</v>
          </cell>
          <cell r="E162">
            <v>0.18</v>
          </cell>
          <cell r="F162">
            <v>0.18</v>
          </cell>
          <cell r="G162">
            <v>0.18</v>
          </cell>
          <cell r="H162">
            <v>0.18</v>
          </cell>
          <cell r="I162">
            <v>0.18</v>
          </cell>
          <cell r="J162">
            <v>0.18</v>
          </cell>
          <cell r="K162">
            <v>0.12</v>
          </cell>
          <cell r="L162">
            <v>0.17</v>
          </cell>
          <cell r="M162">
            <v>0.18</v>
          </cell>
          <cell r="N162">
            <v>0.18</v>
          </cell>
          <cell r="O162">
            <v>0.17</v>
          </cell>
          <cell r="P162">
            <v>0.17</v>
          </cell>
          <cell r="Q162">
            <v>0.17</v>
          </cell>
          <cell r="R162">
            <v>0.18</v>
          </cell>
          <cell r="S162">
            <v>7.0000000000000007E-2</v>
          </cell>
          <cell r="T162">
            <v>0.12</v>
          </cell>
          <cell r="U162">
            <v>0.18</v>
          </cell>
          <cell r="V162">
            <v>0.2</v>
          </cell>
          <cell r="W162">
            <v>0.18</v>
          </cell>
          <cell r="X162">
            <v>0.17499999999999999</v>
          </cell>
          <cell r="Y162">
            <v>0.17</v>
          </cell>
          <cell r="Z162">
            <v>0.18</v>
          </cell>
          <cell r="AA162">
            <v>0.17</v>
          </cell>
          <cell r="AB162">
            <v>7.0000000000000007E-2</v>
          </cell>
          <cell r="AC162">
            <v>0.18</v>
          </cell>
          <cell r="AD162">
            <v>0.18</v>
          </cell>
          <cell r="AF162">
            <v>0.15</v>
          </cell>
        </row>
        <row r="163">
          <cell r="C163" t="str">
            <v>8517.62.49</v>
          </cell>
          <cell r="D163">
            <v>0.17</v>
          </cell>
          <cell r="E163">
            <v>0.18</v>
          </cell>
          <cell r="F163">
            <v>0.18</v>
          </cell>
          <cell r="G163">
            <v>0.18</v>
          </cell>
          <cell r="H163">
            <v>0.18</v>
          </cell>
          <cell r="I163">
            <v>0.18</v>
          </cell>
          <cell r="J163">
            <v>0.18</v>
          </cell>
          <cell r="K163">
            <v>0.12</v>
          </cell>
          <cell r="L163">
            <v>0.17</v>
          </cell>
          <cell r="M163">
            <v>0.18</v>
          </cell>
          <cell r="N163">
            <v>0.18</v>
          </cell>
          <cell r="O163">
            <v>0.17</v>
          </cell>
          <cell r="P163">
            <v>0.17</v>
          </cell>
          <cell r="Q163">
            <v>0.17</v>
          </cell>
          <cell r="R163">
            <v>0.18</v>
          </cell>
          <cell r="S163">
            <v>7.0000000000000007E-2</v>
          </cell>
          <cell r="T163">
            <v>0.12</v>
          </cell>
          <cell r="U163">
            <v>0.18</v>
          </cell>
          <cell r="V163">
            <v>0.2</v>
          </cell>
          <cell r="W163">
            <v>0.18</v>
          </cell>
          <cell r="X163">
            <v>0.17499999999999999</v>
          </cell>
          <cell r="Y163">
            <v>0.17</v>
          </cell>
          <cell r="Z163">
            <v>0.18</v>
          </cell>
          <cell r="AA163">
            <v>0.17</v>
          </cell>
          <cell r="AB163">
            <v>7.0000000000000007E-2</v>
          </cell>
          <cell r="AC163">
            <v>0.18</v>
          </cell>
          <cell r="AD163">
            <v>0.18</v>
          </cell>
          <cell r="AF163">
            <v>0.15</v>
          </cell>
        </row>
        <row r="164">
          <cell r="C164" t="str">
            <v>8517.62.51</v>
          </cell>
          <cell r="D164">
            <v>0.17</v>
          </cell>
          <cell r="E164">
            <v>0.18</v>
          </cell>
          <cell r="F164">
            <v>0.18</v>
          </cell>
          <cell r="G164">
            <v>0.18</v>
          </cell>
          <cell r="H164">
            <v>0.18</v>
          </cell>
          <cell r="I164">
            <v>0.18</v>
          </cell>
          <cell r="J164">
            <v>0.18</v>
          </cell>
          <cell r="K164">
            <v>0.17</v>
          </cell>
          <cell r="L164">
            <v>0.17</v>
          </cell>
          <cell r="M164">
            <v>0.18</v>
          </cell>
          <cell r="N164">
            <v>0.18</v>
          </cell>
          <cell r="O164">
            <v>0.17</v>
          </cell>
          <cell r="P164">
            <v>0.17</v>
          </cell>
          <cell r="Q164">
            <v>0.17</v>
          </cell>
          <cell r="R164">
            <v>0.18</v>
          </cell>
          <cell r="S164">
            <v>0.18</v>
          </cell>
          <cell r="T164">
            <v>0.12</v>
          </cell>
          <cell r="U164">
            <v>0.18</v>
          </cell>
          <cell r="V164">
            <v>0.2</v>
          </cell>
          <cell r="W164">
            <v>0.18</v>
          </cell>
          <cell r="X164">
            <v>0.17499999999999999</v>
          </cell>
          <cell r="Y164">
            <v>0.17</v>
          </cell>
          <cell r="Z164">
            <v>0.18</v>
          </cell>
          <cell r="AA164">
            <v>0.17</v>
          </cell>
          <cell r="AB164">
            <v>0.18</v>
          </cell>
          <cell r="AC164">
            <v>0.18</v>
          </cell>
          <cell r="AD164">
            <v>0.18</v>
          </cell>
          <cell r="AF164">
            <v>0.15</v>
          </cell>
        </row>
        <row r="165">
          <cell r="C165" t="str">
            <v>8517.62.52</v>
          </cell>
          <cell r="D165">
            <v>0.17</v>
          </cell>
          <cell r="E165">
            <v>0.18</v>
          </cell>
          <cell r="F165">
            <v>0.18</v>
          </cell>
          <cell r="G165">
            <v>0.18</v>
          </cell>
          <cell r="H165">
            <v>0.18</v>
          </cell>
          <cell r="I165">
            <v>0.18</v>
          </cell>
          <cell r="J165">
            <v>0.18</v>
          </cell>
          <cell r="K165">
            <v>0.17</v>
          </cell>
          <cell r="L165">
            <v>0.17</v>
          </cell>
          <cell r="M165">
            <v>0.18</v>
          </cell>
          <cell r="N165">
            <v>0.18</v>
          </cell>
          <cell r="O165">
            <v>0.17</v>
          </cell>
          <cell r="P165">
            <v>0.17</v>
          </cell>
          <cell r="Q165">
            <v>0.17</v>
          </cell>
          <cell r="R165">
            <v>0.18</v>
          </cell>
          <cell r="S165">
            <v>0.18</v>
          </cell>
          <cell r="T165">
            <v>0.12</v>
          </cell>
          <cell r="U165">
            <v>0.18</v>
          </cell>
          <cell r="V165">
            <v>0.2</v>
          </cell>
          <cell r="W165">
            <v>0.18</v>
          </cell>
          <cell r="X165">
            <v>0.17499999999999999</v>
          </cell>
          <cell r="Y165">
            <v>0.17</v>
          </cell>
          <cell r="Z165">
            <v>0.18</v>
          </cell>
          <cell r="AA165">
            <v>0.17</v>
          </cell>
          <cell r="AB165">
            <v>0.18</v>
          </cell>
          <cell r="AC165">
            <v>0.18</v>
          </cell>
          <cell r="AD165">
            <v>0.18</v>
          </cell>
          <cell r="AF165">
            <v>0.15</v>
          </cell>
        </row>
        <row r="166">
          <cell r="C166" t="str">
            <v>8517.62.54</v>
          </cell>
          <cell r="D166">
            <v>0.17</v>
          </cell>
          <cell r="E166">
            <v>0.18</v>
          </cell>
          <cell r="F166">
            <v>0.18</v>
          </cell>
          <cell r="G166">
            <v>0.18</v>
          </cell>
          <cell r="H166">
            <v>0.18</v>
          </cell>
          <cell r="I166">
            <v>0.18</v>
          </cell>
          <cell r="J166">
            <v>0.18</v>
          </cell>
          <cell r="K166">
            <v>0.12</v>
          </cell>
          <cell r="L166">
            <v>0.17</v>
          </cell>
          <cell r="M166">
            <v>0.18</v>
          </cell>
          <cell r="N166">
            <v>0.18</v>
          </cell>
          <cell r="O166">
            <v>0.17</v>
          </cell>
          <cell r="P166">
            <v>0.17</v>
          </cell>
          <cell r="Q166">
            <v>0.17</v>
          </cell>
          <cell r="R166">
            <v>0.18</v>
          </cell>
          <cell r="S166">
            <v>7.0000000000000007E-2</v>
          </cell>
          <cell r="T166">
            <v>0.12</v>
          </cell>
          <cell r="U166">
            <v>0.18</v>
          </cell>
          <cell r="V166">
            <v>0.2</v>
          </cell>
          <cell r="W166">
            <v>0.18</v>
          </cell>
          <cell r="X166">
            <v>0.17499999999999999</v>
          </cell>
          <cell r="Y166">
            <v>0.17</v>
          </cell>
          <cell r="Z166">
            <v>0.18</v>
          </cell>
          <cell r="AA166">
            <v>0.17</v>
          </cell>
          <cell r="AB166">
            <v>7.0000000000000007E-2</v>
          </cell>
          <cell r="AC166">
            <v>0.18</v>
          </cell>
          <cell r="AD166">
            <v>0.18</v>
          </cell>
          <cell r="AF166">
            <v>0.15</v>
          </cell>
        </row>
        <row r="167">
          <cell r="C167" t="str">
            <v>8517.62.55</v>
          </cell>
          <cell r="D167">
            <v>0.17</v>
          </cell>
          <cell r="E167">
            <v>0.18</v>
          </cell>
          <cell r="F167">
            <v>0.18</v>
          </cell>
          <cell r="G167">
            <v>0.18</v>
          </cell>
          <cell r="H167">
            <v>0.18</v>
          </cell>
          <cell r="I167">
            <v>0.18</v>
          </cell>
          <cell r="J167">
            <v>0.18</v>
          </cell>
          <cell r="K167">
            <v>0.12</v>
          </cell>
          <cell r="L167">
            <v>0.17</v>
          </cell>
          <cell r="M167">
            <v>0.18</v>
          </cell>
          <cell r="N167">
            <v>0.18</v>
          </cell>
          <cell r="O167">
            <v>0.17</v>
          </cell>
          <cell r="P167">
            <v>0.17</v>
          </cell>
          <cell r="Q167">
            <v>0.17</v>
          </cell>
          <cell r="R167">
            <v>0.18</v>
          </cell>
          <cell r="S167">
            <v>7.0000000000000007E-2</v>
          </cell>
          <cell r="T167">
            <v>0.12</v>
          </cell>
          <cell r="U167">
            <v>0.18</v>
          </cell>
          <cell r="V167">
            <v>0.2</v>
          </cell>
          <cell r="W167">
            <v>0.18</v>
          </cell>
          <cell r="X167">
            <v>0.17499999999999999</v>
          </cell>
          <cell r="Y167">
            <v>0.17</v>
          </cell>
          <cell r="Z167">
            <v>0.18</v>
          </cell>
          <cell r="AA167">
            <v>0.17</v>
          </cell>
          <cell r="AB167">
            <v>7.0000000000000007E-2</v>
          </cell>
          <cell r="AC167">
            <v>0.18</v>
          </cell>
          <cell r="AD167">
            <v>0.18</v>
          </cell>
          <cell r="AF167">
            <v>0.15</v>
          </cell>
        </row>
        <row r="168">
          <cell r="C168" t="str">
            <v>8517.62.59</v>
          </cell>
          <cell r="D168">
            <v>0.17</v>
          </cell>
          <cell r="E168">
            <v>0.18</v>
          </cell>
          <cell r="F168">
            <v>0.18</v>
          </cell>
          <cell r="G168">
            <v>0.18</v>
          </cell>
          <cell r="H168">
            <v>0.18</v>
          </cell>
          <cell r="I168">
            <v>0.18</v>
          </cell>
          <cell r="J168">
            <v>0.18</v>
          </cell>
          <cell r="K168">
            <v>0.12</v>
          </cell>
          <cell r="L168">
            <v>0.17</v>
          </cell>
          <cell r="M168">
            <v>0.18</v>
          </cell>
          <cell r="N168">
            <v>0.18</v>
          </cell>
          <cell r="O168">
            <v>0.17</v>
          </cell>
          <cell r="P168">
            <v>0.17</v>
          </cell>
          <cell r="Q168">
            <v>0.17</v>
          </cell>
          <cell r="R168">
            <v>0.18</v>
          </cell>
          <cell r="S168">
            <v>7.0000000000000007E-2</v>
          </cell>
          <cell r="T168">
            <v>0.12</v>
          </cell>
          <cell r="U168">
            <v>0.18</v>
          </cell>
          <cell r="V168">
            <v>0.2</v>
          </cell>
          <cell r="W168">
            <v>0.18</v>
          </cell>
          <cell r="X168">
            <v>0.17499999999999999</v>
          </cell>
          <cell r="Y168">
            <v>0.17</v>
          </cell>
          <cell r="Z168">
            <v>0.18</v>
          </cell>
          <cell r="AA168">
            <v>0.17</v>
          </cell>
          <cell r="AB168">
            <v>0.18</v>
          </cell>
          <cell r="AC168">
            <v>0.18</v>
          </cell>
          <cell r="AD168">
            <v>0.18</v>
          </cell>
          <cell r="AF168">
            <v>0.15</v>
          </cell>
        </row>
        <row r="169">
          <cell r="C169" t="str">
            <v>8517.62.61</v>
          </cell>
          <cell r="D169">
            <v>0.17</v>
          </cell>
          <cell r="E169">
            <v>0.18</v>
          </cell>
          <cell r="F169">
            <v>0.18</v>
          </cell>
          <cell r="G169">
            <v>0.18</v>
          </cell>
          <cell r="H169">
            <v>0.18</v>
          </cell>
          <cell r="I169">
            <v>0.18</v>
          </cell>
          <cell r="J169">
            <v>0.18</v>
          </cell>
          <cell r="K169">
            <v>0.17</v>
          </cell>
          <cell r="L169">
            <v>0.17</v>
          </cell>
          <cell r="M169">
            <v>0.18</v>
          </cell>
          <cell r="N169">
            <v>0.18</v>
          </cell>
          <cell r="O169">
            <v>0.17</v>
          </cell>
          <cell r="P169">
            <v>0.17</v>
          </cell>
          <cell r="Q169">
            <v>0.17</v>
          </cell>
          <cell r="R169">
            <v>0.18</v>
          </cell>
          <cell r="S169">
            <v>0.18</v>
          </cell>
          <cell r="T169">
            <v>0.18</v>
          </cell>
          <cell r="U169">
            <v>0.18</v>
          </cell>
          <cell r="V169">
            <v>0.2</v>
          </cell>
          <cell r="W169">
            <v>0.18</v>
          </cell>
          <cell r="X169">
            <v>0.17499999999999999</v>
          </cell>
          <cell r="Y169">
            <v>0.17</v>
          </cell>
          <cell r="Z169">
            <v>0.18</v>
          </cell>
          <cell r="AA169">
            <v>0.17</v>
          </cell>
          <cell r="AB169">
            <v>0.18</v>
          </cell>
          <cell r="AC169">
            <v>0.18</v>
          </cell>
          <cell r="AD169">
            <v>0.18</v>
          </cell>
          <cell r="AF169">
            <v>0.15</v>
          </cell>
        </row>
        <row r="170">
          <cell r="C170" t="str">
            <v>8517.62.62</v>
          </cell>
          <cell r="D170">
            <v>0.17</v>
          </cell>
          <cell r="E170">
            <v>0.18</v>
          </cell>
          <cell r="F170">
            <v>0.18</v>
          </cell>
          <cell r="G170">
            <v>0.18</v>
          </cell>
          <cell r="H170">
            <v>0.18</v>
          </cell>
          <cell r="I170">
            <v>0.18</v>
          </cell>
          <cell r="J170">
            <v>0.18</v>
          </cell>
          <cell r="K170">
            <v>0.17</v>
          </cell>
          <cell r="L170">
            <v>0.17</v>
          </cell>
          <cell r="M170">
            <v>0.18</v>
          </cell>
          <cell r="N170">
            <v>0.18</v>
          </cell>
          <cell r="O170">
            <v>0.17</v>
          </cell>
          <cell r="P170">
            <v>0.17</v>
          </cell>
          <cell r="Q170">
            <v>0.17</v>
          </cell>
          <cell r="R170">
            <v>0.18</v>
          </cell>
          <cell r="S170">
            <v>0.18</v>
          </cell>
          <cell r="T170">
            <v>0.18</v>
          </cell>
          <cell r="U170">
            <v>0.18</v>
          </cell>
          <cell r="V170">
            <v>0.2</v>
          </cell>
          <cell r="W170">
            <v>0.18</v>
          </cell>
          <cell r="X170">
            <v>0.17499999999999999</v>
          </cell>
          <cell r="Y170">
            <v>0.17</v>
          </cell>
          <cell r="Z170">
            <v>0.18</v>
          </cell>
          <cell r="AA170">
            <v>0.17</v>
          </cell>
          <cell r="AB170">
            <v>0.18</v>
          </cell>
          <cell r="AC170">
            <v>0.18</v>
          </cell>
          <cell r="AD170">
            <v>0.18</v>
          </cell>
          <cell r="AF170">
            <v>0.15</v>
          </cell>
        </row>
        <row r="171">
          <cell r="C171" t="str">
            <v>8517.62.72</v>
          </cell>
          <cell r="D171">
            <v>0.17</v>
          </cell>
          <cell r="E171">
            <v>0.18</v>
          </cell>
          <cell r="F171">
            <v>0.18</v>
          </cell>
          <cell r="G171">
            <v>0.18</v>
          </cell>
          <cell r="H171">
            <v>0.18</v>
          </cell>
          <cell r="I171">
            <v>0.18</v>
          </cell>
          <cell r="J171">
            <v>0.18</v>
          </cell>
          <cell r="K171">
            <v>0.17</v>
          </cell>
          <cell r="L171">
            <v>0.17</v>
          </cell>
          <cell r="M171">
            <v>0.18</v>
          </cell>
          <cell r="N171">
            <v>0.18</v>
          </cell>
          <cell r="O171">
            <v>0.17</v>
          </cell>
          <cell r="P171">
            <v>0.17</v>
          </cell>
          <cell r="Q171">
            <v>0.17</v>
          </cell>
          <cell r="R171">
            <v>0.18</v>
          </cell>
          <cell r="S171">
            <v>0.12</v>
          </cell>
          <cell r="T171">
            <v>0.18</v>
          </cell>
          <cell r="U171">
            <v>0.18</v>
          </cell>
          <cell r="V171">
            <v>0.2</v>
          </cell>
          <cell r="W171">
            <v>0.18</v>
          </cell>
          <cell r="X171">
            <v>0.17499999999999999</v>
          </cell>
          <cell r="Y171">
            <v>0.17</v>
          </cell>
          <cell r="Z171">
            <v>0.18</v>
          </cell>
          <cell r="AA171">
            <v>0.17</v>
          </cell>
          <cell r="AB171">
            <v>0.18</v>
          </cell>
          <cell r="AC171">
            <v>0.18</v>
          </cell>
          <cell r="AD171">
            <v>0.18</v>
          </cell>
          <cell r="AF171">
            <v>0.15</v>
          </cell>
        </row>
        <row r="172">
          <cell r="C172" t="str">
            <v>8517.62.77</v>
          </cell>
          <cell r="D172">
            <v>0.17</v>
          </cell>
          <cell r="E172">
            <v>0.18</v>
          </cell>
          <cell r="F172">
            <v>0.18</v>
          </cell>
          <cell r="G172">
            <v>0.18</v>
          </cell>
          <cell r="H172">
            <v>0.18</v>
          </cell>
          <cell r="I172">
            <v>0.18</v>
          </cell>
          <cell r="J172">
            <v>0.18</v>
          </cell>
          <cell r="K172">
            <v>0.17</v>
          </cell>
          <cell r="L172">
            <v>0.17</v>
          </cell>
          <cell r="M172">
            <v>0.18</v>
          </cell>
          <cell r="N172">
            <v>0.18</v>
          </cell>
          <cell r="O172">
            <v>0.17</v>
          </cell>
          <cell r="P172">
            <v>0.17</v>
          </cell>
          <cell r="Q172">
            <v>0.17</v>
          </cell>
          <cell r="R172">
            <v>0.18</v>
          </cell>
          <cell r="S172">
            <v>0.12</v>
          </cell>
          <cell r="T172">
            <v>0.18</v>
          </cell>
          <cell r="U172">
            <v>0.18</v>
          </cell>
          <cell r="V172">
            <v>0.2</v>
          </cell>
          <cell r="W172">
            <v>0.18</v>
          </cell>
          <cell r="X172">
            <v>0.17499999999999999</v>
          </cell>
          <cell r="Y172">
            <v>0.17</v>
          </cell>
          <cell r="Z172">
            <v>0.18</v>
          </cell>
          <cell r="AA172">
            <v>0.17</v>
          </cell>
          <cell r="AB172">
            <v>0.18</v>
          </cell>
          <cell r="AC172">
            <v>0.18</v>
          </cell>
          <cell r="AD172">
            <v>0.18</v>
          </cell>
          <cell r="AF172">
            <v>0.15</v>
          </cell>
        </row>
        <row r="173">
          <cell r="C173" t="str">
            <v>8517.62.79</v>
          </cell>
          <cell r="D173">
            <v>0.17</v>
          </cell>
          <cell r="E173">
            <v>0.18</v>
          </cell>
          <cell r="F173">
            <v>0.18</v>
          </cell>
          <cell r="G173">
            <v>0.18</v>
          </cell>
          <cell r="H173">
            <v>0.18</v>
          </cell>
          <cell r="I173">
            <v>0.18</v>
          </cell>
          <cell r="J173">
            <v>0.18</v>
          </cell>
          <cell r="K173">
            <v>0.17</v>
          </cell>
          <cell r="L173">
            <v>0.17</v>
          </cell>
          <cell r="M173">
            <v>0.18</v>
          </cell>
          <cell r="N173">
            <v>0.18</v>
          </cell>
          <cell r="O173">
            <v>0.17</v>
          </cell>
          <cell r="P173">
            <v>0.17</v>
          </cell>
          <cell r="Q173">
            <v>0.17</v>
          </cell>
          <cell r="R173">
            <v>0.18</v>
          </cell>
          <cell r="S173">
            <v>0.12</v>
          </cell>
          <cell r="T173">
            <v>0.18</v>
          </cell>
          <cell r="U173">
            <v>0.18</v>
          </cell>
          <cell r="V173">
            <v>0.2</v>
          </cell>
          <cell r="W173">
            <v>0.18</v>
          </cell>
          <cell r="X173">
            <v>0.17499999999999999</v>
          </cell>
          <cell r="Y173">
            <v>0.17</v>
          </cell>
          <cell r="Z173">
            <v>0.18</v>
          </cell>
          <cell r="AA173">
            <v>0.17</v>
          </cell>
          <cell r="AB173">
            <v>0.18</v>
          </cell>
          <cell r="AC173">
            <v>0.18</v>
          </cell>
          <cell r="AD173">
            <v>0.18</v>
          </cell>
          <cell r="AF173">
            <v>0.15</v>
          </cell>
        </row>
        <row r="174">
          <cell r="C174" t="str">
            <v>8517.62.94</v>
          </cell>
          <cell r="D174">
            <v>0.17</v>
          </cell>
          <cell r="E174">
            <v>0.18</v>
          </cell>
          <cell r="F174">
            <v>0.18</v>
          </cell>
          <cell r="G174">
            <v>0.18</v>
          </cell>
          <cell r="H174">
            <v>0.18</v>
          </cell>
          <cell r="I174">
            <v>0.18</v>
          </cell>
          <cell r="J174">
            <v>0.18</v>
          </cell>
          <cell r="K174">
            <v>0.12</v>
          </cell>
          <cell r="L174">
            <v>0.17</v>
          </cell>
          <cell r="M174">
            <v>0.18</v>
          </cell>
          <cell r="N174">
            <v>0.18</v>
          </cell>
          <cell r="O174">
            <v>0.17</v>
          </cell>
          <cell r="P174">
            <v>0.17</v>
          </cell>
          <cell r="Q174">
            <v>0.17</v>
          </cell>
          <cell r="R174">
            <v>0.18</v>
          </cell>
          <cell r="S174">
            <v>7.0000000000000007E-2</v>
          </cell>
          <cell r="T174">
            <v>0.18</v>
          </cell>
          <cell r="U174">
            <v>0.18</v>
          </cell>
          <cell r="V174">
            <v>0.2</v>
          </cell>
          <cell r="W174">
            <v>0.18</v>
          </cell>
          <cell r="X174">
            <v>0.17499999999999999</v>
          </cell>
          <cell r="Y174">
            <v>0.17</v>
          </cell>
          <cell r="Z174">
            <v>0.18</v>
          </cell>
          <cell r="AA174">
            <v>0.17</v>
          </cell>
          <cell r="AB174">
            <v>0.18</v>
          </cell>
          <cell r="AC174">
            <v>0.12</v>
          </cell>
          <cell r="AD174">
            <v>0.18</v>
          </cell>
          <cell r="AF174">
            <v>0.15</v>
          </cell>
        </row>
        <row r="175">
          <cell r="C175" t="str">
            <v>8517.62.96</v>
          </cell>
          <cell r="D175">
            <v>0.17</v>
          </cell>
          <cell r="E175">
            <v>0.18</v>
          </cell>
          <cell r="F175">
            <v>0.18</v>
          </cell>
          <cell r="G175">
            <v>0.18</v>
          </cell>
          <cell r="H175">
            <v>0.18</v>
          </cell>
          <cell r="I175">
            <v>0.18</v>
          </cell>
          <cell r="J175">
            <v>0.18</v>
          </cell>
          <cell r="K175">
            <v>0.17</v>
          </cell>
          <cell r="L175">
            <v>0.17</v>
          </cell>
          <cell r="M175">
            <v>0.18</v>
          </cell>
          <cell r="N175">
            <v>0.18</v>
          </cell>
          <cell r="O175">
            <v>0.17</v>
          </cell>
          <cell r="P175">
            <v>0.17</v>
          </cell>
          <cell r="Q175">
            <v>0.17</v>
          </cell>
          <cell r="R175">
            <v>0.18</v>
          </cell>
          <cell r="S175">
            <v>0.12</v>
          </cell>
          <cell r="T175">
            <v>0.18</v>
          </cell>
          <cell r="U175">
            <v>0.18</v>
          </cell>
          <cell r="V175">
            <v>0.2</v>
          </cell>
          <cell r="W175">
            <v>0.18</v>
          </cell>
          <cell r="X175">
            <v>0.17499999999999999</v>
          </cell>
          <cell r="Y175">
            <v>0.17</v>
          </cell>
          <cell r="Z175">
            <v>0.18</v>
          </cell>
          <cell r="AA175">
            <v>0.17</v>
          </cell>
          <cell r="AB175">
            <v>0.18</v>
          </cell>
          <cell r="AC175">
            <v>0.18</v>
          </cell>
          <cell r="AD175">
            <v>0.18</v>
          </cell>
          <cell r="AF175">
            <v>0.15</v>
          </cell>
        </row>
        <row r="176">
          <cell r="C176" t="str">
            <v>8517.62.99</v>
          </cell>
          <cell r="D176">
            <v>0.17</v>
          </cell>
          <cell r="E176">
            <v>0.18</v>
          </cell>
          <cell r="F176">
            <v>0.18</v>
          </cell>
          <cell r="G176">
            <v>0.18</v>
          </cell>
          <cell r="H176">
            <v>0.18</v>
          </cell>
          <cell r="I176">
            <v>0.18</v>
          </cell>
          <cell r="J176">
            <v>0.18</v>
          </cell>
          <cell r="K176">
            <v>0.17</v>
          </cell>
          <cell r="L176">
            <v>0.17</v>
          </cell>
          <cell r="M176">
            <v>0.18</v>
          </cell>
          <cell r="N176">
            <v>0.18</v>
          </cell>
          <cell r="O176">
            <v>0.17</v>
          </cell>
          <cell r="P176">
            <v>0.17</v>
          </cell>
          <cell r="Q176">
            <v>0.17</v>
          </cell>
          <cell r="R176">
            <v>0.18</v>
          </cell>
          <cell r="S176">
            <v>0.18</v>
          </cell>
          <cell r="T176">
            <v>0.18</v>
          </cell>
          <cell r="U176">
            <v>0.18</v>
          </cell>
          <cell r="V176">
            <v>0.2</v>
          </cell>
          <cell r="W176">
            <v>0.18</v>
          </cell>
          <cell r="X176">
            <v>0.17499999999999999</v>
          </cell>
          <cell r="Y176">
            <v>0.17</v>
          </cell>
          <cell r="Z176">
            <v>0.18</v>
          </cell>
          <cell r="AA176">
            <v>0.17</v>
          </cell>
          <cell r="AB176">
            <v>0.18</v>
          </cell>
          <cell r="AC176">
            <v>0.18</v>
          </cell>
          <cell r="AD176">
            <v>0.18</v>
          </cell>
          <cell r="AF176">
            <v>0.2</v>
          </cell>
        </row>
        <row r="177">
          <cell r="C177" t="str">
            <v>8517.69.00</v>
          </cell>
          <cell r="D177">
            <v>0.17</v>
          </cell>
          <cell r="E177">
            <v>0.18</v>
          </cell>
          <cell r="F177">
            <v>0.18</v>
          </cell>
          <cell r="G177">
            <v>0.18</v>
          </cell>
          <cell r="H177">
            <v>0.18</v>
          </cell>
          <cell r="I177">
            <v>0.18</v>
          </cell>
          <cell r="J177">
            <v>0.18</v>
          </cell>
          <cell r="K177">
            <v>0.17</v>
          </cell>
          <cell r="L177">
            <v>0.17</v>
          </cell>
          <cell r="M177">
            <v>0.18</v>
          </cell>
          <cell r="N177">
            <v>0.18</v>
          </cell>
          <cell r="O177">
            <v>0.17</v>
          </cell>
          <cell r="P177">
            <v>0.17</v>
          </cell>
          <cell r="Q177">
            <v>0.17</v>
          </cell>
          <cell r="R177">
            <v>0.18</v>
          </cell>
          <cell r="S177">
            <v>0.18</v>
          </cell>
          <cell r="T177">
            <v>0.18</v>
          </cell>
          <cell r="U177">
            <v>0.18</v>
          </cell>
          <cell r="V177">
            <v>0.2</v>
          </cell>
          <cell r="W177">
            <v>0.18</v>
          </cell>
          <cell r="X177">
            <v>0.17499999999999999</v>
          </cell>
          <cell r="Y177">
            <v>0.17</v>
          </cell>
          <cell r="Z177">
            <v>0.18</v>
          </cell>
          <cell r="AA177">
            <v>0.17</v>
          </cell>
          <cell r="AB177">
            <v>0.18</v>
          </cell>
          <cell r="AC177">
            <v>0.18</v>
          </cell>
          <cell r="AD177">
            <v>0.18</v>
          </cell>
          <cell r="AF177">
            <v>0.15</v>
          </cell>
        </row>
        <row r="178">
          <cell r="C178" t="str">
            <v>8517.70.10</v>
          </cell>
          <cell r="D178">
            <v>0.17</v>
          </cell>
          <cell r="E178">
            <v>0.18</v>
          </cell>
          <cell r="F178">
            <v>0.18</v>
          </cell>
          <cell r="G178">
            <v>0.18</v>
          </cell>
          <cell r="H178">
            <v>0.18</v>
          </cell>
          <cell r="I178">
            <v>0.18</v>
          </cell>
          <cell r="J178">
            <v>0.18</v>
          </cell>
          <cell r="K178">
            <v>0.17</v>
          </cell>
          <cell r="L178">
            <v>0.17</v>
          </cell>
          <cell r="M178">
            <v>0.18</v>
          </cell>
          <cell r="N178">
            <v>0.18</v>
          </cell>
          <cell r="O178">
            <v>0.17</v>
          </cell>
          <cell r="P178">
            <v>0.17</v>
          </cell>
          <cell r="Q178">
            <v>0.17</v>
          </cell>
          <cell r="R178">
            <v>0.18</v>
          </cell>
          <cell r="S178">
            <v>7.0000000000000007E-2</v>
          </cell>
          <cell r="T178">
            <v>0.18</v>
          </cell>
          <cell r="U178">
            <v>0.18</v>
          </cell>
          <cell r="V178">
            <v>0.2</v>
          </cell>
          <cell r="W178">
            <v>0.18</v>
          </cell>
          <cell r="X178">
            <v>0.17499999999999999</v>
          </cell>
          <cell r="Y178">
            <v>0.17</v>
          </cell>
          <cell r="Z178">
            <v>0.18</v>
          </cell>
          <cell r="AA178">
            <v>0.17</v>
          </cell>
          <cell r="AB178">
            <v>0.18</v>
          </cell>
          <cell r="AC178">
            <v>0.18</v>
          </cell>
          <cell r="AD178">
            <v>0.18</v>
          </cell>
          <cell r="AF178">
            <v>0.15</v>
          </cell>
        </row>
        <row r="179">
          <cell r="C179" t="str">
            <v>8517.70.29</v>
          </cell>
          <cell r="D179">
            <v>0.17</v>
          </cell>
          <cell r="E179">
            <v>0.18</v>
          </cell>
          <cell r="F179">
            <v>0.18</v>
          </cell>
          <cell r="G179">
            <v>0.18</v>
          </cell>
          <cell r="H179">
            <v>0.18</v>
          </cell>
          <cell r="I179">
            <v>0.18</v>
          </cell>
          <cell r="J179">
            <v>0.18</v>
          </cell>
          <cell r="K179">
            <v>0.17</v>
          </cell>
          <cell r="L179">
            <v>0.17</v>
          </cell>
          <cell r="M179">
            <v>0.18</v>
          </cell>
          <cell r="N179">
            <v>0.18</v>
          </cell>
          <cell r="O179">
            <v>0.17</v>
          </cell>
          <cell r="P179">
            <v>0.17</v>
          </cell>
          <cell r="Q179">
            <v>0.17</v>
          </cell>
          <cell r="R179">
            <v>0.18</v>
          </cell>
          <cell r="S179">
            <v>0.18</v>
          </cell>
          <cell r="T179">
            <v>0.18</v>
          </cell>
          <cell r="U179">
            <v>0.18</v>
          </cell>
          <cell r="V179">
            <v>0.2</v>
          </cell>
          <cell r="W179">
            <v>0.18</v>
          </cell>
          <cell r="X179">
            <v>0.17499999999999999</v>
          </cell>
          <cell r="Y179">
            <v>0.17</v>
          </cell>
          <cell r="Z179">
            <v>0.18</v>
          </cell>
          <cell r="AA179">
            <v>0.17</v>
          </cell>
          <cell r="AB179">
            <v>0.18</v>
          </cell>
          <cell r="AC179">
            <v>0.18</v>
          </cell>
          <cell r="AD179">
            <v>0.18</v>
          </cell>
          <cell r="AF179">
            <v>0.1</v>
          </cell>
        </row>
        <row r="180">
          <cell r="C180" t="str">
            <v>8517.70.91</v>
          </cell>
          <cell r="D180">
            <v>0.17</v>
          </cell>
          <cell r="E180">
            <v>0.18</v>
          </cell>
          <cell r="F180">
            <v>0.18</v>
          </cell>
          <cell r="G180">
            <v>0.18</v>
          </cell>
          <cell r="H180">
            <v>0.18</v>
          </cell>
          <cell r="I180">
            <v>0.18</v>
          </cell>
          <cell r="J180">
            <v>0.18</v>
          </cell>
          <cell r="K180">
            <v>0.17</v>
          </cell>
          <cell r="L180">
            <v>0.17</v>
          </cell>
          <cell r="M180">
            <v>0.18</v>
          </cell>
          <cell r="N180">
            <v>0.18</v>
          </cell>
          <cell r="O180">
            <v>0.17</v>
          </cell>
          <cell r="P180">
            <v>0.17</v>
          </cell>
          <cell r="Q180">
            <v>0.17</v>
          </cell>
          <cell r="R180">
            <v>0.18</v>
          </cell>
          <cell r="S180">
            <v>7.0000000000000007E-2</v>
          </cell>
          <cell r="T180">
            <v>0.18</v>
          </cell>
          <cell r="U180">
            <v>0.18</v>
          </cell>
          <cell r="V180">
            <v>0.2</v>
          </cell>
          <cell r="W180">
            <v>0.18</v>
          </cell>
          <cell r="X180">
            <v>0.17499999999999999</v>
          </cell>
          <cell r="Y180">
            <v>0.17</v>
          </cell>
          <cell r="Z180">
            <v>0.18</v>
          </cell>
          <cell r="AA180">
            <v>0.17</v>
          </cell>
          <cell r="AB180">
            <v>0.18</v>
          </cell>
          <cell r="AC180">
            <v>0.18</v>
          </cell>
          <cell r="AD180">
            <v>0.18</v>
          </cell>
          <cell r="AF180">
            <v>0.1</v>
          </cell>
        </row>
        <row r="181">
          <cell r="C181" t="str">
            <v>8517.70.99</v>
          </cell>
          <cell r="D181">
            <v>0.17</v>
          </cell>
          <cell r="E181">
            <v>0.18</v>
          </cell>
          <cell r="F181">
            <v>0.18</v>
          </cell>
          <cell r="G181">
            <v>0.18</v>
          </cell>
          <cell r="H181">
            <v>0.18</v>
          </cell>
          <cell r="I181">
            <v>0.18</v>
          </cell>
          <cell r="J181">
            <v>0.18</v>
          </cell>
          <cell r="K181">
            <v>0.17</v>
          </cell>
          <cell r="L181">
            <v>0.17</v>
          </cell>
          <cell r="M181">
            <v>0.18</v>
          </cell>
          <cell r="N181">
            <v>0.18</v>
          </cell>
          <cell r="O181">
            <v>0.17</v>
          </cell>
          <cell r="P181">
            <v>0.17</v>
          </cell>
          <cell r="Q181">
            <v>0.17</v>
          </cell>
          <cell r="R181">
            <v>0.18</v>
          </cell>
          <cell r="S181">
            <v>7.0000000000000007E-2</v>
          </cell>
          <cell r="T181">
            <v>0.18</v>
          </cell>
          <cell r="U181">
            <v>0.18</v>
          </cell>
          <cell r="V181">
            <v>0.2</v>
          </cell>
          <cell r="W181">
            <v>0.18</v>
          </cell>
          <cell r="X181">
            <v>0.17499999999999999</v>
          </cell>
          <cell r="Y181">
            <v>0.17</v>
          </cell>
          <cell r="Z181">
            <v>0.18</v>
          </cell>
          <cell r="AA181">
            <v>0.17</v>
          </cell>
          <cell r="AB181">
            <v>0.18</v>
          </cell>
          <cell r="AC181">
            <v>0.18</v>
          </cell>
          <cell r="AD181">
            <v>0.18</v>
          </cell>
          <cell r="AF181">
            <v>0.1</v>
          </cell>
        </row>
        <row r="182">
          <cell r="C182" t="str">
            <v>8518.10.90</v>
          </cell>
          <cell r="D182">
            <v>0.17</v>
          </cell>
          <cell r="E182">
            <v>0.18</v>
          </cell>
          <cell r="F182">
            <v>0.18</v>
          </cell>
          <cell r="G182">
            <v>0.18</v>
          </cell>
          <cell r="H182">
            <v>0.18</v>
          </cell>
          <cell r="I182">
            <v>0.18</v>
          </cell>
          <cell r="J182">
            <v>0.18</v>
          </cell>
          <cell r="K182">
            <v>0.17</v>
          </cell>
          <cell r="L182">
            <v>0.17</v>
          </cell>
          <cell r="M182">
            <v>0.18</v>
          </cell>
          <cell r="N182">
            <v>0.18</v>
          </cell>
          <cell r="O182">
            <v>0.17</v>
          </cell>
          <cell r="P182">
            <v>0.17</v>
          </cell>
          <cell r="Q182">
            <v>0.17</v>
          </cell>
          <cell r="R182">
            <v>0.18</v>
          </cell>
          <cell r="S182">
            <v>0.18</v>
          </cell>
          <cell r="T182">
            <v>0.18</v>
          </cell>
          <cell r="U182">
            <v>0.18</v>
          </cell>
          <cell r="V182">
            <v>0.2</v>
          </cell>
          <cell r="W182">
            <v>0.18</v>
          </cell>
          <cell r="X182">
            <v>0.17499999999999999</v>
          </cell>
          <cell r="Y182">
            <v>0.17</v>
          </cell>
          <cell r="Z182">
            <v>0.18</v>
          </cell>
          <cell r="AA182">
            <v>0.17</v>
          </cell>
          <cell r="AB182">
            <v>0.18</v>
          </cell>
          <cell r="AC182">
            <v>0.18</v>
          </cell>
          <cell r="AD182">
            <v>0.18</v>
          </cell>
          <cell r="AF182">
            <v>0.15</v>
          </cell>
        </row>
        <row r="183">
          <cell r="C183" t="str">
            <v>8518.21.00</v>
          </cell>
          <cell r="D183">
            <v>0.17</v>
          </cell>
          <cell r="E183">
            <v>0.18</v>
          </cell>
          <cell r="F183">
            <v>0.18</v>
          </cell>
          <cell r="G183">
            <v>0.18</v>
          </cell>
          <cell r="H183">
            <v>0.18</v>
          </cell>
          <cell r="I183">
            <v>0.18</v>
          </cell>
          <cell r="J183">
            <v>0.18</v>
          </cell>
          <cell r="K183">
            <v>0.17</v>
          </cell>
          <cell r="L183">
            <v>0.17</v>
          </cell>
          <cell r="M183">
            <v>0.18</v>
          </cell>
          <cell r="N183">
            <v>0.18</v>
          </cell>
          <cell r="O183">
            <v>0.17</v>
          </cell>
          <cell r="P183">
            <v>0.17</v>
          </cell>
          <cell r="Q183">
            <v>0.17</v>
          </cell>
          <cell r="R183">
            <v>0.18</v>
          </cell>
          <cell r="S183">
            <v>0.18</v>
          </cell>
          <cell r="T183">
            <v>0.18</v>
          </cell>
          <cell r="U183">
            <v>0.18</v>
          </cell>
          <cell r="V183">
            <v>0.2</v>
          </cell>
          <cell r="W183">
            <v>0.18</v>
          </cell>
          <cell r="X183">
            <v>0.17499999999999999</v>
          </cell>
          <cell r="Y183">
            <v>0.17</v>
          </cell>
          <cell r="Z183">
            <v>0.18</v>
          </cell>
          <cell r="AA183">
            <v>0.17</v>
          </cell>
          <cell r="AB183">
            <v>0.18</v>
          </cell>
          <cell r="AC183">
            <v>0.18</v>
          </cell>
          <cell r="AD183">
            <v>0.18</v>
          </cell>
          <cell r="AF183">
            <v>0.15</v>
          </cell>
        </row>
        <row r="184">
          <cell r="C184" t="str">
            <v>8518.22.00</v>
          </cell>
          <cell r="D184">
            <v>0.17</v>
          </cell>
          <cell r="E184">
            <v>0.18</v>
          </cell>
          <cell r="F184">
            <v>0.18</v>
          </cell>
          <cell r="G184">
            <v>0.18</v>
          </cell>
          <cell r="H184">
            <v>0.18</v>
          </cell>
          <cell r="I184">
            <v>0.18</v>
          </cell>
          <cell r="J184">
            <v>0.18</v>
          </cell>
          <cell r="K184">
            <v>0.17</v>
          </cell>
          <cell r="L184">
            <v>0.17</v>
          </cell>
          <cell r="M184">
            <v>0.18</v>
          </cell>
          <cell r="N184">
            <v>0.18</v>
          </cell>
          <cell r="O184">
            <v>0.17</v>
          </cell>
          <cell r="P184">
            <v>0.17</v>
          </cell>
          <cell r="Q184">
            <v>0.17</v>
          </cell>
          <cell r="R184">
            <v>0.18</v>
          </cell>
          <cell r="S184">
            <v>0.18</v>
          </cell>
          <cell r="T184">
            <v>0.18</v>
          </cell>
          <cell r="U184">
            <v>0.18</v>
          </cell>
          <cell r="V184">
            <v>0.2</v>
          </cell>
          <cell r="W184">
            <v>0.18</v>
          </cell>
          <cell r="X184">
            <v>0.17499999999999999</v>
          </cell>
          <cell r="Y184">
            <v>0.17</v>
          </cell>
          <cell r="Z184">
            <v>0.18</v>
          </cell>
          <cell r="AA184">
            <v>0.17</v>
          </cell>
          <cell r="AB184">
            <v>0.18</v>
          </cell>
          <cell r="AC184">
            <v>0.18</v>
          </cell>
          <cell r="AD184">
            <v>0.18</v>
          </cell>
          <cell r="AF184">
            <v>0.15</v>
          </cell>
        </row>
        <row r="185">
          <cell r="C185" t="str">
            <v>8518.29.90</v>
          </cell>
          <cell r="D185">
            <v>0.17</v>
          </cell>
          <cell r="E185">
            <v>0.18</v>
          </cell>
          <cell r="F185">
            <v>0.18</v>
          </cell>
          <cell r="G185">
            <v>0.18</v>
          </cell>
          <cell r="H185">
            <v>0.18</v>
          </cell>
          <cell r="I185">
            <v>0.18</v>
          </cell>
          <cell r="J185">
            <v>0.18</v>
          </cell>
          <cell r="K185">
            <v>0.17</v>
          </cell>
          <cell r="L185">
            <v>0.17</v>
          </cell>
          <cell r="M185">
            <v>0.18</v>
          </cell>
          <cell r="N185">
            <v>0.18</v>
          </cell>
          <cell r="O185">
            <v>0.17</v>
          </cell>
          <cell r="P185">
            <v>0.17</v>
          </cell>
          <cell r="Q185">
            <v>0.17</v>
          </cell>
          <cell r="R185">
            <v>0.18</v>
          </cell>
          <cell r="S185">
            <v>0.18</v>
          </cell>
          <cell r="T185">
            <v>0.18</v>
          </cell>
          <cell r="U185">
            <v>0.18</v>
          </cell>
          <cell r="V185">
            <v>0.2</v>
          </cell>
          <cell r="W185">
            <v>0.18</v>
          </cell>
          <cell r="X185">
            <v>0.17499999999999999</v>
          </cell>
          <cell r="Y185">
            <v>0.17</v>
          </cell>
          <cell r="Z185">
            <v>0.18</v>
          </cell>
          <cell r="AA185">
            <v>0.17</v>
          </cell>
          <cell r="AB185">
            <v>0.18</v>
          </cell>
          <cell r="AC185">
            <v>0.18</v>
          </cell>
          <cell r="AD185">
            <v>0.18</v>
          </cell>
          <cell r="AF185">
            <v>0.15</v>
          </cell>
        </row>
        <row r="186">
          <cell r="C186" t="str">
            <v>8518.30.00</v>
          </cell>
          <cell r="D186">
            <v>0.17</v>
          </cell>
          <cell r="E186">
            <v>0.18</v>
          </cell>
          <cell r="F186">
            <v>0.18</v>
          </cell>
          <cell r="G186">
            <v>0.18</v>
          </cell>
          <cell r="H186">
            <v>0.18</v>
          </cell>
          <cell r="I186">
            <v>0.18</v>
          </cell>
          <cell r="J186">
            <v>0.18</v>
          </cell>
          <cell r="K186">
            <v>0.17</v>
          </cell>
          <cell r="L186">
            <v>0.17</v>
          </cell>
          <cell r="M186">
            <v>0.18</v>
          </cell>
          <cell r="N186">
            <v>0.18</v>
          </cell>
          <cell r="O186">
            <v>0.17</v>
          </cell>
          <cell r="P186">
            <v>0.17</v>
          </cell>
          <cell r="Q186">
            <v>0.17</v>
          </cell>
          <cell r="R186">
            <v>0.18</v>
          </cell>
          <cell r="S186">
            <v>0.18</v>
          </cell>
          <cell r="T186">
            <v>0.18</v>
          </cell>
          <cell r="U186">
            <v>0.18</v>
          </cell>
          <cell r="V186">
            <v>0.2</v>
          </cell>
          <cell r="W186">
            <v>0.18</v>
          </cell>
          <cell r="X186">
            <v>0.17499999999999999</v>
          </cell>
          <cell r="Y186">
            <v>0.17</v>
          </cell>
          <cell r="Z186">
            <v>0.18</v>
          </cell>
          <cell r="AA186">
            <v>0.17</v>
          </cell>
          <cell r="AB186">
            <v>0.18</v>
          </cell>
          <cell r="AC186">
            <v>0.18</v>
          </cell>
          <cell r="AD186">
            <v>0.18</v>
          </cell>
          <cell r="AF186">
            <v>0.15</v>
          </cell>
        </row>
        <row r="187">
          <cell r="C187" t="str">
            <v>8518.40.00</v>
          </cell>
          <cell r="D187">
            <v>0.17</v>
          </cell>
          <cell r="E187">
            <v>0.18</v>
          </cell>
          <cell r="F187">
            <v>0.18</v>
          </cell>
          <cell r="G187">
            <v>0.18</v>
          </cell>
          <cell r="H187">
            <v>0.18</v>
          </cell>
          <cell r="I187">
            <v>0.18</v>
          </cell>
          <cell r="J187">
            <v>0.18</v>
          </cell>
          <cell r="K187">
            <v>0.17</v>
          </cell>
          <cell r="L187">
            <v>0.17</v>
          </cell>
          <cell r="M187">
            <v>0.18</v>
          </cell>
          <cell r="N187">
            <v>0.18</v>
          </cell>
          <cell r="O187">
            <v>0.17</v>
          </cell>
          <cell r="P187">
            <v>0.17</v>
          </cell>
          <cell r="Q187">
            <v>0.17</v>
          </cell>
          <cell r="R187">
            <v>0.18</v>
          </cell>
          <cell r="S187">
            <v>0.18</v>
          </cell>
          <cell r="T187">
            <v>0.18</v>
          </cell>
          <cell r="U187">
            <v>0.18</v>
          </cell>
          <cell r="V187">
            <v>0.2</v>
          </cell>
          <cell r="W187">
            <v>0.18</v>
          </cell>
          <cell r="X187">
            <v>0.17499999999999999</v>
          </cell>
          <cell r="Y187">
            <v>0.17</v>
          </cell>
          <cell r="Z187">
            <v>0.18</v>
          </cell>
          <cell r="AA187">
            <v>0.17</v>
          </cell>
          <cell r="AB187">
            <v>0.18</v>
          </cell>
          <cell r="AC187">
            <v>0.18</v>
          </cell>
          <cell r="AD187">
            <v>0.18</v>
          </cell>
          <cell r="AF187">
            <v>0.15</v>
          </cell>
        </row>
        <row r="188">
          <cell r="C188" t="str">
            <v>8518.50.00</v>
          </cell>
          <cell r="D188">
            <v>0.17</v>
          </cell>
          <cell r="E188">
            <v>0.18</v>
          </cell>
          <cell r="F188">
            <v>0.18</v>
          </cell>
          <cell r="G188">
            <v>0.18</v>
          </cell>
          <cell r="H188">
            <v>0.18</v>
          </cell>
          <cell r="I188">
            <v>0.18</v>
          </cell>
          <cell r="J188">
            <v>0.18</v>
          </cell>
          <cell r="K188">
            <v>0.17</v>
          </cell>
          <cell r="L188">
            <v>0.17</v>
          </cell>
          <cell r="M188">
            <v>0.18</v>
          </cell>
          <cell r="N188">
            <v>0.18</v>
          </cell>
          <cell r="O188">
            <v>0.17</v>
          </cell>
          <cell r="P188">
            <v>0.17</v>
          </cell>
          <cell r="Q188">
            <v>0.17</v>
          </cell>
          <cell r="R188">
            <v>0.18</v>
          </cell>
          <cell r="S188">
            <v>0.18</v>
          </cell>
          <cell r="T188">
            <v>0.18</v>
          </cell>
          <cell r="U188">
            <v>0.18</v>
          </cell>
          <cell r="V188">
            <v>0.2</v>
          </cell>
          <cell r="W188">
            <v>0.18</v>
          </cell>
          <cell r="X188">
            <v>0.17499999999999999</v>
          </cell>
          <cell r="Y188">
            <v>0.17</v>
          </cell>
          <cell r="Z188">
            <v>0.18</v>
          </cell>
          <cell r="AA188">
            <v>0.17</v>
          </cell>
          <cell r="AB188">
            <v>0.18</v>
          </cell>
          <cell r="AC188">
            <v>0.18</v>
          </cell>
          <cell r="AD188">
            <v>0.18</v>
          </cell>
          <cell r="AF188">
            <v>0</v>
          </cell>
        </row>
        <row r="189">
          <cell r="C189" t="str">
            <v>8519.81.90</v>
          </cell>
          <cell r="D189">
            <v>0.17</v>
          </cell>
          <cell r="E189">
            <v>0.18</v>
          </cell>
          <cell r="F189">
            <v>0.18</v>
          </cell>
          <cell r="G189">
            <v>0.18</v>
          </cell>
          <cell r="H189">
            <v>0.18</v>
          </cell>
          <cell r="I189">
            <v>0.18</v>
          </cell>
          <cell r="J189">
            <v>0.18</v>
          </cell>
          <cell r="K189">
            <v>0.17</v>
          </cell>
          <cell r="L189">
            <v>0.17</v>
          </cell>
          <cell r="M189">
            <v>0.18</v>
          </cell>
          <cell r="N189">
            <v>0.18</v>
          </cell>
          <cell r="O189">
            <v>0.17</v>
          </cell>
          <cell r="P189">
            <v>0.17</v>
          </cell>
          <cell r="Q189">
            <v>0.17</v>
          </cell>
          <cell r="R189">
            <v>0.18</v>
          </cell>
          <cell r="S189">
            <v>0.18</v>
          </cell>
          <cell r="T189">
            <v>0.18</v>
          </cell>
          <cell r="U189">
            <v>0.18</v>
          </cell>
          <cell r="V189">
            <v>0.2</v>
          </cell>
          <cell r="W189">
            <v>0.18</v>
          </cell>
          <cell r="X189">
            <v>0.17499999999999999</v>
          </cell>
          <cell r="Y189">
            <v>0.17</v>
          </cell>
          <cell r="Z189">
            <v>0.18</v>
          </cell>
          <cell r="AA189">
            <v>0.17</v>
          </cell>
          <cell r="AB189">
            <v>0.18</v>
          </cell>
          <cell r="AC189">
            <v>0.18</v>
          </cell>
          <cell r="AD189">
            <v>0.18</v>
          </cell>
          <cell r="AF189">
            <v>0.25</v>
          </cell>
        </row>
        <row r="190">
          <cell r="C190" t="str">
            <v>8521.90.10</v>
          </cell>
          <cell r="D190">
            <v>0.17</v>
          </cell>
          <cell r="E190">
            <v>0.18</v>
          </cell>
          <cell r="F190">
            <v>0.18</v>
          </cell>
          <cell r="G190">
            <v>0.18</v>
          </cell>
          <cell r="H190">
            <v>0.18</v>
          </cell>
          <cell r="I190">
            <v>0.18</v>
          </cell>
          <cell r="J190">
            <v>0.18</v>
          </cell>
          <cell r="K190">
            <v>0.17</v>
          </cell>
          <cell r="L190">
            <v>0.17</v>
          </cell>
          <cell r="M190">
            <v>0.18</v>
          </cell>
          <cell r="N190">
            <v>0.18</v>
          </cell>
          <cell r="O190">
            <v>0.17</v>
          </cell>
          <cell r="P190">
            <v>0.17</v>
          </cell>
          <cell r="Q190">
            <v>0.17</v>
          </cell>
          <cell r="R190">
            <v>0.18</v>
          </cell>
          <cell r="S190">
            <v>0.18</v>
          </cell>
          <cell r="T190">
            <v>0.18</v>
          </cell>
          <cell r="U190">
            <v>0.18</v>
          </cell>
          <cell r="V190">
            <v>0.2</v>
          </cell>
          <cell r="W190">
            <v>0.18</v>
          </cell>
          <cell r="X190">
            <v>0.17499999999999999</v>
          </cell>
          <cell r="Y190">
            <v>0.17</v>
          </cell>
          <cell r="Z190">
            <v>0.18</v>
          </cell>
          <cell r="AA190">
            <v>0.17</v>
          </cell>
          <cell r="AB190">
            <v>0.18</v>
          </cell>
          <cell r="AC190">
            <v>0.18</v>
          </cell>
          <cell r="AD190">
            <v>0.18</v>
          </cell>
          <cell r="AF190">
            <v>0.05</v>
          </cell>
        </row>
        <row r="191">
          <cell r="C191" t="str">
            <v>8521.90.90</v>
          </cell>
          <cell r="D191">
            <v>0.17</v>
          </cell>
          <cell r="E191">
            <v>0.18</v>
          </cell>
          <cell r="F191">
            <v>0.18</v>
          </cell>
          <cell r="G191">
            <v>0.18</v>
          </cell>
          <cell r="H191">
            <v>0.18</v>
          </cell>
          <cell r="I191">
            <v>0.18</v>
          </cell>
          <cell r="J191">
            <v>0.18</v>
          </cell>
          <cell r="K191">
            <v>0.17</v>
          </cell>
          <cell r="L191">
            <v>0.17</v>
          </cell>
          <cell r="M191">
            <v>0.18</v>
          </cell>
          <cell r="N191">
            <v>0.18</v>
          </cell>
          <cell r="O191">
            <v>0.17</v>
          </cell>
          <cell r="P191">
            <v>0.17</v>
          </cell>
          <cell r="Q191">
            <v>0.17</v>
          </cell>
          <cell r="R191">
            <v>0.18</v>
          </cell>
          <cell r="S191">
            <v>0.18</v>
          </cell>
          <cell r="T191">
            <v>0.18</v>
          </cell>
          <cell r="U191">
            <v>0.18</v>
          </cell>
          <cell r="V191">
            <v>0.2</v>
          </cell>
          <cell r="W191">
            <v>0.18</v>
          </cell>
          <cell r="X191">
            <v>0.17499999999999999</v>
          </cell>
          <cell r="Y191">
            <v>0.17</v>
          </cell>
          <cell r="Z191">
            <v>0.18</v>
          </cell>
          <cell r="AA191">
            <v>0.17</v>
          </cell>
          <cell r="AB191">
            <v>0.18</v>
          </cell>
          <cell r="AC191">
            <v>0.18</v>
          </cell>
          <cell r="AD191">
            <v>0.18</v>
          </cell>
          <cell r="AF191">
            <v>0.15</v>
          </cell>
        </row>
        <row r="192">
          <cell r="C192" t="str">
            <v>8522.90.30</v>
          </cell>
          <cell r="D192">
            <v>0.17</v>
          </cell>
          <cell r="E192">
            <v>0.18</v>
          </cell>
          <cell r="F192">
            <v>0.18</v>
          </cell>
          <cell r="G192">
            <v>0.18</v>
          </cell>
          <cell r="H192">
            <v>0.18</v>
          </cell>
          <cell r="I192">
            <v>0.18</v>
          </cell>
          <cell r="J192">
            <v>0.18</v>
          </cell>
          <cell r="K192">
            <v>0.17</v>
          </cell>
          <cell r="L192">
            <v>0.17</v>
          </cell>
          <cell r="M192">
            <v>0.18</v>
          </cell>
          <cell r="N192">
            <v>0.18</v>
          </cell>
          <cell r="O192">
            <v>0.17</v>
          </cell>
          <cell r="P192">
            <v>0.17</v>
          </cell>
          <cell r="Q192">
            <v>0.17</v>
          </cell>
          <cell r="R192">
            <v>0.18</v>
          </cell>
          <cell r="S192">
            <v>0.18</v>
          </cell>
          <cell r="T192">
            <v>0.18</v>
          </cell>
          <cell r="U192">
            <v>0.18</v>
          </cell>
          <cell r="V192">
            <v>0.2</v>
          </cell>
          <cell r="W192">
            <v>0.18</v>
          </cell>
          <cell r="X192">
            <v>0.17499999999999999</v>
          </cell>
          <cell r="Y192">
            <v>0.17</v>
          </cell>
          <cell r="Z192">
            <v>0.18</v>
          </cell>
          <cell r="AA192">
            <v>0.17</v>
          </cell>
          <cell r="AB192">
            <v>0.18</v>
          </cell>
          <cell r="AC192">
            <v>0.18</v>
          </cell>
          <cell r="AD192">
            <v>0.18</v>
          </cell>
          <cell r="AF192">
            <v>0.25</v>
          </cell>
        </row>
        <row r="193">
          <cell r="C193" t="str">
            <v>8523.29.23</v>
          </cell>
          <cell r="D193">
            <v>0.17</v>
          </cell>
          <cell r="E193">
            <v>0.18</v>
          </cell>
          <cell r="F193">
            <v>0.18</v>
          </cell>
          <cell r="G193">
            <v>0.18</v>
          </cell>
          <cell r="H193">
            <v>0.18</v>
          </cell>
          <cell r="I193">
            <v>0.18</v>
          </cell>
          <cell r="J193">
            <v>0.18</v>
          </cell>
          <cell r="K193">
            <v>0.17</v>
          </cell>
          <cell r="L193">
            <v>0.17</v>
          </cell>
          <cell r="M193">
            <v>0.18</v>
          </cell>
          <cell r="N193">
            <v>0.18</v>
          </cell>
          <cell r="O193">
            <v>0.17</v>
          </cell>
          <cell r="P193">
            <v>0.17</v>
          </cell>
          <cell r="Q193">
            <v>0.17</v>
          </cell>
          <cell r="R193">
            <v>0.18</v>
          </cell>
          <cell r="S193">
            <v>0.18</v>
          </cell>
          <cell r="T193">
            <v>0.12</v>
          </cell>
          <cell r="U193">
            <v>0.18</v>
          </cell>
          <cell r="V193">
            <v>0.2</v>
          </cell>
          <cell r="W193">
            <v>0.18</v>
          </cell>
          <cell r="X193">
            <v>0.17499999999999999</v>
          </cell>
          <cell r="Y193">
            <v>0.17</v>
          </cell>
          <cell r="Z193">
            <v>0.18</v>
          </cell>
          <cell r="AA193">
            <v>0.17</v>
          </cell>
          <cell r="AB193">
            <v>7.0000000000000007E-2</v>
          </cell>
          <cell r="AC193">
            <v>0.18</v>
          </cell>
          <cell r="AD193">
            <v>0.18</v>
          </cell>
          <cell r="AF193">
            <v>0.25</v>
          </cell>
        </row>
        <row r="194">
          <cell r="C194" t="str">
            <v>8523.29.29</v>
          </cell>
          <cell r="D194">
            <v>0.17</v>
          </cell>
          <cell r="E194">
            <v>0.18</v>
          </cell>
          <cell r="F194">
            <v>0.18</v>
          </cell>
          <cell r="G194">
            <v>0.18</v>
          </cell>
          <cell r="H194">
            <v>0.18</v>
          </cell>
          <cell r="I194">
            <v>0.18</v>
          </cell>
          <cell r="J194">
            <v>0.18</v>
          </cell>
          <cell r="K194">
            <v>0.17</v>
          </cell>
          <cell r="L194">
            <v>0.17</v>
          </cell>
          <cell r="M194">
            <v>0.18</v>
          </cell>
          <cell r="N194">
            <v>0.18</v>
          </cell>
          <cell r="O194">
            <v>0.17</v>
          </cell>
          <cell r="P194">
            <v>0.17</v>
          </cell>
          <cell r="Q194">
            <v>0.17</v>
          </cell>
          <cell r="R194">
            <v>0.18</v>
          </cell>
          <cell r="S194">
            <v>7.0000000000000007E-2</v>
          </cell>
          <cell r="T194">
            <v>0.12</v>
          </cell>
          <cell r="U194">
            <v>0.18</v>
          </cell>
          <cell r="V194">
            <v>0.2</v>
          </cell>
          <cell r="W194">
            <v>0.18</v>
          </cell>
          <cell r="X194">
            <v>0.17499999999999999</v>
          </cell>
          <cell r="Y194">
            <v>0.17</v>
          </cell>
          <cell r="Z194">
            <v>0.18</v>
          </cell>
          <cell r="AA194">
            <v>0.17</v>
          </cell>
          <cell r="AB194">
            <v>7.0000000000000007E-2</v>
          </cell>
          <cell r="AC194">
            <v>0.18</v>
          </cell>
          <cell r="AD194">
            <v>0.18</v>
          </cell>
          <cell r="AF194">
            <v>0.25</v>
          </cell>
        </row>
        <row r="195">
          <cell r="C195" t="str">
            <v>8523.49.20</v>
          </cell>
          <cell r="D195">
            <v>0.17</v>
          </cell>
          <cell r="E195">
            <v>0.18</v>
          </cell>
          <cell r="F195">
            <v>0.18</v>
          </cell>
          <cell r="G195">
            <v>0.18</v>
          </cell>
          <cell r="H195">
            <v>0.18</v>
          </cell>
          <cell r="I195">
            <v>0.18</v>
          </cell>
          <cell r="J195">
            <v>0.18</v>
          </cell>
          <cell r="K195">
            <v>0.17</v>
          </cell>
          <cell r="L195">
            <v>0.17</v>
          </cell>
          <cell r="M195">
            <v>0.18</v>
          </cell>
          <cell r="N195">
            <v>0.18</v>
          </cell>
          <cell r="O195">
            <v>0.17</v>
          </cell>
          <cell r="P195">
            <v>0.17</v>
          </cell>
          <cell r="Q195">
            <v>0.17</v>
          </cell>
          <cell r="R195">
            <v>0.18</v>
          </cell>
          <cell r="S195">
            <v>0.18</v>
          </cell>
          <cell r="T195">
            <v>0.18</v>
          </cell>
          <cell r="U195">
            <v>0.18</v>
          </cell>
          <cell r="V195">
            <v>0.2</v>
          </cell>
          <cell r="W195">
            <v>0.18</v>
          </cell>
          <cell r="X195">
            <v>0.17499999999999999</v>
          </cell>
          <cell r="Y195">
            <v>0.17</v>
          </cell>
          <cell r="Z195">
            <v>0.18</v>
          </cell>
          <cell r="AA195">
            <v>0.17</v>
          </cell>
          <cell r="AB195">
            <v>0.18</v>
          </cell>
          <cell r="AC195">
            <v>0.18</v>
          </cell>
          <cell r="AD195">
            <v>0.18</v>
          </cell>
          <cell r="AF195">
            <v>0.15</v>
          </cell>
        </row>
        <row r="196">
          <cell r="C196" t="str">
            <v>8523.49.90</v>
          </cell>
          <cell r="D196">
            <v>0.17</v>
          </cell>
          <cell r="E196">
            <v>0.18</v>
          </cell>
          <cell r="F196">
            <v>0.18</v>
          </cell>
          <cell r="G196">
            <v>0.18</v>
          </cell>
          <cell r="H196">
            <v>0.18</v>
          </cell>
          <cell r="I196">
            <v>0.18</v>
          </cell>
          <cell r="J196">
            <v>0.18</v>
          </cell>
          <cell r="K196">
            <v>0.17</v>
          </cell>
          <cell r="L196">
            <v>0.17</v>
          </cell>
          <cell r="M196">
            <v>0.18</v>
          </cell>
          <cell r="N196">
            <v>0.18</v>
          </cell>
          <cell r="O196">
            <v>0.17</v>
          </cell>
          <cell r="P196">
            <v>0.17</v>
          </cell>
          <cell r="Q196">
            <v>0.17</v>
          </cell>
          <cell r="R196">
            <v>0.18</v>
          </cell>
          <cell r="S196">
            <v>0.18</v>
          </cell>
          <cell r="T196">
            <v>0.18</v>
          </cell>
          <cell r="U196">
            <v>0.18</v>
          </cell>
          <cell r="V196">
            <v>0.2</v>
          </cell>
          <cell r="W196">
            <v>0.18</v>
          </cell>
          <cell r="X196">
            <v>0.17499999999999999</v>
          </cell>
          <cell r="Y196">
            <v>0.17</v>
          </cell>
          <cell r="Z196">
            <v>0.18</v>
          </cell>
          <cell r="AA196">
            <v>0.17</v>
          </cell>
          <cell r="AB196">
            <v>0.18</v>
          </cell>
          <cell r="AC196">
            <v>0.18</v>
          </cell>
          <cell r="AD196">
            <v>0.18</v>
          </cell>
          <cell r="AF196">
            <v>0.15</v>
          </cell>
        </row>
        <row r="197">
          <cell r="C197" t="str">
            <v>8523.51.10</v>
          </cell>
          <cell r="D197">
            <v>0.17</v>
          </cell>
          <cell r="E197">
            <v>0.18</v>
          </cell>
          <cell r="F197">
            <v>0.18</v>
          </cell>
          <cell r="G197">
            <v>0.18</v>
          </cell>
          <cell r="H197">
            <v>0.18</v>
          </cell>
          <cell r="I197">
            <v>0.18</v>
          </cell>
          <cell r="J197">
            <v>0.18</v>
          </cell>
          <cell r="K197">
            <v>0.17</v>
          </cell>
          <cell r="L197">
            <v>0.17</v>
          </cell>
          <cell r="M197">
            <v>0.18</v>
          </cell>
          <cell r="N197">
            <v>0.18</v>
          </cell>
          <cell r="O197">
            <v>0.17</v>
          </cell>
          <cell r="P197">
            <v>0.17</v>
          </cell>
          <cell r="Q197">
            <v>0.17</v>
          </cell>
          <cell r="R197">
            <v>0.18</v>
          </cell>
          <cell r="S197">
            <v>0.12</v>
          </cell>
          <cell r="T197">
            <v>0.12</v>
          </cell>
          <cell r="U197">
            <v>0.18</v>
          </cell>
          <cell r="V197">
            <v>0.2</v>
          </cell>
          <cell r="W197">
            <v>0.18</v>
          </cell>
          <cell r="X197">
            <v>0.17499999999999999</v>
          </cell>
          <cell r="Y197">
            <v>0.17</v>
          </cell>
          <cell r="Z197">
            <v>0.18</v>
          </cell>
          <cell r="AA197">
            <v>0.17</v>
          </cell>
          <cell r="AB197">
            <v>0.18</v>
          </cell>
          <cell r="AC197">
            <v>0.18</v>
          </cell>
          <cell r="AD197">
            <v>0.18</v>
          </cell>
          <cell r="AF197">
            <v>0.15</v>
          </cell>
        </row>
        <row r="198">
          <cell r="C198" t="str">
            <v>8523.51.90</v>
          </cell>
          <cell r="D198">
            <v>0.17</v>
          </cell>
          <cell r="E198">
            <v>0.18</v>
          </cell>
          <cell r="F198">
            <v>0.18</v>
          </cell>
          <cell r="G198">
            <v>0.18</v>
          </cell>
          <cell r="H198">
            <v>0.18</v>
          </cell>
          <cell r="I198">
            <v>0.18</v>
          </cell>
          <cell r="J198">
            <v>0.18</v>
          </cell>
          <cell r="K198">
            <v>0.17</v>
          </cell>
          <cell r="L198">
            <v>0.17</v>
          </cell>
          <cell r="M198">
            <v>0.18</v>
          </cell>
          <cell r="N198">
            <v>0.18</v>
          </cell>
          <cell r="O198">
            <v>0.17</v>
          </cell>
          <cell r="P198">
            <v>0.17</v>
          </cell>
          <cell r="Q198">
            <v>0.17</v>
          </cell>
          <cell r="R198">
            <v>0.18</v>
          </cell>
          <cell r="S198">
            <v>0.12</v>
          </cell>
          <cell r="T198">
            <v>0.12</v>
          </cell>
          <cell r="U198">
            <v>0.18</v>
          </cell>
          <cell r="V198">
            <v>0.2</v>
          </cell>
          <cell r="W198">
            <v>0.18</v>
          </cell>
          <cell r="X198">
            <v>0.17499999999999999</v>
          </cell>
          <cell r="Y198">
            <v>0.17</v>
          </cell>
          <cell r="Z198">
            <v>0.18</v>
          </cell>
          <cell r="AA198">
            <v>0.17</v>
          </cell>
          <cell r="AB198">
            <v>0.18</v>
          </cell>
          <cell r="AC198">
            <v>0.18</v>
          </cell>
          <cell r="AD198">
            <v>0.18</v>
          </cell>
          <cell r="AF198">
            <v>0.15</v>
          </cell>
        </row>
        <row r="199">
          <cell r="C199" t="str">
            <v>8523.52.00</v>
          </cell>
          <cell r="D199">
            <v>0.17</v>
          </cell>
          <cell r="E199">
            <v>0.18</v>
          </cell>
          <cell r="F199">
            <v>0.18</v>
          </cell>
          <cell r="G199">
            <v>0.18</v>
          </cell>
          <cell r="H199">
            <v>0.18</v>
          </cell>
          <cell r="I199">
            <v>0.18</v>
          </cell>
          <cell r="J199">
            <v>0.18</v>
          </cell>
          <cell r="K199">
            <v>0.17</v>
          </cell>
          <cell r="L199">
            <v>0.17</v>
          </cell>
          <cell r="M199">
            <v>0.18</v>
          </cell>
          <cell r="N199">
            <v>0.18</v>
          </cell>
          <cell r="O199">
            <v>0.17</v>
          </cell>
          <cell r="P199">
            <v>0.17</v>
          </cell>
          <cell r="Q199">
            <v>0.17</v>
          </cell>
          <cell r="R199">
            <v>0.18</v>
          </cell>
          <cell r="S199">
            <v>7.0000000000000007E-2</v>
          </cell>
          <cell r="T199">
            <v>0.12</v>
          </cell>
          <cell r="U199">
            <v>0.18</v>
          </cell>
          <cell r="V199">
            <v>0.2</v>
          </cell>
          <cell r="W199">
            <v>0.18</v>
          </cell>
          <cell r="X199">
            <v>0.17499999999999999</v>
          </cell>
          <cell r="Y199">
            <v>0.17</v>
          </cell>
          <cell r="Z199">
            <v>0.18</v>
          </cell>
          <cell r="AA199">
            <v>0.17</v>
          </cell>
          <cell r="AB199">
            <v>0.18</v>
          </cell>
          <cell r="AC199">
            <v>0.18</v>
          </cell>
          <cell r="AD199">
            <v>0.18</v>
          </cell>
          <cell r="AF199">
            <v>0.05</v>
          </cell>
        </row>
        <row r="200">
          <cell r="C200" t="str">
            <v>8525.50.19</v>
          </cell>
          <cell r="D200">
            <v>0.17</v>
          </cell>
          <cell r="E200">
            <v>0.18</v>
          </cell>
          <cell r="F200">
            <v>0.18</v>
          </cell>
          <cell r="G200">
            <v>0.18</v>
          </cell>
          <cell r="H200">
            <v>0.18</v>
          </cell>
          <cell r="I200">
            <v>0.18</v>
          </cell>
          <cell r="J200">
            <v>0.18</v>
          </cell>
          <cell r="K200">
            <v>0.17</v>
          </cell>
          <cell r="L200">
            <v>0.17</v>
          </cell>
          <cell r="M200">
            <v>0.18</v>
          </cell>
          <cell r="N200">
            <v>0.18</v>
          </cell>
          <cell r="O200">
            <v>0.17</v>
          </cell>
          <cell r="P200">
            <v>0.17</v>
          </cell>
          <cell r="Q200">
            <v>0.17</v>
          </cell>
          <cell r="R200">
            <v>0.18</v>
          </cell>
          <cell r="S200">
            <v>0.18</v>
          </cell>
          <cell r="T200">
            <v>0.18</v>
          </cell>
          <cell r="U200">
            <v>0.18</v>
          </cell>
          <cell r="V200">
            <v>0.2</v>
          </cell>
          <cell r="W200">
            <v>0.18</v>
          </cell>
          <cell r="X200">
            <v>0.17499999999999999</v>
          </cell>
          <cell r="Y200">
            <v>0.17</v>
          </cell>
          <cell r="Z200">
            <v>0.18</v>
          </cell>
          <cell r="AA200">
            <v>0.17</v>
          </cell>
          <cell r="AB200">
            <v>0.18</v>
          </cell>
          <cell r="AC200">
            <v>0.18</v>
          </cell>
          <cell r="AD200">
            <v>0.18</v>
          </cell>
          <cell r="AF200">
            <v>0.15</v>
          </cell>
        </row>
        <row r="201">
          <cell r="C201" t="str">
            <v>8525.50.29</v>
          </cell>
          <cell r="D201">
            <v>0.17</v>
          </cell>
          <cell r="E201">
            <v>0.18</v>
          </cell>
          <cell r="F201">
            <v>0.18</v>
          </cell>
          <cell r="G201">
            <v>0.18</v>
          </cell>
          <cell r="H201">
            <v>0.18</v>
          </cell>
          <cell r="I201">
            <v>0.18</v>
          </cell>
          <cell r="J201">
            <v>0.18</v>
          </cell>
          <cell r="K201">
            <v>0.17</v>
          </cell>
          <cell r="L201">
            <v>0.17</v>
          </cell>
          <cell r="M201">
            <v>0.18</v>
          </cell>
          <cell r="N201">
            <v>0.18</v>
          </cell>
          <cell r="O201">
            <v>0.17</v>
          </cell>
          <cell r="P201">
            <v>0.17</v>
          </cell>
          <cell r="Q201">
            <v>0.17</v>
          </cell>
          <cell r="R201">
            <v>0.18</v>
          </cell>
          <cell r="S201">
            <v>0.18</v>
          </cell>
          <cell r="T201">
            <v>0.18</v>
          </cell>
          <cell r="U201">
            <v>0.18</v>
          </cell>
          <cell r="V201">
            <v>0.2</v>
          </cell>
          <cell r="W201">
            <v>0.18</v>
          </cell>
          <cell r="X201">
            <v>0.17499999999999999</v>
          </cell>
          <cell r="Y201">
            <v>0.17</v>
          </cell>
          <cell r="Z201">
            <v>0.18</v>
          </cell>
          <cell r="AA201">
            <v>0.17</v>
          </cell>
          <cell r="AB201">
            <v>0.18</v>
          </cell>
          <cell r="AC201">
            <v>0.18</v>
          </cell>
          <cell r="AD201">
            <v>0.18</v>
          </cell>
          <cell r="AF201">
            <v>0.15</v>
          </cell>
        </row>
        <row r="202">
          <cell r="C202" t="str">
            <v>8525.60.10</v>
          </cell>
          <cell r="D202">
            <v>0.17</v>
          </cell>
          <cell r="E202">
            <v>0.18</v>
          </cell>
          <cell r="F202">
            <v>0.18</v>
          </cell>
          <cell r="G202">
            <v>0.18</v>
          </cell>
          <cell r="H202">
            <v>0.18</v>
          </cell>
          <cell r="I202">
            <v>0.18</v>
          </cell>
          <cell r="J202">
            <v>0.18</v>
          </cell>
          <cell r="K202">
            <v>0.17</v>
          </cell>
          <cell r="L202">
            <v>0.17</v>
          </cell>
          <cell r="M202">
            <v>0.18</v>
          </cell>
          <cell r="N202">
            <v>0.18</v>
          </cell>
          <cell r="O202">
            <v>0.17</v>
          </cell>
          <cell r="P202">
            <v>0.17</v>
          </cell>
          <cell r="Q202">
            <v>0.17</v>
          </cell>
          <cell r="R202">
            <v>0.18</v>
          </cell>
          <cell r="S202">
            <v>0.18</v>
          </cell>
          <cell r="T202">
            <v>0.18</v>
          </cell>
          <cell r="U202">
            <v>0.18</v>
          </cell>
          <cell r="V202">
            <v>0.2</v>
          </cell>
          <cell r="W202">
            <v>0.18</v>
          </cell>
          <cell r="X202">
            <v>0.17499999999999999</v>
          </cell>
          <cell r="Y202">
            <v>0.17</v>
          </cell>
          <cell r="Z202">
            <v>0.18</v>
          </cell>
          <cell r="AA202">
            <v>0.17</v>
          </cell>
          <cell r="AB202">
            <v>0.18</v>
          </cell>
          <cell r="AC202">
            <v>0.18</v>
          </cell>
          <cell r="AD202">
            <v>0.18</v>
          </cell>
          <cell r="AF202">
            <v>0.15</v>
          </cell>
        </row>
        <row r="203">
          <cell r="C203" t="str">
            <v>8525.80.12</v>
          </cell>
          <cell r="D203">
            <v>0.17</v>
          </cell>
          <cell r="E203">
            <v>0.18</v>
          </cell>
          <cell r="F203">
            <v>0.18</v>
          </cell>
          <cell r="G203">
            <v>0.18</v>
          </cell>
          <cell r="H203">
            <v>0.18</v>
          </cell>
          <cell r="I203">
            <v>0.18</v>
          </cell>
          <cell r="J203">
            <v>0.18</v>
          </cell>
          <cell r="K203">
            <v>0.17</v>
          </cell>
          <cell r="L203">
            <v>0.17</v>
          </cell>
          <cell r="M203">
            <v>0.18</v>
          </cell>
          <cell r="N203">
            <v>0.18</v>
          </cell>
          <cell r="O203">
            <v>0.17</v>
          </cell>
          <cell r="P203">
            <v>0.17</v>
          </cell>
          <cell r="Q203">
            <v>0.17</v>
          </cell>
          <cell r="R203">
            <v>0.18</v>
          </cell>
          <cell r="S203">
            <v>0.18</v>
          </cell>
          <cell r="T203">
            <v>0.18</v>
          </cell>
          <cell r="U203">
            <v>0.18</v>
          </cell>
          <cell r="V203">
            <v>0.2</v>
          </cell>
          <cell r="W203">
            <v>0.18</v>
          </cell>
          <cell r="X203">
            <v>0.17499999999999999</v>
          </cell>
          <cell r="Y203">
            <v>0.17</v>
          </cell>
          <cell r="Z203">
            <v>0.18</v>
          </cell>
          <cell r="AA203">
            <v>0.17</v>
          </cell>
          <cell r="AB203">
            <v>0.18</v>
          </cell>
          <cell r="AC203">
            <v>0.18</v>
          </cell>
          <cell r="AD203">
            <v>0.18</v>
          </cell>
          <cell r="AF203">
            <v>0.2</v>
          </cell>
        </row>
        <row r="204">
          <cell r="C204" t="str">
            <v>8525.80.13</v>
          </cell>
          <cell r="D204">
            <v>0.17</v>
          </cell>
          <cell r="E204">
            <v>0.18</v>
          </cell>
          <cell r="F204">
            <v>0.18</v>
          </cell>
          <cell r="G204">
            <v>0.18</v>
          </cell>
          <cell r="H204">
            <v>0.18</v>
          </cell>
          <cell r="I204">
            <v>0.18</v>
          </cell>
          <cell r="J204">
            <v>0.18</v>
          </cell>
          <cell r="K204">
            <v>0.17</v>
          </cell>
          <cell r="L204">
            <v>0.17</v>
          </cell>
          <cell r="M204">
            <v>0.18</v>
          </cell>
          <cell r="N204">
            <v>0.18</v>
          </cell>
          <cell r="O204">
            <v>0.17</v>
          </cell>
          <cell r="P204">
            <v>0.17</v>
          </cell>
          <cell r="Q204">
            <v>0.17</v>
          </cell>
          <cell r="R204">
            <v>0.18</v>
          </cell>
          <cell r="S204">
            <v>0.18</v>
          </cell>
          <cell r="T204">
            <v>0.18</v>
          </cell>
          <cell r="U204">
            <v>0.18</v>
          </cell>
          <cell r="V204">
            <v>0.2</v>
          </cell>
          <cell r="W204">
            <v>0.18</v>
          </cell>
          <cell r="X204">
            <v>0.17499999999999999</v>
          </cell>
          <cell r="Y204">
            <v>0.17</v>
          </cell>
          <cell r="Z204">
            <v>0.18</v>
          </cell>
          <cell r="AA204">
            <v>0.17</v>
          </cell>
          <cell r="AB204">
            <v>0.18</v>
          </cell>
          <cell r="AC204">
            <v>0.18</v>
          </cell>
          <cell r="AD204">
            <v>0.18</v>
          </cell>
          <cell r="AF204">
            <v>0.2</v>
          </cell>
        </row>
        <row r="205">
          <cell r="C205" t="str">
            <v>8525.80.19</v>
          </cell>
          <cell r="D205">
            <v>0.17</v>
          </cell>
          <cell r="E205">
            <v>0.18</v>
          </cell>
          <cell r="F205">
            <v>0.18</v>
          </cell>
          <cell r="G205">
            <v>0.18</v>
          </cell>
          <cell r="H205">
            <v>0.18</v>
          </cell>
          <cell r="I205">
            <v>0.18</v>
          </cell>
          <cell r="J205">
            <v>0.18</v>
          </cell>
          <cell r="K205">
            <v>0.17</v>
          </cell>
          <cell r="L205">
            <v>0.17</v>
          </cell>
          <cell r="M205">
            <v>0.18</v>
          </cell>
          <cell r="N205">
            <v>0.18</v>
          </cell>
          <cell r="O205">
            <v>0.17</v>
          </cell>
          <cell r="P205">
            <v>0.17</v>
          </cell>
          <cell r="Q205">
            <v>0.17</v>
          </cell>
          <cell r="R205">
            <v>0.18</v>
          </cell>
          <cell r="S205">
            <v>0.18</v>
          </cell>
          <cell r="T205">
            <v>0.18</v>
          </cell>
          <cell r="U205">
            <v>0.18</v>
          </cell>
          <cell r="V205">
            <v>0.2</v>
          </cell>
          <cell r="W205">
            <v>0.18</v>
          </cell>
          <cell r="X205">
            <v>0.17499999999999999</v>
          </cell>
          <cell r="Y205">
            <v>0.17</v>
          </cell>
          <cell r="Z205">
            <v>0.18</v>
          </cell>
          <cell r="AA205">
            <v>0.17</v>
          </cell>
          <cell r="AB205">
            <v>0.18</v>
          </cell>
          <cell r="AC205">
            <v>0.18</v>
          </cell>
          <cell r="AD205">
            <v>0.18</v>
          </cell>
          <cell r="AF205">
            <v>0.2</v>
          </cell>
        </row>
        <row r="206">
          <cell r="C206" t="str">
            <v>8525.80.29</v>
          </cell>
          <cell r="D206">
            <v>0.17</v>
          </cell>
          <cell r="E206">
            <v>0.18</v>
          </cell>
          <cell r="F206">
            <v>0.18</v>
          </cell>
          <cell r="G206">
            <v>0.18</v>
          </cell>
          <cell r="H206">
            <v>0.18</v>
          </cell>
          <cell r="I206">
            <v>0.18</v>
          </cell>
          <cell r="J206">
            <v>0.18</v>
          </cell>
          <cell r="K206">
            <v>0.17</v>
          </cell>
          <cell r="L206">
            <v>0.17</v>
          </cell>
          <cell r="M206">
            <v>0.18</v>
          </cell>
          <cell r="N206">
            <v>0.18</v>
          </cell>
          <cell r="O206">
            <v>0.17</v>
          </cell>
          <cell r="P206">
            <v>0.17</v>
          </cell>
          <cell r="Q206">
            <v>0.17</v>
          </cell>
          <cell r="R206">
            <v>0.18</v>
          </cell>
          <cell r="S206">
            <v>0.18</v>
          </cell>
          <cell r="T206">
            <v>0.18</v>
          </cell>
          <cell r="U206">
            <v>0.18</v>
          </cell>
          <cell r="V206">
            <v>0.2</v>
          </cell>
          <cell r="W206">
            <v>0.18</v>
          </cell>
          <cell r="X206">
            <v>0.17499999999999999</v>
          </cell>
          <cell r="Y206">
            <v>0.17</v>
          </cell>
          <cell r="Z206">
            <v>0.18</v>
          </cell>
          <cell r="AA206">
            <v>0.17</v>
          </cell>
          <cell r="AB206">
            <v>0.18</v>
          </cell>
          <cell r="AC206">
            <v>0.18</v>
          </cell>
          <cell r="AD206">
            <v>0.18</v>
          </cell>
          <cell r="AF206">
            <v>0.2</v>
          </cell>
        </row>
        <row r="207">
          <cell r="C207" t="str">
            <v>8526.91.00</v>
          </cell>
          <cell r="D207">
            <v>0.17</v>
          </cell>
          <cell r="E207">
            <v>0.18</v>
          </cell>
          <cell r="F207">
            <v>0.18</v>
          </cell>
          <cell r="G207">
            <v>0.18</v>
          </cell>
          <cell r="H207">
            <v>0.18</v>
          </cell>
          <cell r="I207">
            <v>0.18</v>
          </cell>
          <cell r="J207">
            <v>0.18</v>
          </cell>
          <cell r="K207">
            <v>0.17</v>
          </cell>
          <cell r="L207">
            <v>0.17</v>
          </cell>
          <cell r="M207">
            <v>0.18</v>
          </cell>
          <cell r="N207">
            <v>0.18</v>
          </cell>
          <cell r="O207">
            <v>0.17</v>
          </cell>
          <cell r="P207">
            <v>0.17</v>
          </cell>
          <cell r="Q207">
            <v>0.17</v>
          </cell>
          <cell r="R207">
            <v>0.18</v>
          </cell>
          <cell r="S207">
            <v>0.18</v>
          </cell>
          <cell r="T207">
            <v>0.18</v>
          </cell>
          <cell r="U207">
            <v>0.18</v>
          </cell>
          <cell r="V207">
            <v>0.2</v>
          </cell>
          <cell r="W207">
            <v>0.18</v>
          </cell>
          <cell r="X207">
            <v>0.17499999999999999</v>
          </cell>
          <cell r="Y207">
            <v>0.17</v>
          </cell>
          <cell r="Z207">
            <v>0.18</v>
          </cell>
          <cell r="AA207">
            <v>0.17</v>
          </cell>
          <cell r="AB207">
            <v>0.18</v>
          </cell>
          <cell r="AC207">
            <v>0.18</v>
          </cell>
          <cell r="AD207">
            <v>0.18</v>
          </cell>
          <cell r="AF207">
            <v>0.2</v>
          </cell>
        </row>
        <row r="208">
          <cell r="C208" t="str">
            <v>8526.92.00</v>
          </cell>
          <cell r="D208">
            <v>0.17</v>
          </cell>
          <cell r="E208">
            <v>0.18</v>
          </cell>
          <cell r="F208">
            <v>0.18</v>
          </cell>
          <cell r="G208">
            <v>0.18</v>
          </cell>
          <cell r="H208">
            <v>0.18</v>
          </cell>
          <cell r="I208">
            <v>0.18</v>
          </cell>
          <cell r="J208">
            <v>0.18</v>
          </cell>
          <cell r="K208">
            <v>0.17</v>
          </cell>
          <cell r="L208">
            <v>0.17</v>
          </cell>
          <cell r="M208">
            <v>0.18</v>
          </cell>
          <cell r="N208">
            <v>0.18</v>
          </cell>
          <cell r="O208">
            <v>0.17</v>
          </cell>
          <cell r="P208">
            <v>0.17</v>
          </cell>
          <cell r="Q208">
            <v>0.17</v>
          </cell>
          <cell r="R208">
            <v>0.18</v>
          </cell>
          <cell r="S208">
            <v>0.18</v>
          </cell>
          <cell r="T208">
            <v>0.18</v>
          </cell>
          <cell r="U208">
            <v>0.18</v>
          </cell>
          <cell r="V208">
            <v>0.2</v>
          </cell>
          <cell r="W208">
            <v>0.18</v>
          </cell>
          <cell r="X208">
            <v>0.17499999999999999</v>
          </cell>
          <cell r="Y208">
            <v>0.17</v>
          </cell>
          <cell r="Z208">
            <v>0.18</v>
          </cell>
          <cell r="AA208">
            <v>0.17</v>
          </cell>
          <cell r="AB208">
            <v>0.18</v>
          </cell>
          <cell r="AC208">
            <v>0.18</v>
          </cell>
          <cell r="AD208">
            <v>0.18</v>
          </cell>
          <cell r="AF208">
            <v>0.2</v>
          </cell>
        </row>
        <row r="209">
          <cell r="C209" t="str">
            <v>8528.52.20</v>
          </cell>
          <cell r="D209">
            <v>0.17</v>
          </cell>
          <cell r="E209">
            <v>0.18</v>
          </cell>
          <cell r="F209">
            <v>0.18</v>
          </cell>
          <cell r="G209">
            <v>0.18</v>
          </cell>
          <cell r="H209">
            <v>0.18</v>
          </cell>
          <cell r="I209">
            <v>0.18</v>
          </cell>
          <cell r="J209">
            <v>0.18</v>
          </cell>
          <cell r="K209">
            <v>0.17</v>
          </cell>
          <cell r="L209">
            <v>0.17</v>
          </cell>
          <cell r="M209">
            <v>0.18</v>
          </cell>
          <cell r="N209">
            <v>0.18</v>
          </cell>
          <cell r="O209">
            <v>0.17</v>
          </cell>
          <cell r="P209">
            <v>0.17</v>
          </cell>
          <cell r="Q209">
            <v>0.17</v>
          </cell>
          <cell r="R209">
            <v>0.18</v>
          </cell>
          <cell r="S209">
            <v>7.0000000000000007E-2</v>
          </cell>
          <cell r="T209">
            <v>0.12</v>
          </cell>
          <cell r="U209">
            <v>0.18</v>
          </cell>
          <cell r="V209">
            <v>0.2</v>
          </cell>
          <cell r="W209">
            <v>0.18</v>
          </cell>
          <cell r="X209">
            <v>0.17499999999999999</v>
          </cell>
          <cell r="Y209">
            <v>0.17</v>
          </cell>
          <cell r="Z209">
            <v>0.18</v>
          </cell>
          <cell r="AA209">
            <v>0.17</v>
          </cell>
          <cell r="AB209">
            <v>7.0000000000000007E-2</v>
          </cell>
          <cell r="AC209">
            <v>0.18</v>
          </cell>
          <cell r="AD209">
            <v>0.18</v>
          </cell>
          <cell r="AF209">
            <v>0.15</v>
          </cell>
        </row>
        <row r="210">
          <cell r="C210" t="str">
            <v>8528.59.20</v>
          </cell>
          <cell r="D210">
            <v>0.17</v>
          </cell>
          <cell r="E210">
            <v>0.18</v>
          </cell>
          <cell r="F210">
            <v>0.18</v>
          </cell>
          <cell r="G210">
            <v>0.18</v>
          </cell>
          <cell r="H210">
            <v>0.18</v>
          </cell>
          <cell r="I210">
            <v>0.18</v>
          </cell>
          <cell r="J210">
            <v>0.18</v>
          </cell>
          <cell r="K210">
            <v>0.17</v>
          </cell>
          <cell r="L210">
            <v>0.17</v>
          </cell>
          <cell r="M210">
            <v>0.18</v>
          </cell>
          <cell r="N210">
            <v>0.18</v>
          </cell>
          <cell r="O210">
            <v>0.17</v>
          </cell>
          <cell r="P210">
            <v>0.17</v>
          </cell>
          <cell r="Q210">
            <v>0.17</v>
          </cell>
          <cell r="R210">
            <v>0.18</v>
          </cell>
          <cell r="S210">
            <v>0.18</v>
          </cell>
          <cell r="T210">
            <v>0.12</v>
          </cell>
          <cell r="U210">
            <v>0.18</v>
          </cell>
          <cell r="V210">
            <v>0.2</v>
          </cell>
          <cell r="W210">
            <v>0.18</v>
          </cell>
          <cell r="X210">
            <v>0.17499999999999999</v>
          </cell>
          <cell r="Y210">
            <v>0.17</v>
          </cell>
          <cell r="Z210">
            <v>0.18</v>
          </cell>
          <cell r="AA210">
            <v>0.17</v>
          </cell>
          <cell r="AB210">
            <v>7.0000000000000007E-2</v>
          </cell>
          <cell r="AC210">
            <v>0.18</v>
          </cell>
          <cell r="AD210">
            <v>0.18</v>
          </cell>
          <cell r="AF210">
            <v>0.2</v>
          </cell>
        </row>
        <row r="211">
          <cell r="C211" t="str">
            <v>8528.69.90</v>
          </cell>
          <cell r="D211">
            <v>0.17</v>
          </cell>
          <cell r="E211">
            <v>0.18</v>
          </cell>
          <cell r="F211">
            <v>0.18</v>
          </cell>
          <cell r="G211">
            <v>0.18</v>
          </cell>
          <cell r="H211">
            <v>0.18</v>
          </cell>
          <cell r="I211">
            <v>0.18</v>
          </cell>
          <cell r="J211">
            <v>0.18</v>
          </cell>
          <cell r="K211">
            <v>0.17</v>
          </cell>
          <cell r="L211">
            <v>0.17</v>
          </cell>
          <cell r="M211">
            <v>0.18</v>
          </cell>
          <cell r="N211">
            <v>0.18</v>
          </cell>
          <cell r="O211">
            <v>0.17</v>
          </cell>
          <cell r="P211">
            <v>0.17</v>
          </cell>
          <cell r="Q211">
            <v>0.17</v>
          </cell>
          <cell r="R211">
            <v>0.18</v>
          </cell>
          <cell r="S211">
            <v>0.18</v>
          </cell>
          <cell r="T211">
            <v>0.12</v>
          </cell>
          <cell r="U211">
            <v>0.18</v>
          </cell>
          <cell r="V211">
            <v>0.2</v>
          </cell>
          <cell r="W211">
            <v>0.18</v>
          </cell>
          <cell r="X211">
            <v>0.17499999999999999</v>
          </cell>
          <cell r="Y211">
            <v>0.17</v>
          </cell>
          <cell r="Z211">
            <v>0.18</v>
          </cell>
          <cell r="AA211">
            <v>0.17</v>
          </cell>
          <cell r="AB211">
            <v>0.18</v>
          </cell>
          <cell r="AC211">
            <v>0.18</v>
          </cell>
          <cell r="AD211">
            <v>0.18</v>
          </cell>
          <cell r="AF211">
            <v>0.2</v>
          </cell>
        </row>
        <row r="212">
          <cell r="C212" t="str">
            <v>8528.71.19</v>
          </cell>
          <cell r="D212">
            <v>0.17</v>
          </cell>
          <cell r="E212">
            <v>0.18</v>
          </cell>
          <cell r="F212">
            <v>0.18</v>
          </cell>
          <cell r="G212">
            <v>0.18</v>
          </cell>
          <cell r="H212">
            <v>0.18</v>
          </cell>
          <cell r="I212">
            <v>0.18</v>
          </cell>
          <cell r="J212">
            <v>0.18</v>
          </cell>
          <cell r="K212">
            <v>0.17</v>
          </cell>
          <cell r="L212">
            <v>0.17</v>
          </cell>
          <cell r="M212">
            <v>0.18</v>
          </cell>
          <cell r="N212">
            <v>0.18</v>
          </cell>
          <cell r="O212">
            <v>0.17</v>
          </cell>
          <cell r="P212">
            <v>0.17</v>
          </cell>
          <cell r="Q212">
            <v>0.17</v>
          </cell>
          <cell r="R212">
            <v>0.18</v>
          </cell>
          <cell r="S212">
            <v>0.18</v>
          </cell>
          <cell r="T212">
            <v>0.18</v>
          </cell>
          <cell r="U212">
            <v>0.18</v>
          </cell>
          <cell r="V212">
            <v>0.2</v>
          </cell>
          <cell r="W212">
            <v>0.18</v>
          </cell>
          <cell r="X212">
            <v>0.17499999999999999</v>
          </cell>
          <cell r="Y212">
            <v>0.17</v>
          </cell>
          <cell r="Z212">
            <v>0.18</v>
          </cell>
          <cell r="AA212">
            <v>0.17</v>
          </cell>
          <cell r="AB212">
            <v>0.18</v>
          </cell>
          <cell r="AC212">
            <v>0.12</v>
          </cell>
          <cell r="AD212">
            <v>0.18</v>
          </cell>
          <cell r="AF212">
            <v>0.05</v>
          </cell>
        </row>
        <row r="213">
          <cell r="C213" t="str">
            <v>8528.72.00</v>
          </cell>
          <cell r="D213">
            <v>0.17</v>
          </cell>
          <cell r="E213">
            <v>0.18</v>
          </cell>
          <cell r="F213">
            <v>0.18</v>
          </cell>
          <cell r="G213">
            <v>0.18</v>
          </cell>
          <cell r="H213">
            <v>0.18</v>
          </cell>
          <cell r="I213">
            <v>0.18</v>
          </cell>
          <cell r="J213">
            <v>0.18</v>
          </cell>
          <cell r="K213">
            <v>0.17</v>
          </cell>
          <cell r="L213">
            <v>0.17</v>
          </cell>
          <cell r="M213">
            <v>0.18</v>
          </cell>
          <cell r="N213">
            <v>0.18</v>
          </cell>
          <cell r="O213">
            <v>0.17</v>
          </cell>
          <cell r="P213">
            <v>0.17</v>
          </cell>
          <cell r="Q213">
            <v>0.17</v>
          </cell>
          <cell r="R213">
            <v>0.18</v>
          </cell>
          <cell r="S213">
            <v>0.18</v>
          </cell>
          <cell r="T213">
            <v>0.18</v>
          </cell>
          <cell r="U213">
            <v>0.18</v>
          </cell>
          <cell r="V213">
            <v>0.2</v>
          </cell>
          <cell r="W213">
            <v>0.18</v>
          </cell>
          <cell r="X213">
            <v>0.17499999999999999</v>
          </cell>
          <cell r="Y213">
            <v>0.17</v>
          </cell>
          <cell r="Z213">
            <v>0.18</v>
          </cell>
          <cell r="AA213">
            <v>0.17</v>
          </cell>
          <cell r="AB213">
            <v>0.18</v>
          </cell>
          <cell r="AC213">
            <v>0.18</v>
          </cell>
          <cell r="AD213">
            <v>0.18</v>
          </cell>
          <cell r="AF213">
            <v>0.2</v>
          </cell>
        </row>
        <row r="214">
          <cell r="C214" t="str">
            <v>8529.10.19</v>
          </cell>
          <cell r="D214">
            <v>0.17</v>
          </cell>
          <cell r="E214">
            <v>0.18</v>
          </cell>
          <cell r="F214">
            <v>0.18</v>
          </cell>
          <cell r="G214">
            <v>0.18</v>
          </cell>
          <cell r="H214">
            <v>0.18</v>
          </cell>
          <cell r="I214">
            <v>0.18</v>
          </cell>
          <cell r="J214">
            <v>0.18</v>
          </cell>
          <cell r="K214">
            <v>0.17</v>
          </cell>
          <cell r="L214">
            <v>0.17</v>
          </cell>
          <cell r="M214">
            <v>0.18</v>
          </cell>
          <cell r="N214">
            <v>0.18</v>
          </cell>
          <cell r="O214">
            <v>0.17</v>
          </cell>
          <cell r="P214">
            <v>0.17</v>
          </cell>
          <cell r="Q214">
            <v>0.17</v>
          </cell>
          <cell r="R214">
            <v>0.18</v>
          </cell>
          <cell r="S214">
            <v>0.18</v>
          </cell>
          <cell r="T214">
            <v>0.18</v>
          </cell>
          <cell r="U214">
            <v>0.18</v>
          </cell>
          <cell r="V214">
            <v>0.2</v>
          </cell>
          <cell r="W214">
            <v>0.18</v>
          </cell>
          <cell r="X214">
            <v>0.17499999999999999</v>
          </cell>
          <cell r="Y214">
            <v>0.17</v>
          </cell>
          <cell r="Z214">
            <v>0.18</v>
          </cell>
          <cell r="AA214">
            <v>0.17</v>
          </cell>
          <cell r="AB214">
            <v>0.18</v>
          </cell>
          <cell r="AC214">
            <v>0.18</v>
          </cell>
          <cell r="AD214">
            <v>0.18</v>
          </cell>
          <cell r="AF214">
            <v>0.1</v>
          </cell>
        </row>
        <row r="215">
          <cell r="C215" t="str">
            <v>8529.90.11</v>
          </cell>
          <cell r="D215">
            <v>0.17</v>
          </cell>
          <cell r="E215">
            <v>0.18</v>
          </cell>
          <cell r="F215">
            <v>0.18</v>
          </cell>
          <cell r="G215">
            <v>0.18</v>
          </cell>
          <cell r="H215">
            <v>0.18</v>
          </cell>
          <cell r="I215">
            <v>0.18</v>
          </cell>
          <cell r="J215">
            <v>0.18</v>
          </cell>
          <cell r="K215">
            <v>0.17</v>
          </cell>
          <cell r="L215">
            <v>0.17</v>
          </cell>
          <cell r="M215">
            <v>0.18</v>
          </cell>
          <cell r="N215">
            <v>0.18</v>
          </cell>
          <cell r="O215">
            <v>0.17</v>
          </cell>
          <cell r="P215">
            <v>0.17</v>
          </cell>
          <cell r="Q215">
            <v>0.17</v>
          </cell>
          <cell r="R215">
            <v>0.18</v>
          </cell>
          <cell r="S215">
            <v>0.18</v>
          </cell>
          <cell r="T215">
            <v>0.18</v>
          </cell>
          <cell r="U215">
            <v>0.18</v>
          </cell>
          <cell r="V215">
            <v>0.2</v>
          </cell>
          <cell r="W215">
            <v>0.18</v>
          </cell>
          <cell r="X215">
            <v>0.17499999999999999</v>
          </cell>
          <cell r="Y215">
            <v>0.17</v>
          </cell>
          <cell r="Z215">
            <v>0.18</v>
          </cell>
          <cell r="AA215">
            <v>0.17</v>
          </cell>
          <cell r="AB215">
            <v>0.18</v>
          </cell>
          <cell r="AC215">
            <v>0.18</v>
          </cell>
          <cell r="AD215">
            <v>0.18</v>
          </cell>
          <cell r="AF215">
            <v>0.1</v>
          </cell>
        </row>
        <row r="216">
          <cell r="C216" t="str">
            <v>8529.90.12</v>
          </cell>
          <cell r="D216">
            <v>0.17</v>
          </cell>
          <cell r="E216">
            <v>0.18</v>
          </cell>
          <cell r="F216">
            <v>0.18</v>
          </cell>
          <cell r="G216">
            <v>0.18</v>
          </cell>
          <cell r="H216">
            <v>0.18</v>
          </cell>
          <cell r="I216">
            <v>0.18</v>
          </cell>
          <cell r="J216">
            <v>0.18</v>
          </cell>
          <cell r="K216">
            <v>0.17</v>
          </cell>
          <cell r="L216">
            <v>0.17</v>
          </cell>
          <cell r="M216">
            <v>0.18</v>
          </cell>
          <cell r="N216">
            <v>0.18</v>
          </cell>
          <cell r="O216">
            <v>0.17</v>
          </cell>
          <cell r="P216">
            <v>0.17</v>
          </cell>
          <cell r="Q216">
            <v>0.17</v>
          </cell>
          <cell r="R216">
            <v>0.18</v>
          </cell>
          <cell r="S216">
            <v>0.18</v>
          </cell>
          <cell r="T216">
            <v>0.18</v>
          </cell>
          <cell r="U216">
            <v>0.18</v>
          </cell>
          <cell r="V216">
            <v>0.2</v>
          </cell>
          <cell r="W216">
            <v>0.18</v>
          </cell>
          <cell r="X216">
            <v>0.17499999999999999</v>
          </cell>
          <cell r="Y216">
            <v>0.17</v>
          </cell>
          <cell r="Z216">
            <v>0.18</v>
          </cell>
          <cell r="AA216">
            <v>0.17</v>
          </cell>
          <cell r="AB216">
            <v>0.18</v>
          </cell>
          <cell r="AC216">
            <v>0.18</v>
          </cell>
          <cell r="AD216">
            <v>0.18</v>
          </cell>
          <cell r="AF216">
            <v>0.15</v>
          </cell>
        </row>
        <row r="217">
          <cell r="C217" t="str">
            <v>8529.90.19</v>
          </cell>
          <cell r="D217">
            <v>0.17</v>
          </cell>
          <cell r="E217">
            <v>0.18</v>
          </cell>
          <cell r="F217">
            <v>0.18</v>
          </cell>
          <cell r="G217">
            <v>0.18</v>
          </cell>
          <cell r="H217">
            <v>0.18</v>
          </cell>
          <cell r="I217">
            <v>0.18</v>
          </cell>
          <cell r="J217">
            <v>0.18</v>
          </cell>
          <cell r="K217">
            <v>0.17</v>
          </cell>
          <cell r="L217">
            <v>0.17</v>
          </cell>
          <cell r="M217">
            <v>0.18</v>
          </cell>
          <cell r="N217">
            <v>0.18</v>
          </cell>
          <cell r="O217">
            <v>0.17</v>
          </cell>
          <cell r="P217">
            <v>0.17</v>
          </cell>
          <cell r="Q217">
            <v>0.17</v>
          </cell>
          <cell r="R217">
            <v>0.18</v>
          </cell>
          <cell r="S217">
            <v>0.18</v>
          </cell>
          <cell r="T217">
            <v>0.18</v>
          </cell>
          <cell r="U217">
            <v>0.18</v>
          </cell>
          <cell r="V217">
            <v>0.2</v>
          </cell>
          <cell r="W217">
            <v>0.18</v>
          </cell>
          <cell r="X217">
            <v>0.17499999999999999</v>
          </cell>
          <cell r="Y217">
            <v>0.17</v>
          </cell>
          <cell r="Z217">
            <v>0.18</v>
          </cell>
          <cell r="AA217">
            <v>0.17</v>
          </cell>
          <cell r="AB217">
            <v>0.18</v>
          </cell>
          <cell r="AC217">
            <v>0.18</v>
          </cell>
          <cell r="AD217">
            <v>0.18</v>
          </cell>
          <cell r="AF217">
            <v>0.1</v>
          </cell>
        </row>
        <row r="218">
          <cell r="C218" t="str">
            <v>8529.90.20</v>
          </cell>
          <cell r="D218">
            <v>0.17</v>
          </cell>
          <cell r="E218">
            <v>0.18</v>
          </cell>
          <cell r="F218">
            <v>0.18</v>
          </cell>
          <cell r="G218">
            <v>0.18</v>
          </cell>
          <cell r="H218">
            <v>0.18</v>
          </cell>
          <cell r="I218">
            <v>0.18</v>
          </cell>
          <cell r="J218">
            <v>0.18</v>
          </cell>
          <cell r="K218">
            <v>0.17</v>
          </cell>
          <cell r="L218">
            <v>0.17</v>
          </cell>
          <cell r="M218">
            <v>0.18</v>
          </cell>
          <cell r="N218">
            <v>0.18</v>
          </cell>
          <cell r="O218">
            <v>0.17</v>
          </cell>
          <cell r="P218">
            <v>0.17</v>
          </cell>
          <cell r="Q218">
            <v>0.17</v>
          </cell>
          <cell r="R218">
            <v>0.18</v>
          </cell>
          <cell r="S218">
            <v>0.18</v>
          </cell>
          <cell r="T218">
            <v>0.18</v>
          </cell>
          <cell r="U218">
            <v>0.18</v>
          </cell>
          <cell r="V218">
            <v>0.2</v>
          </cell>
          <cell r="W218">
            <v>0.18</v>
          </cell>
          <cell r="X218">
            <v>0.17499999999999999</v>
          </cell>
          <cell r="Y218">
            <v>0.17</v>
          </cell>
          <cell r="Z218">
            <v>0.18</v>
          </cell>
          <cell r="AA218">
            <v>0.17</v>
          </cell>
          <cell r="AB218">
            <v>0.18</v>
          </cell>
          <cell r="AC218">
            <v>0.18</v>
          </cell>
          <cell r="AD218">
            <v>0.18</v>
          </cell>
          <cell r="AF218">
            <v>0.1</v>
          </cell>
        </row>
        <row r="219">
          <cell r="C219" t="str">
            <v>8529.90.90</v>
          </cell>
          <cell r="D219">
            <v>0.17</v>
          </cell>
          <cell r="E219">
            <v>0.18</v>
          </cell>
          <cell r="F219">
            <v>0.18</v>
          </cell>
          <cell r="G219">
            <v>0.18</v>
          </cell>
          <cell r="H219">
            <v>0.18</v>
          </cell>
          <cell r="I219">
            <v>0.18</v>
          </cell>
          <cell r="J219">
            <v>0.18</v>
          </cell>
          <cell r="K219">
            <v>0.17</v>
          </cell>
          <cell r="L219">
            <v>0.17</v>
          </cell>
          <cell r="M219">
            <v>0.18</v>
          </cell>
          <cell r="N219">
            <v>0.18</v>
          </cell>
          <cell r="O219">
            <v>0.17</v>
          </cell>
          <cell r="P219">
            <v>0.17</v>
          </cell>
          <cell r="Q219">
            <v>0.17</v>
          </cell>
          <cell r="R219">
            <v>0.18</v>
          </cell>
          <cell r="S219">
            <v>0.18</v>
          </cell>
          <cell r="T219">
            <v>0.18</v>
          </cell>
          <cell r="U219">
            <v>0.18</v>
          </cell>
          <cell r="V219">
            <v>0.2</v>
          </cell>
          <cell r="W219">
            <v>0.18</v>
          </cell>
          <cell r="X219">
            <v>0.17499999999999999</v>
          </cell>
          <cell r="Y219">
            <v>0.17</v>
          </cell>
          <cell r="Z219">
            <v>0.18</v>
          </cell>
          <cell r="AA219">
            <v>0.17</v>
          </cell>
          <cell r="AB219">
            <v>0.18</v>
          </cell>
          <cell r="AC219">
            <v>0.18</v>
          </cell>
          <cell r="AD219">
            <v>0.18</v>
          </cell>
          <cell r="AF219">
            <v>0.1</v>
          </cell>
        </row>
        <row r="220">
          <cell r="C220" t="str">
            <v>8531.10.10</v>
          </cell>
          <cell r="D220">
            <v>0.17</v>
          </cell>
          <cell r="E220">
            <v>0.18</v>
          </cell>
          <cell r="F220">
            <v>0.18</v>
          </cell>
          <cell r="G220">
            <v>0.18</v>
          </cell>
          <cell r="H220">
            <v>0.18</v>
          </cell>
          <cell r="I220">
            <v>0.18</v>
          </cell>
          <cell r="J220">
            <v>0.18</v>
          </cell>
          <cell r="K220">
            <v>0.17</v>
          </cell>
          <cell r="L220">
            <v>0.17</v>
          </cell>
          <cell r="M220">
            <v>0.18</v>
          </cell>
          <cell r="N220">
            <v>0.18</v>
          </cell>
          <cell r="O220">
            <v>0.17</v>
          </cell>
          <cell r="P220">
            <v>0.17</v>
          </cell>
          <cell r="Q220">
            <v>0.17</v>
          </cell>
          <cell r="R220">
            <v>0.18</v>
          </cell>
          <cell r="S220">
            <v>0.18</v>
          </cell>
          <cell r="T220">
            <v>0.18</v>
          </cell>
          <cell r="U220">
            <v>0.18</v>
          </cell>
          <cell r="V220">
            <v>0.2</v>
          </cell>
          <cell r="W220">
            <v>0.18</v>
          </cell>
          <cell r="X220">
            <v>0.17499999999999999</v>
          </cell>
          <cell r="Y220">
            <v>0.17</v>
          </cell>
          <cell r="Z220">
            <v>0.18</v>
          </cell>
          <cell r="AA220">
            <v>0.17</v>
          </cell>
          <cell r="AB220">
            <v>0.18</v>
          </cell>
          <cell r="AC220">
            <v>0.18</v>
          </cell>
          <cell r="AD220">
            <v>0.18</v>
          </cell>
          <cell r="AF220">
            <v>0.15</v>
          </cell>
        </row>
        <row r="221">
          <cell r="C221" t="str">
            <v>8531.10.90</v>
          </cell>
          <cell r="D221">
            <v>0.17</v>
          </cell>
          <cell r="E221">
            <v>0.18</v>
          </cell>
          <cell r="F221">
            <v>0.18</v>
          </cell>
          <cell r="G221">
            <v>0.18</v>
          </cell>
          <cell r="H221">
            <v>0.18</v>
          </cell>
          <cell r="I221">
            <v>0.18</v>
          </cell>
          <cell r="J221">
            <v>0.18</v>
          </cell>
          <cell r="K221">
            <v>0.17</v>
          </cell>
          <cell r="L221">
            <v>0.17</v>
          </cell>
          <cell r="M221">
            <v>0.18</v>
          </cell>
          <cell r="N221">
            <v>0.18</v>
          </cell>
          <cell r="O221">
            <v>0.17</v>
          </cell>
          <cell r="P221">
            <v>0.17</v>
          </cell>
          <cell r="Q221">
            <v>0.17</v>
          </cell>
          <cell r="R221">
            <v>0.18</v>
          </cell>
          <cell r="S221">
            <v>0.18</v>
          </cell>
          <cell r="T221">
            <v>0.18</v>
          </cell>
          <cell r="U221">
            <v>0.18</v>
          </cell>
          <cell r="V221">
            <v>0.2</v>
          </cell>
          <cell r="W221">
            <v>0.18</v>
          </cell>
          <cell r="X221">
            <v>0.17499999999999999</v>
          </cell>
          <cell r="Y221">
            <v>0.17</v>
          </cell>
          <cell r="Z221">
            <v>0.18</v>
          </cell>
          <cell r="AA221">
            <v>0.17</v>
          </cell>
          <cell r="AB221">
            <v>0.18</v>
          </cell>
          <cell r="AC221">
            <v>0.18</v>
          </cell>
          <cell r="AD221">
            <v>0.18</v>
          </cell>
          <cell r="AF221">
            <v>0.15</v>
          </cell>
        </row>
        <row r="222">
          <cell r="C222" t="str">
            <v>8531.20.00</v>
          </cell>
          <cell r="D222">
            <v>0.17</v>
          </cell>
          <cell r="E222">
            <v>0.18</v>
          </cell>
          <cell r="F222">
            <v>0.18</v>
          </cell>
          <cell r="G222">
            <v>0.18</v>
          </cell>
          <cell r="H222">
            <v>0.18</v>
          </cell>
          <cell r="I222">
            <v>0.18</v>
          </cell>
          <cell r="J222">
            <v>0.12</v>
          </cell>
          <cell r="K222">
            <v>0.12</v>
          </cell>
          <cell r="L222">
            <v>0.17</v>
          </cell>
          <cell r="M222">
            <v>0.18</v>
          </cell>
          <cell r="N222">
            <v>0.18</v>
          </cell>
          <cell r="O222">
            <v>0.17</v>
          </cell>
          <cell r="P222">
            <v>0.17</v>
          </cell>
          <cell r="Q222">
            <v>0.17</v>
          </cell>
          <cell r="R222">
            <v>0.18</v>
          </cell>
          <cell r="S222">
            <v>0.18</v>
          </cell>
          <cell r="T222">
            <v>0.18</v>
          </cell>
          <cell r="U222">
            <v>0.18</v>
          </cell>
          <cell r="V222">
            <v>0.2</v>
          </cell>
          <cell r="W222">
            <v>0.18</v>
          </cell>
          <cell r="X222">
            <v>0.17499999999999999</v>
          </cell>
          <cell r="Y222">
            <v>0.17</v>
          </cell>
          <cell r="Z222">
            <v>0.18</v>
          </cell>
          <cell r="AA222">
            <v>0.17</v>
          </cell>
          <cell r="AB222">
            <v>0.18</v>
          </cell>
          <cell r="AC222">
            <v>0.18</v>
          </cell>
          <cell r="AD222">
            <v>0.18</v>
          </cell>
          <cell r="AF222">
            <v>0.15</v>
          </cell>
        </row>
        <row r="223">
          <cell r="C223" t="str">
            <v>8531.80.00</v>
          </cell>
          <cell r="D223">
            <v>0.17</v>
          </cell>
          <cell r="E223">
            <v>0.18</v>
          </cell>
          <cell r="F223">
            <v>0.18</v>
          </cell>
          <cell r="G223">
            <v>0.18</v>
          </cell>
          <cell r="H223">
            <v>0.18</v>
          </cell>
          <cell r="I223">
            <v>0.18</v>
          </cell>
          <cell r="J223">
            <v>0.18</v>
          </cell>
          <cell r="K223">
            <v>0.17</v>
          </cell>
          <cell r="L223">
            <v>0.17</v>
          </cell>
          <cell r="M223">
            <v>0.18</v>
          </cell>
          <cell r="N223">
            <v>0.18</v>
          </cell>
          <cell r="O223">
            <v>0.17</v>
          </cell>
          <cell r="P223">
            <v>0.17</v>
          </cell>
          <cell r="Q223">
            <v>0.17</v>
          </cell>
          <cell r="R223">
            <v>0.18</v>
          </cell>
          <cell r="S223">
            <v>0.18</v>
          </cell>
          <cell r="T223">
            <v>0.18</v>
          </cell>
          <cell r="U223">
            <v>0.18</v>
          </cell>
          <cell r="V223">
            <v>0.2</v>
          </cell>
          <cell r="W223">
            <v>0.18</v>
          </cell>
          <cell r="X223">
            <v>0.17499999999999999</v>
          </cell>
          <cell r="Y223">
            <v>0.17</v>
          </cell>
          <cell r="Z223">
            <v>0.18</v>
          </cell>
          <cell r="AA223">
            <v>0.17</v>
          </cell>
          <cell r="AB223">
            <v>0.18</v>
          </cell>
          <cell r="AC223">
            <v>0.18</v>
          </cell>
          <cell r="AD223">
            <v>0.18</v>
          </cell>
          <cell r="AF223">
            <v>0.15</v>
          </cell>
        </row>
        <row r="224">
          <cell r="C224" t="str">
            <v>8531.90.00</v>
          </cell>
          <cell r="D224">
            <v>0.17</v>
          </cell>
          <cell r="E224">
            <v>0.18</v>
          </cell>
          <cell r="F224">
            <v>0.18</v>
          </cell>
          <cell r="G224">
            <v>0.18</v>
          </cell>
          <cell r="H224">
            <v>0.18</v>
          </cell>
          <cell r="I224">
            <v>0.18</v>
          </cell>
          <cell r="J224">
            <v>0.12</v>
          </cell>
          <cell r="K224">
            <v>0.17</v>
          </cell>
          <cell r="L224">
            <v>0.17</v>
          </cell>
          <cell r="M224">
            <v>0.18</v>
          </cell>
          <cell r="N224">
            <v>0.18</v>
          </cell>
          <cell r="O224">
            <v>0.17</v>
          </cell>
          <cell r="P224">
            <v>0.17</v>
          </cell>
          <cell r="Q224">
            <v>0.17</v>
          </cell>
          <cell r="R224">
            <v>0.18</v>
          </cell>
          <cell r="S224">
            <v>0.18</v>
          </cell>
          <cell r="T224">
            <v>0.18</v>
          </cell>
          <cell r="U224">
            <v>0.18</v>
          </cell>
          <cell r="V224">
            <v>0.2</v>
          </cell>
          <cell r="W224">
            <v>0.18</v>
          </cell>
          <cell r="X224">
            <v>0.17499999999999999</v>
          </cell>
          <cell r="Y224">
            <v>0.17</v>
          </cell>
          <cell r="Z224">
            <v>0.18</v>
          </cell>
          <cell r="AA224">
            <v>0.17</v>
          </cell>
          <cell r="AB224">
            <v>0.18</v>
          </cell>
          <cell r="AC224">
            <v>0.18</v>
          </cell>
          <cell r="AD224">
            <v>0.18</v>
          </cell>
          <cell r="AF224">
            <v>0.15</v>
          </cell>
        </row>
        <row r="225">
          <cell r="C225" t="str">
            <v>8532.22.00</v>
          </cell>
          <cell r="D225">
            <v>0.17</v>
          </cell>
          <cell r="E225">
            <v>0.18</v>
          </cell>
          <cell r="F225">
            <v>0.18</v>
          </cell>
          <cell r="G225">
            <v>0.18</v>
          </cell>
          <cell r="H225">
            <v>0.18</v>
          </cell>
          <cell r="I225">
            <v>0.18</v>
          </cell>
          <cell r="J225">
            <v>0.12</v>
          </cell>
          <cell r="K225">
            <v>0.17</v>
          </cell>
          <cell r="L225">
            <v>0.17</v>
          </cell>
          <cell r="M225">
            <v>0.18</v>
          </cell>
          <cell r="N225">
            <v>0.18</v>
          </cell>
          <cell r="O225">
            <v>0.17</v>
          </cell>
          <cell r="P225">
            <v>0.17</v>
          </cell>
          <cell r="Q225">
            <v>0.17</v>
          </cell>
          <cell r="R225">
            <v>0.18</v>
          </cell>
          <cell r="S225">
            <v>0.18</v>
          </cell>
          <cell r="T225">
            <v>0.18</v>
          </cell>
          <cell r="U225">
            <v>0.18</v>
          </cell>
          <cell r="V225">
            <v>0.2</v>
          </cell>
          <cell r="W225">
            <v>0.18</v>
          </cell>
          <cell r="X225">
            <v>0.17499999999999999</v>
          </cell>
          <cell r="Y225">
            <v>0.17</v>
          </cell>
          <cell r="Z225">
            <v>0.18</v>
          </cell>
          <cell r="AA225">
            <v>0.17</v>
          </cell>
          <cell r="AB225">
            <v>0.18</v>
          </cell>
          <cell r="AC225">
            <v>0.12</v>
          </cell>
          <cell r="AD225">
            <v>0.18</v>
          </cell>
          <cell r="AF225">
            <v>0.1</v>
          </cell>
        </row>
        <row r="226">
          <cell r="C226" t="str">
            <v>8532.24.90</v>
          </cell>
          <cell r="D226">
            <v>0.17</v>
          </cell>
          <cell r="E226">
            <v>0.18</v>
          </cell>
          <cell r="F226">
            <v>0.18</v>
          </cell>
          <cell r="G226">
            <v>0.18</v>
          </cell>
          <cell r="H226">
            <v>0.18</v>
          </cell>
          <cell r="I226">
            <v>0.18</v>
          </cell>
          <cell r="J226">
            <v>0.12</v>
          </cell>
          <cell r="K226">
            <v>0.17</v>
          </cell>
          <cell r="L226">
            <v>0.17</v>
          </cell>
          <cell r="M226">
            <v>0.18</v>
          </cell>
          <cell r="N226">
            <v>0.18</v>
          </cell>
          <cell r="O226">
            <v>0.17</v>
          </cell>
          <cell r="P226">
            <v>0.17</v>
          </cell>
          <cell r="Q226">
            <v>0.17</v>
          </cell>
          <cell r="R226">
            <v>0.18</v>
          </cell>
          <cell r="S226">
            <v>0.18</v>
          </cell>
          <cell r="T226">
            <v>0.18</v>
          </cell>
          <cell r="U226">
            <v>0.18</v>
          </cell>
          <cell r="V226">
            <v>0.2</v>
          </cell>
          <cell r="W226">
            <v>0.18</v>
          </cell>
          <cell r="X226">
            <v>0.17499999999999999</v>
          </cell>
          <cell r="Y226">
            <v>0.17</v>
          </cell>
          <cell r="Z226">
            <v>0.18</v>
          </cell>
          <cell r="AA226">
            <v>0.17</v>
          </cell>
          <cell r="AB226">
            <v>0.18</v>
          </cell>
          <cell r="AC226">
            <v>0.12</v>
          </cell>
          <cell r="AD226">
            <v>0.18</v>
          </cell>
          <cell r="AF226">
            <v>0.1</v>
          </cell>
        </row>
        <row r="227">
          <cell r="C227" t="str">
            <v>8533.40.99</v>
          </cell>
          <cell r="D227">
            <v>0.17</v>
          </cell>
          <cell r="E227">
            <v>0.18</v>
          </cell>
          <cell r="F227">
            <v>0.18</v>
          </cell>
          <cell r="G227">
            <v>0.18</v>
          </cell>
          <cell r="H227">
            <v>0.18</v>
          </cell>
          <cell r="I227">
            <v>0.18</v>
          </cell>
          <cell r="J227">
            <v>0.18</v>
          </cell>
          <cell r="K227">
            <v>0.17</v>
          </cell>
          <cell r="L227">
            <v>0.17</v>
          </cell>
          <cell r="M227">
            <v>0.18</v>
          </cell>
          <cell r="N227">
            <v>0.18</v>
          </cell>
          <cell r="O227">
            <v>0.17</v>
          </cell>
          <cell r="P227">
            <v>0.17</v>
          </cell>
          <cell r="Q227">
            <v>0.17</v>
          </cell>
          <cell r="R227">
            <v>0.18</v>
          </cell>
          <cell r="S227">
            <v>0.18</v>
          </cell>
          <cell r="T227">
            <v>0.18</v>
          </cell>
          <cell r="U227">
            <v>0.18</v>
          </cell>
          <cell r="V227">
            <v>0.2</v>
          </cell>
          <cell r="W227">
            <v>0.18</v>
          </cell>
          <cell r="X227">
            <v>0.17499999999999999</v>
          </cell>
          <cell r="Y227">
            <v>0.17</v>
          </cell>
          <cell r="Z227">
            <v>0.18</v>
          </cell>
          <cell r="AA227">
            <v>0.17</v>
          </cell>
          <cell r="AB227">
            <v>0.18</v>
          </cell>
          <cell r="AC227">
            <v>0.18</v>
          </cell>
          <cell r="AD227">
            <v>0.18</v>
          </cell>
          <cell r="AF227">
            <v>0.1</v>
          </cell>
        </row>
        <row r="228">
          <cell r="C228" t="str">
            <v>8534.00.33</v>
          </cell>
          <cell r="D228">
            <v>0.17</v>
          </cell>
          <cell r="E228">
            <v>0.18</v>
          </cell>
          <cell r="F228">
            <v>0.18</v>
          </cell>
          <cell r="G228">
            <v>0.18</v>
          </cell>
          <cell r="H228">
            <v>0.18</v>
          </cell>
          <cell r="I228">
            <v>0.18</v>
          </cell>
          <cell r="J228">
            <v>0.18</v>
          </cell>
          <cell r="K228">
            <v>0.17</v>
          </cell>
          <cell r="L228">
            <v>0.17</v>
          </cell>
          <cell r="M228">
            <v>0.18</v>
          </cell>
          <cell r="N228">
            <v>0.18</v>
          </cell>
          <cell r="O228">
            <v>0.17</v>
          </cell>
          <cell r="P228">
            <v>0.17</v>
          </cell>
          <cell r="Q228">
            <v>0.17</v>
          </cell>
          <cell r="R228">
            <v>0.18</v>
          </cell>
          <cell r="S228">
            <v>0.18</v>
          </cell>
          <cell r="T228">
            <v>0.18</v>
          </cell>
          <cell r="U228">
            <v>0.18</v>
          </cell>
          <cell r="V228">
            <v>0.2</v>
          </cell>
          <cell r="W228">
            <v>0.18</v>
          </cell>
          <cell r="X228">
            <v>0.17499999999999999</v>
          </cell>
          <cell r="Y228">
            <v>0.17</v>
          </cell>
          <cell r="Z228">
            <v>0.18</v>
          </cell>
          <cell r="AA228">
            <v>0.17</v>
          </cell>
          <cell r="AB228">
            <v>0.18</v>
          </cell>
          <cell r="AC228">
            <v>0.12</v>
          </cell>
          <cell r="AD228">
            <v>0.18</v>
          </cell>
          <cell r="AF228">
            <v>0.1</v>
          </cell>
        </row>
        <row r="229">
          <cell r="C229" t="str">
            <v>8534.00.51</v>
          </cell>
          <cell r="D229">
            <v>0.17</v>
          </cell>
          <cell r="E229">
            <v>0.18</v>
          </cell>
          <cell r="F229">
            <v>0.18</v>
          </cell>
          <cell r="G229">
            <v>0.18</v>
          </cell>
          <cell r="H229">
            <v>0.18</v>
          </cell>
          <cell r="I229">
            <v>0.18</v>
          </cell>
          <cell r="J229">
            <v>0.18</v>
          </cell>
          <cell r="K229">
            <v>0.17</v>
          </cell>
          <cell r="L229">
            <v>0.17</v>
          </cell>
          <cell r="M229">
            <v>0.18</v>
          </cell>
          <cell r="N229">
            <v>0.18</v>
          </cell>
          <cell r="O229">
            <v>0.17</v>
          </cell>
          <cell r="P229">
            <v>0.17</v>
          </cell>
          <cell r="Q229">
            <v>0.17</v>
          </cell>
          <cell r="R229">
            <v>0.18</v>
          </cell>
          <cell r="S229">
            <v>0.18</v>
          </cell>
          <cell r="T229">
            <v>0.18</v>
          </cell>
          <cell r="U229">
            <v>0.18</v>
          </cell>
          <cell r="V229">
            <v>0.2</v>
          </cell>
          <cell r="W229">
            <v>0.18</v>
          </cell>
          <cell r="X229">
            <v>0.17499999999999999</v>
          </cell>
          <cell r="Y229">
            <v>0.17</v>
          </cell>
          <cell r="Z229">
            <v>0.18</v>
          </cell>
          <cell r="AA229">
            <v>0.17</v>
          </cell>
          <cell r="AB229">
            <v>0.18</v>
          </cell>
          <cell r="AC229">
            <v>0.12</v>
          </cell>
          <cell r="AD229">
            <v>0.18</v>
          </cell>
          <cell r="AF229">
            <v>0.1</v>
          </cell>
        </row>
        <row r="230">
          <cell r="C230" t="str">
            <v>8535.10.00</v>
          </cell>
          <cell r="D230">
            <v>0.17</v>
          </cell>
          <cell r="E230">
            <v>0.18</v>
          </cell>
          <cell r="F230">
            <v>0.18</v>
          </cell>
          <cell r="G230">
            <v>0.18</v>
          </cell>
          <cell r="H230">
            <v>0.18</v>
          </cell>
          <cell r="I230">
            <v>0.18</v>
          </cell>
          <cell r="J230">
            <v>0.18</v>
          </cell>
          <cell r="K230">
            <v>0.12</v>
          </cell>
          <cell r="L230">
            <v>0.17</v>
          </cell>
          <cell r="M230">
            <v>0.18</v>
          </cell>
          <cell r="N230">
            <v>0.18</v>
          </cell>
          <cell r="O230">
            <v>0.17</v>
          </cell>
          <cell r="P230">
            <v>0.17</v>
          </cell>
          <cell r="Q230">
            <v>0.17</v>
          </cell>
          <cell r="R230">
            <v>0.18</v>
          </cell>
          <cell r="S230">
            <v>0.18</v>
          </cell>
          <cell r="T230">
            <v>0.18</v>
          </cell>
          <cell r="U230">
            <v>0.18</v>
          </cell>
          <cell r="V230">
            <v>0.2</v>
          </cell>
          <cell r="W230">
            <v>0.18</v>
          </cell>
          <cell r="X230">
            <v>0.17499999999999999</v>
          </cell>
          <cell r="Y230">
            <v>0.17</v>
          </cell>
          <cell r="Z230">
            <v>0.18</v>
          </cell>
          <cell r="AA230">
            <v>0.17</v>
          </cell>
          <cell r="AB230">
            <v>0.18</v>
          </cell>
          <cell r="AC230">
            <v>0.18</v>
          </cell>
          <cell r="AD230">
            <v>0.18</v>
          </cell>
          <cell r="AF230">
            <v>0</v>
          </cell>
        </row>
        <row r="231">
          <cell r="C231" t="str">
            <v>8535.90.00</v>
          </cell>
          <cell r="D231">
            <v>0.17</v>
          </cell>
          <cell r="E231">
            <v>0.18</v>
          </cell>
          <cell r="F231">
            <v>0.18</v>
          </cell>
          <cell r="G231">
            <v>0.18</v>
          </cell>
          <cell r="H231">
            <v>0.18</v>
          </cell>
          <cell r="I231">
            <v>0.18</v>
          </cell>
          <cell r="J231">
            <v>0.18</v>
          </cell>
          <cell r="K231">
            <v>0.12</v>
          </cell>
          <cell r="L231">
            <v>0.17</v>
          </cell>
          <cell r="M231">
            <v>0.18</v>
          </cell>
          <cell r="N231">
            <v>0.18</v>
          </cell>
          <cell r="O231">
            <v>0.17</v>
          </cell>
          <cell r="P231">
            <v>0.17</v>
          </cell>
          <cell r="Q231">
            <v>0.17</v>
          </cell>
          <cell r="R231">
            <v>0.18</v>
          </cell>
          <cell r="S231">
            <v>0.18</v>
          </cell>
          <cell r="T231">
            <v>0.18</v>
          </cell>
          <cell r="U231">
            <v>0.18</v>
          </cell>
          <cell r="V231">
            <v>0.2</v>
          </cell>
          <cell r="W231">
            <v>0.18</v>
          </cell>
          <cell r="X231">
            <v>0.17499999999999999</v>
          </cell>
          <cell r="Y231">
            <v>0.17</v>
          </cell>
          <cell r="Z231">
            <v>0.18</v>
          </cell>
          <cell r="AA231">
            <v>0.17</v>
          </cell>
          <cell r="AB231">
            <v>0.18</v>
          </cell>
          <cell r="AC231">
            <v>0.18</v>
          </cell>
          <cell r="AD231">
            <v>0.18</v>
          </cell>
          <cell r="AF231">
            <v>0.05</v>
          </cell>
        </row>
        <row r="232">
          <cell r="C232" t="str">
            <v>8536.10.00</v>
          </cell>
          <cell r="D232">
            <v>0.17</v>
          </cell>
          <cell r="E232">
            <v>0.18</v>
          </cell>
          <cell r="F232">
            <v>0.18</v>
          </cell>
          <cell r="G232">
            <v>0.18</v>
          </cell>
          <cell r="H232">
            <v>0.18</v>
          </cell>
          <cell r="I232">
            <v>0.18</v>
          </cell>
          <cell r="J232">
            <v>0.18</v>
          </cell>
          <cell r="K232">
            <v>0.17</v>
          </cell>
          <cell r="L232">
            <v>0.17</v>
          </cell>
          <cell r="M232">
            <v>0.18</v>
          </cell>
          <cell r="N232">
            <v>0.18</v>
          </cell>
          <cell r="O232">
            <v>0.17</v>
          </cell>
          <cell r="P232">
            <v>0.17</v>
          </cell>
          <cell r="Q232">
            <v>0.17</v>
          </cell>
          <cell r="R232">
            <v>0.18</v>
          </cell>
          <cell r="S232">
            <v>0.18</v>
          </cell>
          <cell r="T232">
            <v>0.18</v>
          </cell>
          <cell r="U232">
            <v>0.18</v>
          </cell>
          <cell r="V232">
            <v>0.2</v>
          </cell>
          <cell r="W232">
            <v>0.18</v>
          </cell>
          <cell r="X232">
            <v>0.17499999999999999</v>
          </cell>
          <cell r="Y232">
            <v>0.17</v>
          </cell>
          <cell r="Z232">
            <v>0.18</v>
          </cell>
          <cell r="AA232">
            <v>0.17</v>
          </cell>
          <cell r="AB232">
            <v>0.18</v>
          </cell>
          <cell r="AC232">
            <v>0.18</v>
          </cell>
          <cell r="AD232">
            <v>0.18</v>
          </cell>
          <cell r="AF232">
            <v>0.15</v>
          </cell>
        </row>
        <row r="233">
          <cell r="C233" t="str">
            <v>8536.20.00</v>
          </cell>
          <cell r="D233">
            <v>0.17</v>
          </cell>
          <cell r="E233">
            <v>0.18</v>
          </cell>
          <cell r="F233">
            <v>0.18</v>
          </cell>
          <cell r="G233">
            <v>0.18</v>
          </cell>
          <cell r="H233">
            <v>0.18</v>
          </cell>
          <cell r="I233">
            <v>0.18</v>
          </cell>
          <cell r="J233">
            <v>0.12</v>
          </cell>
          <cell r="K233">
            <v>0.17</v>
          </cell>
          <cell r="L233">
            <v>0.17</v>
          </cell>
          <cell r="M233">
            <v>0.18</v>
          </cell>
          <cell r="N233">
            <v>0.18</v>
          </cell>
          <cell r="O233">
            <v>0.17</v>
          </cell>
          <cell r="P233">
            <v>0.17</v>
          </cell>
          <cell r="Q233">
            <v>0.17</v>
          </cell>
          <cell r="R233">
            <v>0.18</v>
          </cell>
          <cell r="S233">
            <v>0.18</v>
          </cell>
          <cell r="T233">
            <v>0.18</v>
          </cell>
          <cell r="U233">
            <v>0.18</v>
          </cell>
          <cell r="V233">
            <v>0.2</v>
          </cell>
          <cell r="W233">
            <v>0.18</v>
          </cell>
          <cell r="X233">
            <v>0.17499999999999999</v>
          </cell>
          <cell r="Y233">
            <v>0.17</v>
          </cell>
          <cell r="Z233">
            <v>0.18</v>
          </cell>
          <cell r="AA233">
            <v>0.17</v>
          </cell>
          <cell r="AB233">
            <v>0.18</v>
          </cell>
          <cell r="AC233">
            <v>0.18</v>
          </cell>
          <cell r="AD233">
            <v>0.18</v>
          </cell>
          <cell r="AF233">
            <v>0.1</v>
          </cell>
        </row>
        <row r="234">
          <cell r="C234" t="str">
            <v>8536.30.90</v>
          </cell>
          <cell r="D234">
            <v>0.17</v>
          </cell>
          <cell r="E234">
            <v>0.18</v>
          </cell>
          <cell r="F234">
            <v>0.18</v>
          </cell>
          <cell r="G234">
            <v>0.18</v>
          </cell>
          <cell r="H234">
            <v>0.18</v>
          </cell>
          <cell r="I234">
            <v>0.18</v>
          </cell>
          <cell r="J234">
            <v>0.18</v>
          </cell>
          <cell r="K234">
            <v>0.12</v>
          </cell>
          <cell r="L234">
            <v>0.17</v>
          </cell>
          <cell r="M234">
            <v>0.18</v>
          </cell>
          <cell r="N234">
            <v>0.18</v>
          </cell>
          <cell r="O234">
            <v>0.17</v>
          </cell>
          <cell r="P234">
            <v>0.17</v>
          </cell>
          <cell r="Q234">
            <v>0.17</v>
          </cell>
          <cell r="R234">
            <v>0.18</v>
          </cell>
          <cell r="S234">
            <v>0.18</v>
          </cell>
          <cell r="T234">
            <v>0.18</v>
          </cell>
          <cell r="U234">
            <v>0.18</v>
          </cell>
          <cell r="V234">
            <v>0.2</v>
          </cell>
          <cell r="W234">
            <v>0.18</v>
          </cell>
          <cell r="X234">
            <v>0.17499999999999999</v>
          </cell>
          <cell r="Y234">
            <v>0.17</v>
          </cell>
          <cell r="Z234">
            <v>0.18</v>
          </cell>
          <cell r="AA234">
            <v>0.17</v>
          </cell>
          <cell r="AB234">
            <v>0.18</v>
          </cell>
          <cell r="AC234">
            <v>0.18</v>
          </cell>
          <cell r="AD234">
            <v>0.18</v>
          </cell>
          <cell r="AF234">
            <v>0.15</v>
          </cell>
        </row>
        <row r="235">
          <cell r="C235" t="str">
            <v>8536.41.00</v>
          </cell>
          <cell r="D235">
            <v>0.17</v>
          </cell>
          <cell r="E235">
            <v>0.18</v>
          </cell>
          <cell r="F235">
            <v>0.18</v>
          </cell>
          <cell r="G235">
            <v>0.18</v>
          </cell>
          <cell r="H235">
            <v>0.18</v>
          </cell>
          <cell r="I235">
            <v>0.18</v>
          </cell>
          <cell r="J235">
            <v>0.12</v>
          </cell>
          <cell r="K235">
            <v>0.12</v>
          </cell>
          <cell r="L235">
            <v>0.17</v>
          </cell>
          <cell r="M235">
            <v>0.18</v>
          </cell>
          <cell r="N235">
            <v>0.18</v>
          </cell>
          <cell r="O235">
            <v>0.17</v>
          </cell>
          <cell r="P235">
            <v>0.17</v>
          </cell>
          <cell r="Q235">
            <v>0.17</v>
          </cell>
          <cell r="R235">
            <v>0.18</v>
          </cell>
          <cell r="S235">
            <v>0.18</v>
          </cell>
          <cell r="T235">
            <v>0.18</v>
          </cell>
          <cell r="U235">
            <v>0.18</v>
          </cell>
          <cell r="V235">
            <v>0.2</v>
          </cell>
          <cell r="W235">
            <v>0.18</v>
          </cell>
          <cell r="X235">
            <v>0.17499999999999999</v>
          </cell>
          <cell r="Y235">
            <v>0.17</v>
          </cell>
          <cell r="Z235">
            <v>0.18</v>
          </cell>
          <cell r="AA235">
            <v>0.17</v>
          </cell>
          <cell r="AB235">
            <v>0.18</v>
          </cell>
          <cell r="AC235">
            <v>0.18</v>
          </cell>
          <cell r="AD235">
            <v>0.18</v>
          </cell>
          <cell r="AF235">
            <v>0.05</v>
          </cell>
        </row>
        <row r="236">
          <cell r="C236" t="str">
            <v>8536.49.00</v>
          </cell>
          <cell r="D236">
            <v>0.17</v>
          </cell>
          <cell r="E236">
            <v>0.18</v>
          </cell>
          <cell r="F236">
            <v>0.18</v>
          </cell>
          <cell r="G236">
            <v>0.18</v>
          </cell>
          <cell r="H236">
            <v>0.18</v>
          </cell>
          <cell r="I236">
            <v>0.18</v>
          </cell>
          <cell r="J236">
            <v>0.12</v>
          </cell>
          <cell r="K236">
            <v>0.12</v>
          </cell>
          <cell r="L236">
            <v>0.17</v>
          </cell>
          <cell r="M236">
            <v>0.18</v>
          </cell>
          <cell r="N236">
            <v>0.18</v>
          </cell>
          <cell r="O236">
            <v>0.17</v>
          </cell>
          <cell r="P236">
            <v>0.17</v>
          </cell>
          <cell r="Q236">
            <v>0.17</v>
          </cell>
          <cell r="R236">
            <v>0.18</v>
          </cell>
          <cell r="S236">
            <v>0.18</v>
          </cell>
          <cell r="T236">
            <v>0.18</v>
          </cell>
          <cell r="U236">
            <v>0.18</v>
          </cell>
          <cell r="V236">
            <v>0.2</v>
          </cell>
          <cell r="W236">
            <v>0.18</v>
          </cell>
          <cell r="X236">
            <v>0.17499999999999999</v>
          </cell>
          <cell r="Y236">
            <v>0.17</v>
          </cell>
          <cell r="Z236">
            <v>0.18</v>
          </cell>
          <cell r="AA236">
            <v>0.17</v>
          </cell>
          <cell r="AB236">
            <v>0.18</v>
          </cell>
          <cell r="AC236">
            <v>0.18</v>
          </cell>
          <cell r="AD236">
            <v>0.18</v>
          </cell>
          <cell r="AF236">
            <v>0.05</v>
          </cell>
        </row>
        <row r="237">
          <cell r="C237" t="str">
            <v>8536.50.90</v>
          </cell>
          <cell r="D237">
            <v>0.17</v>
          </cell>
          <cell r="E237">
            <v>0.18</v>
          </cell>
          <cell r="F237">
            <v>0.18</v>
          </cell>
          <cell r="G237">
            <v>0.18</v>
          </cell>
          <cell r="H237">
            <v>0.18</v>
          </cell>
          <cell r="I237">
            <v>0.18</v>
          </cell>
          <cell r="J237">
            <v>0.12</v>
          </cell>
          <cell r="K237">
            <v>0.17</v>
          </cell>
          <cell r="L237">
            <v>0.17</v>
          </cell>
          <cell r="M237">
            <v>0.18</v>
          </cell>
          <cell r="N237">
            <v>0.18</v>
          </cell>
          <cell r="O237">
            <v>0.17</v>
          </cell>
          <cell r="P237">
            <v>0.17</v>
          </cell>
          <cell r="Q237">
            <v>0.17</v>
          </cell>
          <cell r="R237">
            <v>0.18</v>
          </cell>
          <cell r="S237">
            <v>0.18</v>
          </cell>
          <cell r="T237">
            <v>0.18</v>
          </cell>
          <cell r="U237">
            <v>0.18</v>
          </cell>
          <cell r="V237">
            <v>0.2</v>
          </cell>
          <cell r="W237">
            <v>0.18</v>
          </cell>
          <cell r="X237">
            <v>0.17499999999999999</v>
          </cell>
          <cell r="Y237">
            <v>0.17</v>
          </cell>
          <cell r="Z237">
            <v>0.18</v>
          </cell>
          <cell r="AA237">
            <v>0.17</v>
          </cell>
          <cell r="AB237">
            <v>0.18</v>
          </cell>
          <cell r="AC237">
            <v>0.18</v>
          </cell>
          <cell r="AD237">
            <v>0.18</v>
          </cell>
          <cell r="AF237">
            <v>0.15</v>
          </cell>
        </row>
        <row r="238">
          <cell r="C238" t="str">
            <v>8536.69.10</v>
          </cell>
          <cell r="D238">
            <v>0.17</v>
          </cell>
          <cell r="E238">
            <v>0.18</v>
          </cell>
          <cell r="F238">
            <v>0.18</v>
          </cell>
          <cell r="G238">
            <v>0.18</v>
          </cell>
          <cell r="H238">
            <v>0.18</v>
          </cell>
          <cell r="I238">
            <v>0.18</v>
          </cell>
          <cell r="J238">
            <v>0.12</v>
          </cell>
          <cell r="K238">
            <v>0.17</v>
          </cell>
          <cell r="L238">
            <v>0.17</v>
          </cell>
          <cell r="M238">
            <v>0.18</v>
          </cell>
          <cell r="N238">
            <v>0.18</v>
          </cell>
          <cell r="O238">
            <v>0.17</v>
          </cell>
          <cell r="P238">
            <v>0.17</v>
          </cell>
          <cell r="Q238">
            <v>0.17</v>
          </cell>
          <cell r="R238">
            <v>0.18</v>
          </cell>
          <cell r="S238">
            <v>0.18</v>
          </cell>
          <cell r="T238">
            <v>0.18</v>
          </cell>
          <cell r="U238">
            <v>0.18</v>
          </cell>
          <cell r="V238">
            <v>0.2</v>
          </cell>
          <cell r="W238">
            <v>0.18</v>
          </cell>
          <cell r="X238">
            <v>0.17499999999999999</v>
          </cell>
          <cell r="Y238">
            <v>0.17</v>
          </cell>
          <cell r="Z238">
            <v>0.18</v>
          </cell>
          <cell r="AA238">
            <v>0.17</v>
          </cell>
          <cell r="AB238">
            <v>0.18</v>
          </cell>
          <cell r="AC238">
            <v>0.18</v>
          </cell>
          <cell r="AD238">
            <v>0.18</v>
          </cell>
          <cell r="AF238">
            <v>0.15</v>
          </cell>
        </row>
        <row r="239">
          <cell r="C239" t="str">
            <v>8536.69.90</v>
          </cell>
          <cell r="D239">
            <v>0.17</v>
          </cell>
          <cell r="E239">
            <v>0.18</v>
          </cell>
          <cell r="F239">
            <v>0.18</v>
          </cell>
          <cell r="G239">
            <v>0.18</v>
          </cell>
          <cell r="H239">
            <v>0.18</v>
          </cell>
          <cell r="I239">
            <v>0.18</v>
          </cell>
          <cell r="J239">
            <v>0.18</v>
          </cell>
          <cell r="K239">
            <v>0.17</v>
          </cell>
          <cell r="L239">
            <v>0.17</v>
          </cell>
          <cell r="M239">
            <v>0.18</v>
          </cell>
          <cell r="N239">
            <v>0.18</v>
          </cell>
          <cell r="O239">
            <v>0.17</v>
          </cell>
          <cell r="P239">
            <v>0.17</v>
          </cell>
          <cell r="Q239">
            <v>0.17</v>
          </cell>
          <cell r="R239">
            <v>0.18</v>
          </cell>
          <cell r="S239">
            <v>0.18</v>
          </cell>
          <cell r="T239">
            <v>0.18</v>
          </cell>
          <cell r="U239">
            <v>0.18</v>
          </cell>
          <cell r="V239">
            <v>0.2</v>
          </cell>
          <cell r="W239">
            <v>0.18</v>
          </cell>
          <cell r="X239">
            <v>0.17499999999999999</v>
          </cell>
          <cell r="Y239">
            <v>0.17</v>
          </cell>
          <cell r="Z239">
            <v>0.18</v>
          </cell>
          <cell r="AA239">
            <v>0.17</v>
          </cell>
          <cell r="AB239">
            <v>0.18</v>
          </cell>
          <cell r="AC239">
            <v>0.18</v>
          </cell>
          <cell r="AD239">
            <v>0.18</v>
          </cell>
          <cell r="AF239">
            <v>0.15</v>
          </cell>
        </row>
        <row r="240">
          <cell r="C240" t="str">
            <v>8536.70.00</v>
          </cell>
          <cell r="D240">
            <v>0.17</v>
          </cell>
          <cell r="E240">
            <v>0.18</v>
          </cell>
          <cell r="F240">
            <v>0.18</v>
          </cell>
          <cell r="G240">
            <v>0.18</v>
          </cell>
          <cell r="H240">
            <v>0.18</v>
          </cell>
          <cell r="I240">
            <v>0.18</v>
          </cell>
          <cell r="J240">
            <v>0.18</v>
          </cell>
          <cell r="K240">
            <v>0.17</v>
          </cell>
          <cell r="L240">
            <v>0.17</v>
          </cell>
          <cell r="M240">
            <v>0.18</v>
          </cell>
          <cell r="N240">
            <v>0.18</v>
          </cell>
          <cell r="O240">
            <v>0.17</v>
          </cell>
          <cell r="P240">
            <v>0.17</v>
          </cell>
          <cell r="Q240">
            <v>0.17</v>
          </cell>
          <cell r="R240">
            <v>0.18</v>
          </cell>
          <cell r="S240">
            <v>0.18</v>
          </cell>
          <cell r="T240">
            <v>0.18</v>
          </cell>
          <cell r="U240">
            <v>0.18</v>
          </cell>
          <cell r="V240">
            <v>0.2</v>
          </cell>
          <cell r="W240">
            <v>0.18</v>
          </cell>
          <cell r="X240">
            <v>0.17499999999999999</v>
          </cell>
          <cell r="Y240">
            <v>0.17</v>
          </cell>
          <cell r="Z240">
            <v>0.18</v>
          </cell>
          <cell r="AA240">
            <v>0.17</v>
          </cell>
          <cell r="AB240">
            <v>0.18</v>
          </cell>
          <cell r="AC240">
            <v>0.18</v>
          </cell>
          <cell r="AD240">
            <v>0.18</v>
          </cell>
          <cell r="AF240">
            <v>0.15</v>
          </cell>
        </row>
        <row r="241">
          <cell r="C241" t="str">
            <v>8536.90.10</v>
          </cell>
          <cell r="D241">
            <v>0.17</v>
          </cell>
          <cell r="E241">
            <v>0.18</v>
          </cell>
          <cell r="F241">
            <v>0.18</v>
          </cell>
          <cell r="G241">
            <v>0.18</v>
          </cell>
          <cell r="H241">
            <v>0.18</v>
          </cell>
          <cell r="I241">
            <v>0.18</v>
          </cell>
          <cell r="J241">
            <v>0.18</v>
          </cell>
          <cell r="K241">
            <v>0.17</v>
          </cell>
          <cell r="L241">
            <v>0.17</v>
          </cell>
          <cell r="M241">
            <v>0.18</v>
          </cell>
          <cell r="N241">
            <v>0.18</v>
          </cell>
          <cell r="O241">
            <v>0.17</v>
          </cell>
          <cell r="P241">
            <v>0.17</v>
          </cell>
          <cell r="Q241">
            <v>0.17</v>
          </cell>
          <cell r="R241">
            <v>0.18</v>
          </cell>
          <cell r="S241">
            <v>0.18</v>
          </cell>
          <cell r="T241">
            <v>0.18</v>
          </cell>
          <cell r="U241">
            <v>0.18</v>
          </cell>
          <cell r="V241">
            <v>0.2</v>
          </cell>
          <cell r="W241">
            <v>0.18</v>
          </cell>
          <cell r="X241">
            <v>0.17499999999999999</v>
          </cell>
          <cell r="Y241">
            <v>0.17</v>
          </cell>
          <cell r="Z241">
            <v>0.18</v>
          </cell>
          <cell r="AA241">
            <v>0.17</v>
          </cell>
          <cell r="AB241">
            <v>0.18</v>
          </cell>
          <cell r="AC241">
            <v>0.18</v>
          </cell>
          <cell r="AD241">
            <v>0.18</v>
          </cell>
          <cell r="AF241">
            <v>0.15</v>
          </cell>
        </row>
        <row r="242">
          <cell r="C242" t="str">
            <v>8536.90.40</v>
          </cell>
          <cell r="D242">
            <v>0.17</v>
          </cell>
          <cell r="E242">
            <v>0.18</v>
          </cell>
          <cell r="F242">
            <v>0.18</v>
          </cell>
          <cell r="G242">
            <v>0.18</v>
          </cell>
          <cell r="H242">
            <v>0.18</v>
          </cell>
          <cell r="I242">
            <v>0.18</v>
          </cell>
          <cell r="J242">
            <v>0.12</v>
          </cell>
          <cell r="K242">
            <v>0.17</v>
          </cell>
          <cell r="L242">
            <v>0.17</v>
          </cell>
          <cell r="M242">
            <v>0.18</v>
          </cell>
          <cell r="N242">
            <v>0.18</v>
          </cell>
          <cell r="O242">
            <v>0.17</v>
          </cell>
          <cell r="P242">
            <v>0.17</v>
          </cell>
          <cell r="Q242">
            <v>0.17</v>
          </cell>
          <cell r="R242">
            <v>0.18</v>
          </cell>
          <cell r="S242">
            <v>7.0000000000000007E-2</v>
          </cell>
          <cell r="T242">
            <v>0.18</v>
          </cell>
          <cell r="U242">
            <v>0.18</v>
          </cell>
          <cell r="V242">
            <v>0.2</v>
          </cell>
          <cell r="W242">
            <v>0.18</v>
          </cell>
          <cell r="X242">
            <v>0.17499999999999999</v>
          </cell>
          <cell r="Y242">
            <v>0.17</v>
          </cell>
          <cell r="Z242">
            <v>0.18</v>
          </cell>
          <cell r="AA242">
            <v>0.17</v>
          </cell>
          <cell r="AB242">
            <v>0.18</v>
          </cell>
          <cell r="AC242">
            <v>0.18</v>
          </cell>
          <cell r="AD242">
            <v>0.18</v>
          </cell>
          <cell r="AF242">
            <v>0.1</v>
          </cell>
        </row>
        <row r="243">
          <cell r="C243" t="str">
            <v>8536.90.90</v>
          </cell>
          <cell r="D243">
            <v>0.17</v>
          </cell>
          <cell r="E243">
            <v>0.18</v>
          </cell>
          <cell r="F243">
            <v>0.18</v>
          </cell>
          <cell r="G243">
            <v>0.18</v>
          </cell>
          <cell r="H243">
            <v>0.18</v>
          </cell>
          <cell r="I243">
            <v>0.18</v>
          </cell>
          <cell r="J243">
            <v>0.18</v>
          </cell>
          <cell r="K243">
            <v>0.17</v>
          </cell>
          <cell r="L243">
            <v>0.17</v>
          </cell>
          <cell r="M243">
            <v>0.18</v>
          </cell>
          <cell r="N243">
            <v>0.18</v>
          </cell>
          <cell r="O243">
            <v>0.17</v>
          </cell>
          <cell r="P243">
            <v>0.17</v>
          </cell>
          <cell r="Q243">
            <v>0.17</v>
          </cell>
          <cell r="R243">
            <v>0.18</v>
          </cell>
          <cell r="S243">
            <v>0.18</v>
          </cell>
          <cell r="T243">
            <v>0.18</v>
          </cell>
          <cell r="U243">
            <v>0.18</v>
          </cell>
          <cell r="V243">
            <v>0.2</v>
          </cell>
          <cell r="W243">
            <v>0.18</v>
          </cell>
          <cell r="X243">
            <v>0.17499999999999999</v>
          </cell>
          <cell r="Y243">
            <v>0.17</v>
          </cell>
          <cell r="Z243">
            <v>0.18</v>
          </cell>
          <cell r="AA243">
            <v>0.17</v>
          </cell>
          <cell r="AB243">
            <v>0.18</v>
          </cell>
          <cell r="AC243">
            <v>0.18</v>
          </cell>
          <cell r="AD243">
            <v>0.18</v>
          </cell>
          <cell r="AF243">
            <v>0.15</v>
          </cell>
        </row>
        <row r="244">
          <cell r="C244" t="str">
            <v>8537.10.19</v>
          </cell>
          <cell r="D244">
            <v>0.17</v>
          </cell>
          <cell r="E244">
            <v>0.18</v>
          </cell>
          <cell r="F244">
            <v>0.18</v>
          </cell>
          <cell r="G244">
            <v>0.18</v>
          </cell>
          <cell r="H244">
            <v>0.18</v>
          </cell>
          <cell r="I244">
            <v>0.18</v>
          </cell>
          <cell r="J244">
            <v>0.12</v>
          </cell>
          <cell r="K244">
            <v>0.12</v>
          </cell>
          <cell r="L244">
            <v>0.17</v>
          </cell>
          <cell r="M244">
            <v>0.18</v>
          </cell>
          <cell r="N244">
            <v>0.18</v>
          </cell>
          <cell r="O244">
            <v>0.17</v>
          </cell>
          <cell r="P244">
            <v>0.17</v>
          </cell>
          <cell r="Q244">
            <v>0.17</v>
          </cell>
          <cell r="R244">
            <v>0.18</v>
          </cell>
          <cell r="S244">
            <v>0.18</v>
          </cell>
          <cell r="T244">
            <v>0.18</v>
          </cell>
          <cell r="U244">
            <v>0.18</v>
          </cell>
          <cell r="V244">
            <v>0.2</v>
          </cell>
          <cell r="W244">
            <v>0.18</v>
          </cell>
          <cell r="X244">
            <v>0.17499999999999999</v>
          </cell>
          <cell r="Y244">
            <v>0.17</v>
          </cell>
          <cell r="Z244">
            <v>0.18</v>
          </cell>
          <cell r="AA244">
            <v>0.17</v>
          </cell>
          <cell r="AB244">
            <v>0.18</v>
          </cell>
          <cell r="AC244">
            <v>0.12</v>
          </cell>
          <cell r="AD244">
            <v>0.18</v>
          </cell>
          <cell r="AF244">
            <v>0.15</v>
          </cell>
        </row>
        <row r="245">
          <cell r="C245" t="str">
            <v>8537.10.20</v>
          </cell>
          <cell r="D245">
            <v>0.17</v>
          </cell>
          <cell r="E245">
            <v>0.18</v>
          </cell>
          <cell r="F245">
            <v>0.18</v>
          </cell>
          <cell r="G245">
            <v>0.18</v>
          </cell>
          <cell r="H245">
            <v>0.18</v>
          </cell>
          <cell r="I245">
            <v>0.18</v>
          </cell>
          <cell r="J245">
            <v>0.18</v>
          </cell>
          <cell r="K245">
            <v>0.12</v>
          </cell>
          <cell r="L245">
            <v>0.17</v>
          </cell>
          <cell r="M245">
            <v>0.18</v>
          </cell>
          <cell r="N245">
            <v>0.18</v>
          </cell>
          <cell r="O245">
            <v>0.17</v>
          </cell>
          <cell r="P245">
            <v>0.17</v>
          </cell>
          <cell r="Q245">
            <v>0.17</v>
          </cell>
          <cell r="R245">
            <v>0.18</v>
          </cell>
          <cell r="S245">
            <v>0.18</v>
          </cell>
          <cell r="T245">
            <v>0.18</v>
          </cell>
          <cell r="U245">
            <v>0.18</v>
          </cell>
          <cell r="V245">
            <v>0.2</v>
          </cell>
          <cell r="W245">
            <v>0.18</v>
          </cell>
          <cell r="X245">
            <v>0.17499999999999999</v>
          </cell>
          <cell r="Y245">
            <v>0.17</v>
          </cell>
          <cell r="Z245">
            <v>0.18</v>
          </cell>
          <cell r="AA245">
            <v>0.17</v>
          </cell>
          <cell r="AB245">
            <v>0.18</v>
          </cell>
          <cell r="AC245">
            <v>0.18</v>
          </cell>
          <cell r="AD245">
            <v>0.18</v>
          </cell>
          <cell r="AF245">
            <v>0</v>
          </cell>
        </row>
        <row r="246">
          <cell r="C246" t="str">
            <v>8537.10.30</v>
          </cell>
          <cell r="D246">
            <v>0.17</v>
          </cell>
          <cell r="E246">
            <v>0.18</v>
          </cell>
          <cell r="F246">
            <v>0.18</v>
          </cell>
          <cell r="G246">
            <v>0.18</v>
          </cell>
          <cell r="H246">
            <v>0.18</v>
          </cell>
          <cell r="I246">
            <v>0.18</v>
          </cell>
          <cell r="J246">
            <v>0.18</v>
          </cell>
          <cell r="K246">
            <v>0.17</v>
          </cell>
          <cell r="L246">
            <v>0.17</v>
          </cell>
          <cell r="M246">
            <v>0.18</v>
          </cell>
          <cell r="N246">
            <v>0.18</v>
          </cell>
          <cell r="O246">
            <v>0.17</v>
          </cell>
          <cell r="P246">
            <v>0.17</v>
          </cell>
          <cell r="Q246">
            <v>0.17</v>
          </cell>
          <cell r="R246">
            <v>0.18</v>
          </cell>
          <cell r="S246">
            <v>0.18</v>
          </cell>
          <cell r="T246">
            <v>0.18</v>
          </cell>
          <cell r="U246">
            <v>0.18</v>
          </cell>
          <cell r="V246">
            <v>0.2</v>
          </cell>
          <cell r="W246">
            <v>0.18</v>
          </cell>
          <cell r="X246">
            <v>0.17499999999999999</v>
          </cell>
          <cell r="Y246">
            <v>0.17</v>
          </cell>
          <cell r="Z246">
            <v>0.18</v>
          </cell>
          <cell r="AA246">
            <v>0.17</v>
          </cell>
          <cell r="AB246">
            <v>0.18</v>
          </cell>
          <cell r="AC246">
            <v>0.18</v>
          </cell>
          <cell r="AD246">
            <v>0.18</v>
          </cell>
          <cell r="AF246">
            <v>0.15</v>
          </cell>
        </row>
        <row r="247">
          <cell r="C247" t="str">
            <v>8537.10.90</v>
          </cell>
          <cell r="D247">
            <v>0.17</v>
          </cell>
          <cell r="E247">
            <v>0.18</v>
          </cell>
          <cell r="F247">
            <v>0.18</v>
          </cell>
          <cell r="G247">
            <v>0.18</v>
          </cell>
          <cell r="H247">
            <v>0.18</v>
          </cell>
          <cell r="I247">
            <v>0.18</v>
          </cell>
          <cell r="J247">
            <v>0.18</v>
          </cell>
          <cell r="K247">
            <v>0.12</v>
          </cell>
          <cell r="L247">
            <v>0.17</v>
          </cell>
          <cell r="M247">
            <v>0.18</v>
          </cell>
          <cell r="N247">
            <v>0.18</v>
          </cell>
          <cell r="O247">
            <v>0.17</v>
          </cell>
          <cell r="P247">
            <v>0.17</v>
          </cell>
          <cell r="Q247">
            <v>0.17</v>
          </cell>
          <cell r="R247">
            <v>0.18</v>
          </cell>
          <cell r="S247">
            <v>0.18</v>
          </cell>
          <cell r="T247">
            <v>0.18</v>
          </cell>
          <cell r="U247">
            <v>0.18</v>
          </cell>
          <cell r="V247">
            <v>0.2</v>
          </cell>
          <cell r="W247">
            <v>0.18</v>
          </cell>
          <cell r="X247">
            <v>0.17499999999999999</v>
          </cell>
          <cell r="Y247">
            <v>0.17</v>
          </cell>
          <cell r="Z247">
            <v>0.18</v>
          </cell>
          <cell r="AA247">
            <v>0.17</v>
          </cell>
          <cell r="AB247">
            <v>0.18</v>
          </cell>
          <cell r="AC247">
            <v>0.12</v>
          </cell>
          <cell r="AD247">
            <v>0.18</v>
          </cell>
          <cell r="AF247">
            <v>0.15</v>
          </cell>
        </row>
        <row r="248">
          <cell r="C248" t="str">
            <v>8538.10.00</v>
          </cell>
          <cell r="D248">
            <v>0.17</v>
          </cell>
          <cell r="E248">
            <v>0.18</v>
          </cell>
          <cell r="F248">
            <v>0.18</v>
          </cell>
          <cell r="G248">
            <v>0.18</v>
          </cell>
          <cell r="H248">
            <v>0.18</v>
          </cell>
          <cell r="I248">
            <v>0.18</v>
          </cell>
          <cell r="J248">
            <v>0.18</v>
          </cell>
          <cell r="K248">
            <v>0.17</v>
          </cell>
          <cell r="L248">
            <v>0.17</v>
          </cell>
          <cell r="M248">
            <v>0.18</v>
          </cell>
          <cell r="N248">
            <v>0.18</v>
          </cell>
          <cell r="O248">
            <v>0.17</v>
          </cell>
          <cell r="P248">
            <v>0.17</v>
          </cell>
          <cell r="Q248">
            <v>0.17</v>
          </cell>
          <cell r="R248">
            <v>0.18</v>
          </cell>
          <cell r="S248">
            <v>0.18</v>
          </cell>
          <cell r="T248">
            <v>0.18</v>
          </cell>
          <cell r="U248">
            <v>0.18</v>
          </cell>
          <cell r="V248">
            <v>0.2</v>
          </cell>
          <cell r="W248">
            <v>0.18</v>
          </cell>
          <cell r="X248">
            <v>0.17499999999999999</v>
          </cell>
          <cell r="Y248">
            <v>0.17</v>
          </cell>
          <cell r="Z248">
            <v>0.18</v>
          </cell>
          <cell r="AA248">
            <v>0.17</v>
          </cell>
          <cell r="AB248">
            <v>0.18</v>
          </cell>
          <cell r="AC248">
            <v>0.18</v>
          </cell>
          <cell r="AD248">
            <v>0.18</v>
          </cell>
          <cell r="AF248">
            <v>0.15</v>
          </cell>
        </row>
        <row r="249">
          <cell r="C249" t="str">
            <v>8538.90.10</v>
          </cell>
          <cell r="D249">
            <v>0.17</v>
          </cell>
          <cell r="E249">
            <v>0.18</v>
          </cell>
          <cell r="F249">
            <v>0.18</v>
          </cell>
          <cell r="G249">
            <v>0.18</v>
          </cell>
          <cell r="H249">
            <v>0.18</v>
          </cell>
          <cell r="I249">
            <v>0.18</v>
          </cell>
          <cell r="J249">
            <v>0.18</v>
          </cell>
          <cell r="K249">
            <v>0.17</v>
          </cell>
          <cell r="L249">
            <v>0.17</v>
          </cell>
          <cell r="M249">
            <v>0.18</v>
          </cell>
          <cell r="N249">
            <v>0.18</v>
          </cell>
          <cell r="O249">
            <v>0.17</v>
          </cell>
          <cell r="P249">
            <v>0.17</v>
          </cell>
          <cell r="Q249">
            <v>0.17</v>
          </cell>
          <cell r="R249">
            <v>0.18</v>
          </cell>
          <cell r="S249">
            <v>0.18</v>
          </cell>
          <cell r="T249">
            <v>0.18</v>
          </cell>
          <cell r="U249">
            <v>0.18</v>
          </cell>
          <cell r="V249">
            <v>0.2</v>
          </cell>
          <cell r="W249">
            <v>0.18</v>
          </cell>
          <cell r="X249">
            <v>0.17499999999999999</v>
          </cell>
          <cell r="Y249">
            <v>0.17</v>
          </cell>
          <cell r="Z249">
            <v>0.18</v>
          </cell>
          <cell r="AA249">
            <v>0.17</v>
          </cell>
          <cell r="AB249">
            <v>0.18</v>
          </cell>
          <cell r="AC249">
            <v>0.18</v>
          </cell>
          <cell r="AD249">
            <v>0.18</v>
          </cell>
          <cell r="AF249">
            <v>0.15</v>
          </cell>
        </row>
        <row r="250">
          <cell r="C250" t="str">
            <v>8538.90.90</v>
          </cell>
          <cell r="D250">
            <v>0.17</v>
          </cell>
          <cell r="E250">
            <v>0.18</v>
          </cell>
          <cell r="F250">
            <v>0.18</v>
          </cell>
          <cell r="G250">
            <v>0.18</v>
          </cell>
          <cell r="H250">
            <v>0.18</v>
          </cell>
          <cell r="I250">
            <v>0.18</v>
          </cell>
          <cell r="J250">
            <v>0.18</v>
          </cell>
          <cell r="K250">
            <v>0.17</v>
          </cell>
          <cell r="L250">
            <v>0.17</v>
          </cell>
          <cell r="M250">
            <v>0.18</v>
          </cell>
          <cell r="N250">
            <v>0.18</v>
          </cell>
          <cell r="O250">
            <v>0.17</v>
          </cell>
          <cell r="P250">
            <v>0.17</v>
          </cell>
          <cell r="Q250">
            <v>0.17</v>
          </cell>
          <cell r="R250">
            <v>0.18</v>
          </cell>
          <cell r="S250">
            <v>0.18</v>
          </cell>
          <cell r="T250">
            <v>0.18</v>
          </cell>
          <cell r="U250">
            <v>0.18</v>
          </cell>
          <cell r="V250">
            <v>0.2</v>
          </cell>
          <cell r="W250">
            <v>0.18</v>
          </cell>
          <cell r="X250">
            <v>0.17499999999999999</v>
          </cell>
          <cell r="Y250">
            <v>0.17</v>
          </cell>
          <cell r="Z250">
            <v>0.18</v>
          </cell>
          <cell r="AA250">
            <v>0.17</v>
          </cell>
          <cell r="AB250">
            <v>0.18</v>
          </cell>
          <cell r="AC250">
            <v>0.18</v>
          </cell>
          <cell r="AD250">
            <v>0.18</v>
          </cell>
          <cell r="AF250">
            <v>0.15</v>
          </cell>
        </row>
        <row r="251">
          <cell r="C251" t="str">
            <v>8539.31.00</v>
          </cell>
          <cell r="D251">
            <v>0.17</v>
          </cell>
          <cell r="E251">
            <v>0.18</v>
          </cell>
          <cell r="F251">
            <v>0.18</v>
          </cell>
          <cell r="G251">
            <v>0.18</v>
          </cell>
          <cell r="H251">
            <v>0.18</v>
          </cell>
          <cell r="I251">
            <v>0.18</v>
          </cell>
          <cell r="J251">
            <v>0.18</v>
          </cell>
          <cell r="K251">
            <v>0.17</v>
          </cell>
          <cell r="L251">
            <v>0.17</v>
          </cell>
          <cell r="M251">
            <v>0.18</v>
          </cell>
          <cell r="N251">
            <v>0.18</v>
          </cell>
          <cell r="O251">
            <v>0.17</v>
          </cell>
          <cell r="P251">
            <v>0.17</v>
          </cell>
          <cell r="Q251">
            <v>0.17</v>
          </cell>
          <cell r="R251">
            <v>0.18</v>
          </cell>
          <cell r="S251">
            <v>0.18</v>
          </cell>
          <cell r="T251">
            <v>0.18</v>
          </cell>
          <cell r="U251">
            <v>0.18</v>
          </cell>
          <cell r="V251">
            <v>0.2</v>
          </cell>
          <cell r="W251">
            <v>0.18</v>
          </cell>
          <cell r="X251">
            <v>0.17499999999999999</v>
          </cell>
          <cell r="Y251">
            <v>0.17</v>
          </cell>
          <cell r="Z251">
            <v>0.18</v>
          </cell>
          <cell r="AA251">
            <v>0.17</v>
          </cell>
          <cell r="AB251">
            <v>0.18</v>
          </cell>
          <cell r="AC251">
            <v>0.18</v>
          </cell>
          <cell r="AD251">
            <v>0.18</v>
          </cell>
          <cell r="AF251">
            <v>0.15</v>
          </cell>
        </row>
        <row r="252">
          <cell r="C252" t="str">
            <v>8541.10.12</v>
          </cell>
          <cell r="D252">
            <v>0.17</v>
          </cell>
          <cell r="E252">
            <v>0.18</v>
          </cell>
          <cell r="F252">
            <v>0.18</v>
          </cell>
          <cell r="G252">
            <v>0.18</v>
          </cell>
          <cell r="H252">
            <v>0.18</v>
          </cell>
          <cell r="I252">
            <v>0.18</v>
          </cell>
          <cell r="J252">
            <v>0.12</v>
          </cell>
          <cell r="K252">
            <v>0.17</v>
          </cell>
          <cell r="L252">
            <v>0.17</v>
          </cell>
          <cell r="M252">
            <v>0.18</v>
          </cell>
          <cell r="N252">
            <v>0.18</v>
          </cell>
          <cell r="O252">
            <v>0.17</v>
          </cell>
          <cell r="P252">
            <v>0.17</v>
          </cell>
          <cell r="Q252">
            <v>0.17</v>
          </cell>
          <cell r="R252">
            <v>0.18</v>
          </cell>
          <cell r="S252">
            <v>0.18</v>
          </cell>
          <cell r="T252">
            <v>0.18</v>
          </cell>
          <cell r="U252">
            <v>0.18</v>
          </cell>
          <cell r="V252">
            <v>0.2</v>
          </cell>
          <cell r="W252">
            <v>0.18</v>
          </cell>
          <cell r="X252">
            <v>0.17499999999999999</v>
          </cell>
          <cell r="Y252">
            <v>0.17</v>
          </cell>
          <cell r="Z252">
            <v>0.18</v>
          </cell>
          <cell r="AA252">
            <v>0.17</v>
          </cell>
          <cell r="AB252">
            <v>0.18</v>
          </cell>
          <cell r="AC252">
            <v>0.12</v>
          </cell>
          <cell r="AD252">
            <v>0.18</v>
          </cell>
          <cell r="AF252">
            <v>0.05</v>
          </cell>
        </row>
        <row r="253">
          <cell r="C253" t="str">
            <v>8541.29.20</v>
          </cell>
          <cell r="D253">
            <v>0.17</v>
          </cell>
          <cell r="E253">
            <v>0.18</v>
          </cell>
          <cell r="F253">
            <v>0.18</v>
          </cell>
          <cell r="G253">
            <v>0.18</v>
          </cell>
          <cell r="H253">
            <v>0.18</v>
          </cell>
          <cell r="I253">
            <v>0.18</v>
          </cell>
          <cell r="J253">
            <v>0.12</v>
          </cell>
          <cell r="K253">
            <v>0.17</v>
          </cell>
          <cell r="L253">
            <v>0.17</v>
          </cell>
          <cell r="M253">
            <v>0.18</v>
          </cell>
          <cell r="N253">
            <v>0.18</v>
          </cell>
          <cell r="O253">
            <v>0.17</v>
          </cell>
          <cell r="P253">
            <v>0.17</v>
          </cell>
          <cell r="Q253">
            <v>0.17</v>
          </cell>
          <cell r="R253">
            <v>0.18</v>
          </cell>
          <cell r="S253">
            <v>0.18</v>
          </cell>
          <cell r="T253">
            <v>0.18</v>
          </cell>
          <cell r="U253">
            <v>0.18</v>
          </cell>
          <cell r="V253">
            <v>0.2</v>
          </cell>
          <cell r="W253">
            <v>0.18</v>
          </cell>
          <cell r="X253">
            <v>0.17499999999999999</v>
          </cell>
          <cell r="Y253">
            <v>0.17</v>
          </cell>
          <cell r="Z253">
            <v>0.18</v>
          </cell>
          <cell r="AA253">
            <v>0.17</v>
          </cell>
          <cell r="AB253">
            <v>0.18</v>
          </cell>
          <cell r="AC253">
            <v>0.18</v>
          </cell>
          <cell r="AD253">
            <v>0.18</v>
          </cell>
          <cell r="AF253">
            <v>0.02</v>
          </cell>
        </row>
        <row r="254">
          <cell r="C254" t="str">
            <v>8541.40.11</v>
          </cell>
          <cell r="D254">
            <v>0.17</v>
          </cell>
          <cell r="E254">
            <v>0.18</v>
          </cell>
          <cell r="F254">
            <v>0.18</v>
          </cell>
          <cell r="G254">
            <v>0.18</v>
          </cell>
          <cell r="H254">
            <v>0.18</v>
          </cell>
          <cell r="I254">
            <v>0.18</v>
          </cell>
          <cell r="J254">
            <v>0.18</v>
          </cell>
          <cell r="K254">
            <v>0.17</v>
          </cell>
          <cell r="L254">
            <v>0.17</v>
          </cell>
          <cell r="M254">
            <v>0.18</v>
          </cell>
          <cell r="N254">
            <v>0.18</v>
          </cell>
          <cell r="O254">
            <v>0.17</v>
          </cell>
          <cell r="P254">
            <v>0.17</v>
          </cell>
          <cell r="Q254">
            <v>0.17</v>
          </cell>
          <cell r="R254">
            <v>0.18</v>
          </cell>
          <cell r="S254">
            <v>0.18</v>
          </cell>
          <cell r="T254">
            <v>0.18</v>
          </cell>
          <cell r="U254">
            <v>0.18</v>
          </cell>
          <cell r="V254">
            <v>0.2</v>
          </cell>
          <cell r="W254">
            <v>0.18</v>
          </cell>
          <cell r="X254">
            <v>0.17499999999999999</v>
          </cell>
          <cell r="Y254">
            <v>0.17</v>
          </cell>
          <cell r="Z254">
            <v>0.18</v>
          </cell>
          <cell r="AA254">
            <v>0.17</v>
          </cell>
          <cell r="AB254">
            <v>0.18</v>
          </cell>
          <cell r="AC254">
            <v>0.12</v>
          </cell>
          <cell r="AD254">
            <v>0.18</v>
          </cell>
          <cell r="AF254">
            <v>0.05</v>
          </cell>
        </row>
        <row r="255">
          <cell r="C255" t="str">
            <v>8541.40.22</v>
          </cell>
          <cell r="D255">
            <v>0.17</v>
          </cell>
          <cell r="E255">
            <v>0.18</v>
          </cell>
          <cell r="F255">
            <v>0.18</v>
          </cell>
          <cell r="G255">
            <v>0.18</v>
          </cell>
          <cell r="H255">
            <v>0.18</v>
          </cell>
          <cell r="I255">
            <v>0.18</v>
          </cell>
          <cell r="J255">
            <v>0.18</v>
          </cell>
          <cell r="K255">
            <v>0.17</v>
          </cell>
          <cell r="L255">
            <v>0.17</v>
          </cell>
          <cell r="M255">
            <v>0.18</v>
          </cell>
          <cell r="N255">
            <v>0.18</v>
          </cell>
          <cell r="O255">
            <v>0.17</v>
          </cell>
          <cell r="P255">
            <v>0.17</v>
          </cell>
          <cell r="Q255">
            <v>0.17</v>
          </cell>
          <cell r="R255">
            <v>0.18</v>
          </cell>
          <cell r="S255">
            <v>0.18</v>
          </cell>
          <cell r="T255">
            <v>0.18</v>
          </cell>
          <cell r="U255">
            <v>0.18</v>
          </cell>
          <cell r="V255">
            <v>0.2</v>
          </cell>
          <cell r="W255">
            <v>0.18</v>
          </cell>
          <cell r="X255">
            <v>0.17499999999999999</v>
          </cell>
          <cell r="Y255">
            <v>0.17</v>
          </cell>
          <cell r="Z255">
            <v>0.18</v>
          </cell>
          <cell r="AA255">
            <v>0.17</v>
          </cell>
          <cell r="AB255">
            <v>0.18</v>
          </cell>
          <cell r="AC255">
            <v>0.18</v>
          </cell>
          <cell r="AD255">
            <v>0.18</v>
          </cell>
          <cell r="AF255">
            <v>0.02</v>
          </cell>
        </row>
        <row r="256">
          <cell r="C256" t="str">
            <v>8541.40.25</v>
          </cell>
          <cell r="D256">
            <v>0.17</v>
          </cell>
          <cell r="E256">
            <v>0.18</v>
          </cell>
          <cell r="F256">
            <v>0.18</v>
          </cell>
          <cell r="G256">
            <v>0.18</v>
          </cell>
          <cell r="H256">
            <v>0.18</v>
          </cell>
          <cell r="I256">
            <v>0.18</v>
          </cell>
          <cell r="J256">
            <v>0.18</v>
          </cell>
          <cell r="K256">
            <v>0.17</v>
          </cell>
          <cell r="L256">
            <v>0.17</v>
          </cell>
          <cell r="M256">
            <v>0.18</v>
          </cell>
          <cell r="N256">
            <v>0.18</v>
          </cell>
          <cell r="O256">
            <v>0.17</v>
          </cell>
          <cell r="P256">
            <v>0.17</v>
          </cell>
          <cell r="Q256">
            <v>0.17</v>
          </cell>
          <cell r="R256">
            <v>0.18</v>
          </cell>
          <cell r="S256">
            <v>0.18</v>
          </cell>
          <cell r="T256">
            <v>0.18</v>
          </cell>
          <cell r="U256">
            <v>0.18</v>
          </cell>
          <cell r="V256">
            <v>0.2</v>
          </cell>
          <cell r="W256">
            <v>0.18</v>
          </cell>
          <cell r="X256">
            <v>0.17499999999999999</v>
          </cell>
          <cell r="Y256">
            <v>0.17</v>
          </cell>
          <cell r="Z256">
            <v>0.18</v>
          </cell>
          <cell r="AA256">
            <v>0.17</v>
          </cell>
          <cell r="AB256">
            <v>0.18</v>
          </cell>
          <cell r="AC256">
            <v>0.12</v>
          </cell>
          <cell r="AD256">
            <v>0.18</v>
          </cell>
          <cell r="AF256">
            <v>0.02</v>
          </cell>
        </row>
        <row r="257">
          <cell r="C257" t="str">
            <v>8541.40.32</v>
          </cell>
          <cell r="D257">
            <v>0.17</v>
          </cell>
          <cell r="E257">
            <v>0.18</v>
          </cell>
          <cell r="F257">
            <v>0.18</v>
          </cell>
          <cell r="G257">
            <v>0.18</v>
          </cell>
          <cell r="H257">
            <v>0.18</v>
          </cell>
          <cell r="I257">
            <v>0.18</v>
          </cell>
          <cell r="J257">
            <v>0.18</v>
          </cell>
          <cell r="K257">
            <v>0.17</v>
          </cell>
          <cell r="L257">
            <v>0.17</v>
          </cell>
          <cell r="M257">
            <v>0.18</v>
          </cell>
          <cell r="N257">
            <v>0.18</v>
          </cell>
          <cell r="O257">
            <v>0.17</v>
          </cell>
          <cell r="P257">
            <v>0.17</v>
          </cell>
          <cell r="Q257">
            <v>0.17</v>
          </cell>
          <cell r="R257">
            <v>0.18</v>
          </cell>
          <cell r="S257">
            <v>0.18</v>
          </cell>
          <cell r="T257">
            <v>0.18</v>
          </cell>
          <cell r="U257">
            <v>0.18</v>
          </cell>
          <cell r="V257">
            <v>0.2</v>
          </cell>
          <cell r="W257">
            <v>0.18</v>
          </cell>
          <cell r="X257">
            <v>0.17499999999999999</v>
          </cell>
          <cell r="Y257">
            <v>0.17</v>
          </cell>
          <cell r="Z257">
            <v>0.18</v>
          </cell>
          <cell r="AA257">
            <v>0.17</v>
          </cell>
          <cell r="AB257">
            <v>0.18</v>
          </cell>
          <cell r="AC257">
            <v>0.18</v>
          </cell>
          <cell r="AD257">
            <v>0.18</v>
          </cell>
          <cell r="AF257">
            <v>0</v>
          </cell>
        </row>
        <row r="258">
          <cell r="C258" t="str">
            <v>8541.60.10</v>
          </cell>
          <cell r="D258">
            <v>0.17</v>
          </cell>
          <cell r="E258">
            <v>0.18</v>
          </cell>
          <cell r="F258">
            <v>0.18</v>
          </cell>
          <cell r="G258">
            <v>0.18</v>
          </cell>
          <cell r="H258">
            <v>0.18</v>
          </cell>
          <cell r="I258">
            <v>0.18</v>
          </cell>
          <cell r="J258">
            <v>0.18</v>
          </cell>
          <cell r="K258">
            <v>0.17</v>
          </cell>
          <cell r="L258">
            <v>0.17</v>
          </cell>
          <cell r="M258">
            <v>0.18</v>
          </cell>
          <cell r="N258">
            <v>0.18</v>
          </cell>
          <cell r="O258">
            <v>0.17</v>
          </cell>
          <cell r="P258">
            <v>0.17</v>
          </cell>
          <cell r="Q258">
            <v>0.17</v>
          </cell>
          <cell r="R258">
            <v>0.18</v>
          </cell>
          <cell r="S258">
            <v>0.18</v>
          </cell>
          <cell r="T258">
            <v>0.18</v>
          </cell>
          <cell r="U258">
            <v>0.18</v>
          </cell>
          <cell r="V258">
            <v>0.2</v>
          </cell>
          <cell r="W258">
            <v>0.18</v>
          </cell>
          <cell r="X258">
            <v>0.17499999999999999</v>
          </cell>
          <cell r="Y258">
            <v>0.17</v>
          </cell>
          <cell r="Z258">
            <v>0.18</v>
          </cell>
          <cell r="AA258">
            <v>0.17</v>
          </cell>
          <cell r="AB258">
            <v>0.18</v>
          </cell>
          <cell r="AC258">
            <v>0.12</v>
          </cell>
          <cell r="AD258">
            <v>0.18</v>
          </cell>
          <cell r="AF258">
            <v>0.05</v>
          </cell>
        </row>
        <row r="259">
          <cell r="C259" t="str">
            <v>8541.60.90</v>
          </cell>
          <cell r="D259">
            <v>0.17</v>
          </cell>
          <cell r="E259">
            <v>0.18</v>
          </cell>
          <cell r="F259">
            <v>0.18</v>
          </cell>
          <cell r="G259">
            <v>0.18</v>
          </cell>
          <cell r="H259">
            <v>0.18</v>
          </cell>
          <cell r="I259">
            <v>0.18</v>
          </cell>
          <cell r="J259">
            <v>0.18</v>
          </cell>
          <cell r="K259">
            <v>0.17</v>
          </cell>
          <cell r="L259">
            <v>0.17</v>
          </cell>
          <cell r="M259">
            <v>0.18</v>
          </cell>
          <cell r="N259">
            <v>0.18</v>
          </cell>
          <cell r="O259">
            <v>0.17</v>
          </cell>
          <cell r="P259">
            <v>0.17</v>
          </cell>
          <cell r="Q259">
            <v>0.17</v>
          </cell>
          <cell r="R259">
            <v>0.18</v>
          </cell>
          <cell r="S259">
            <v>0.18</v>
          </cell>
          <cell r="T259">
            <v>0.18</v>
          </cell>
          <cell r="U259">
            <v>0.18</v>
          </cell>
          <cell r="V259">
            <v>0.2</v>
          </cell>
          <cell r="W259">
            <v>0.18</v>
          </cell>
          <cell r="X259">
            <v>0.17499999999999999</v>
          </cell>
          <cell r="Y259">
            <v>0.17</v>
          </cell>
          <cell r="Z259">
            <v>0.18</v>
          </cell>
          <cell r="AA259">
            <v>0.17</v>
          </cell>
          <cell r="AB259">
            <v>0.18</v>
          </cell>
          <cell r="AC259">
            <v>0.12</v>
          </cell>
          <cell r="AD259">
            <v>0.18</v>
          </cell>
          <cell r="AF259">
            <v>0.05</v>
          </cell>
        </row>
        <row r="260">
          <cell r="C260" t="str">
            <v>8542.31.90</v>
          </cell>
          <cell r="D260">
            <v>0.17</v>
          </cell>
          <cell r="E260">
            <v>0.18</v>
          </cell>
          <cell r="F260">
            <v>0.18</v>
          </cell>
          <cell r="G260">
            <v>0.18</v>
          </cell>
          <cell r="H260">
            <v>0.18</v>
          </cell>
          <cell r="I260">
            <v>0.18</v>
          </cell>
          <cell r="J260">
            <v>0.12</v>
          </cell>
          <cell r="K260">
            <v>0.17</v>
          </cell>
          <cell r="L260">
            <v>0.17</v>
          </cell>
          <cell r="M260">
            <v>0.18</v>
          </cell>
          <cell r="N260">
            <v>0.18</v>
          </cell>
          <cell r="O260">
            <v>0.17</v>
          </cell>
          <cell r="P260">
            <v>0.17</v>
          </cell>
          <cell r="Q260">
            <v>0.17</v>
          </cell>
          <cell r="R260">
            <v>0.18</v>
          </cell>
          <cell r="S260">
            <v>7.0000000000000007E-2</v>
          </cell>
          <cell r="T260">
            <v>0.12</v>
          </cell>
          <cell r="U260">
            <v>0.18</v>
          </cell>
          <cell r="V260">
            <v>0.2</v>
          </cell>
          <cell r="W260">
            <v>0.18</v>
          </cell>
          <cell r="X260">
            <v>0.17499999999999999</v>
          </cell>
          <cell r="Y260">
            <v>0.17</v>
          </cell>
          <cell r="Z260">
            <v>0.18</v>
          </cell>
          <cell r="AA260">
            <v>0.17</v>
          </cell>
          <cell r="AB260">
            <v>7.0000000000000007E-2</v>
          </cell>
          <cell r="AC260">
            <v>0.12</v>
          </cell>
          <cell r="AD260">
            <v>0.18</v>
          </cell>
          <cell r="AF260">
            <v>0.02</v>
          </cell>
        </row>
        <row r="261">
          <cell r="C261" t="str">
            <v>8542.32.29</v>
          </cell>
          <cell r="D261">
            <v>0.17</v>
          </cell>
          <cell r="E261">
            <v>0.18</v>
          </cell>
          <cell r="F261">
            <v>0.18</v>
          </cell>
          <cell r="G261">
            <v>0.18</v>
          </cell>
          <cell r="H261">
            <v>0.18</v>
          </cell>
          <cell r="I261">
            <v>0.18</v>
          </cell>
          <cell r="J261">
            <v>0.12</v>
          </cell>
          <cell r="K261">
            <v>0.17</v>
          </cell>
          <cell r="L261">
            <v>0.17</v>
          </cell>
          <cell r="M261">
            <v>0.18</v>
          </cell>
          <cell r="N261">
            <v>0.18</v>
          </cell>
          <cell r="O261">
            <v>0.17</v>
          </cell>
          <cell r="P261">
            <v>0.17</v>
          </cell>
          <cell r="Q261">
            <v>0.17</v>
          </cell>
          <cell r="R261">
            <v>0.18</v>
          </cell>
          <cell r="S261">
            <v>7.0000000000000007E-2</v>
          </cell>
          <cell r="T261">
            <v>0.12</v>
          </cell>
          <cell r="U261">
            <v>0.18</v>
          </cell>
          <cell r="V261">
            <v>0.2</v>
          </cell>
          <cell r="W261">
            <v>0.18</v>
          </cell>
          <cell r="X261">
            <v>0.17499999999999999</v>
          </cell>
          <cell r="Y261">
            <v>0.17</v>
          </cell>
          <cell r="Z261">
            <v>0.18</v>
          </cell>
          <cell r="AA261">
            <v>0.17</v>
          </cell>
          <cell r="AB261">
            <v>7.0000000000000007E-2</v>
          </cell>
          <cell r="AC261">
            <v>0.18</v>
          </cell>
          <cell r="AD261">
            <v>0.18</v>
          </cell>
          <cell r="AF261">
            <v>0.05</v>
          </cell>
        </row>
        <row r="262">
          <cell r="C262" t="str">
            <v>8542.32.99</v>
          </cell>
          <cell r="D262">
            <v>0.17</v>
          </cell>
          <cell r="E262">
            <v>0.18</v>
          </cell>
          <cell r="F262">
            <v>0.18</v>
          </cell>
          <cell r="G262">
            <v>0.18</v>
          </cell>
          <cell r="H262">
            <v>0.18</v>
          </cell>
          <cell r="I262">
            <v>0.18</v>
          </cell>
          <cell r="J262">
            <v>0.12</v>
          </cell>
          <cell r="K262">
            <v>0.17</v>
          </cell>
          <cell r="L262">
            <v>0.17</v>
          </cell>
          <cell r="M262">
            <v>0.18</v>
          </cell>
          <cell r="N262">
            <v>0.18</v>
          </cell>
          <cell r="O262">
            <v>0.17</v>
          </cell>
          <cell r="P262">
            <v>0.17</v>
          </cell>
          <cell r="Q262">
            <v>0.17</v>
          </cell>
          <cell r="R262">
            <v>0.18</v>
          </cell>
          <cell r="S262">
            <v>7.0000000000000007E-2</v>
          </cell>
          <cell r="T262">
            <v>0.12</v>
          </cell>
          <cell r="U262">
            <v>0.18</v>
          </cell>
          <cell r="V262">
            <v>0.2</v>
          </cell>
          <cell r="W262">
            <v>0.18</v>
          </cell>
          <cell r="X262">
            <v>0.17499999999999999</v>
          </cell>
          <cell r="Y262">
            <v>0.17</v>
          </cell>
          <cell r="Z262">
            <v>0.18</v>
          </cell>
          <cell r="AA262">
            <v>0.17</v>
          </cell>
          <cell r="AB262">
            <v>7.0000000000000007E-2</v>
          </cell>
          <cell r="AC262">
            <v>0.18</v>
          </cell>
          <cell r="AD262">
            <v>0.18</v>
          </cell>
          <cell r="AF262">
            <v>0.05</v>
          </cell>
        </row>
        <row r="263">
          <cell r="C263" t="str">
            <v>8542.39.19</v>
          </cell>
          <cell r="D263">
            <v>0.17</v>
          </cell>
          <cell r="E263">
            <v>0.18</v>
          </cell>
          <cell r="F263">
            <v>0.18</v>
          </cell>
          <cell r="G263">
            <v>0.18</v>
          </cell>
          <cell r="H263">
            <v>0.18</v>
          </cell>
          <cell r="I263">
            <v>0.18</v>
          </cell>
          <cell r="J263">
            <v>0.18</v>
          </cell>
          <cell r="K263">
            <v>0.17</v>
          </cell>
          <cell r="L263">
            <v>0.17</v>
          </cell>
          <cell r="M263">
            <v>0.18</v>
          </cell>
          <cell r="N263">
            <v>0.18</v>
          </cell>
          <cell r="O263">
            <v>0.17</v>
          </cell>
          <cell r="P263">
            <v>0.17</v>
          </cell>
          <cell r="Q263">
            <v>0.17</v>
          </cell>
          <cell r="R263">
            <v>0.18</v>
          </cell>
          <cell r="S263">
            <v>7.0000000000000007E-2</v>
          </cell>
          <cell r="T263">
            <v>0.12</v>
          </cell>
          <cell r="U263">
            <v>0.18</v>
          </cell>
          <cell r="V263">
            <v>0.2</v>
          </cell>
          <cell r="W263">
            <v>0.18</v>
          </cell>
          <cell r="X263">
            <v>0.17499999999999999</v>
          </cell>
          <cell r="Y263">
            <v>0.17</v>
          </cell>
          <cell r="Z263">
            <v>0.18</v>
          </cell>
          <cell r="AA263">
            <v>0.17</v>
          </cell>
          <cell r="AB263">
            <v>7.0000000000000007E-2</v>
          </cell>
          <cell r="AC263">
            <v>0.12</v>
          </cell>
          <cell r="AD263">
            <v>0.18</v>
          </cell>
          <cell r="AF263">
            <v>0.1</v>
          </cell>
        </row>
        <row r="264">
          <cell r="C264" t="str">
            <v>8542.90.90</v>
          </cell>
          <cell r="D264">
            <v>0.17</v>
          </cell>
          <cell r="E264">
            <v>0.18</v>
          </cell>
          <cell r="F264">
            <v>0.18</v>
          </cell>
          <cell r="G264">
            <v>0.18</v>
          </cell>
          <cell r="H264">
            <v>0.18</v>
          </cell>
          <cell r="I264">
            <v>0.18</v>
          </cell>
          <cell r="J264">
            <v>0.12</v>
          </cell>
          <cell r="K264">
            <v>0.17</v>
          </cell>
          <cell r="L264">
            <v>0.17</v>
          </cell>
          <cell r="M264">
            <v>0.18</v>
          </cell>
          <cell r="N264">
            <v>0.18</v>
          </cell>
          <cell r="O264">
            <v>0.17</v>
          </cell>
          <cell r="P264">
            <v>0.17</v>
          </cell>
          <cell r="Q264">
            <v>0.17</v>
          </cell>
          <cell r="R264">
            <v>0.18</v>
          </cell>
          <cell r="S264">
            <v>7.0000000000000007E-2</v>
          </cell>
          <cell r="T264">
            <v>0.12</v>
          </cell>
          <cell r="U264">
            <v>0.18</v>
          </cell>
          <cell r="V264">
            <v>0.2</v>
          </cell>
          <cell r="W264">
            <v>0.18</v>
          </cell>
          <cell r="X264">
            <v>0.17499999999999999</v>
          </cell>
          <cell r="Y264">
            <v>0.17</v>
          </cell>
          <cell r="Z264">
            <v>0.18</v>
          </cell>
          <cell r="AA264">
            <v>0.17</v>
          </cell>
          <cell r="AB264">
            <v>7.0000000000000007E-2</v>
          </cell>
          <cell r="AC264">
            <v>0.12</v>
          </cell>
          <cell r="AD264">
            <v>0.18</v>
          </cell>
          <cell r="AF264">
            <v>0.02</v>
          </cell>
        </row>
        <row r="265">
          <cell r="C265" t="str">
            <v>8543.70.13</v>
          </cell>
          <cell r="D265">
            <v>0.17</v>
          </cell>
          <cell r="E265">
            <v>0.18</v>
          </cell>
          <cell r="F265">
            <v>0.18</v>
          </cell>
          <cell r="G265">
            <v>0.18</v>
          </cell>
          <cell r="H265">
            <v>0.18</v>
          </cell>
          <cell r="I265">
            <v>0.18</v>
          </cell>
          <cell r="J265">
            <v>0.18</v>
          </cell>
          <cell r="K265">
            <v>0.17</v>
          </cell>
          <cell r="L265">
            <v>0.17</v>
          </cell>
          <cell r="M265">
            <v>0.18</v>
          </cell>
          <cell r="N265">
            <v>0.18</v>
          </cell>
          <cell r="O265">
            <v>0.17</v>
          </cell>
          <cell r="P265">
            <v>0.17</v>
          </cell>
          <cell r="Q265">
            <v>0.17</v>
          </cell>
          <cell r="R265">
            <v>0.18</v>
          </cell>
          <cell r="S265">
            <v>0.18</v>
          </cell>
          <cell r="T265">
            <v>0.18</v>
          </cell>
          <cell r="U265">
            <v>0.18</v>
          </cell>
          <cell r="V265">
            <v>0.2</v>
          </cell>
          <cell r="W265">
            <v>0.18</v>
          </cell>
          <cell r="X265">
            <v>0.17499999999999999</v>
          </cell>
          <cell r="Y265">
            <v>0.17</v>
          </cell>
          <cell r="Z265">
            <v>0.18</v>
          </cell>
          <cell r="AA265">
            <v>0.17</v>
          </cell>
          <cell r="AB265">
            <v>0.18</v>
          </cell>
          <cell r="AC265">
            <v>0.18</v>
          </cell>
          <cell r="AD265">
            <v>0.18</v>
          </cell>
          <cell r="AF265">
            <v>0.1</v>
          </cell>
        </row>
        <row r="266">
          <cell r="C266" t="str">
            <v>8543.70.39</v>
          </cell>
          <cell r="D266">
            <v>0.17</v>
          </cell>
          <cell r="E266">
            <v>0.18</v>
          </cell>
          <cell r="F266">
            <v>0.18</v>
          </cell>
          <cell r="G266">
            <v>0.18</v>
          </cell>
          <cell r="H266">
            <v>0.18</v>
          </cell>
          <cell r="I266">
            <v>0.18</v>
          </cell>
          <cell r="J266">
            <v>0.18</v>
          </cell>
          <cell r="K266">
            <v>0.12</v>
          </cell>
          <cell r="L266">
            <v>0.17</v>
          </cell>
          <cell r="M266">
            <v>0.18</v>
          </cell>
          <cell r="N266">
            <v>0.18</v>
          </cell>
          <cell r="O266">
            <v>0.17</v>
          </cell>
          <cell r="P266">
            <v>0.17</v>
          </cell>
          <cell r="Q266">
            <v>0.17</v>
          </cell>
          <cell r="R266">
            <v>0.18</v>
          </cell>
          <cell r="S266">
            <v>0.18</v>
          </cell>
          <cell r="T266">
            <v>0.12</v>
          </cell>
          <cell r="U266">
            <v>0.18</v>
          </cell>
          <cell r="V266">
            <v>0.18</v>
          </cell>
          <cell r="W266">
            <v>0.17499999999999999</v>
          </cell>
          <cell r="X266">
            <v>0.17</v>
          </cell>
          <cell r="Y266">
            <v>0.18</v>
          </cell>
          <cell r="Z266">
            <v>0.17</v>
          </cell>
          <cell r="AA266">
            <v>0.18</v>
          </cell>
          <cell r="AB266">
            <v>0.18</v>
          </cell>
          <cell r="AC266">
            <v>0.18</v>
          </cell>
          <cell r="AD266">
            <v>0.18</v>
          </cell>
          <cell r="AF266">
            <v>0.1</v>
          </cell>
        </row>
        <row r="267">
          <cell r="C267" t="str">
            <v>8543.70.40</v>
          </cell>
          <cell r="D267">
            <v>0.17</v>
          </cell>
          <cell r="E267">
            <v>0.18</v>
          </cell>
          <cell r="F267">
            <v>0.18</v>
          </cell>
          <cell r="G267">
            <v>0.18</v>
          </cell>
          <cell r="H267">
            <v>0.18</v>
          </cell>
          <cell r="I267">
            <v>0.18</v>
          </cell>
          <cell r="J267">
            <v>0.18</v>
          </cell>
          <cell r="K267">
            <v>0.17</v>
          </cell>
          <cell r="L267">
            <v>0.17</v>
          </cell>
          <cell r="M267">
            <v>0.18</v>
          </cell>
          <cell r="N267">
            <v>0.18</v>
          </cell>
          <cell r="O267">
            <v>0.17</v>
          </cell>
          <cell r="P267">
            <v>0.17</v>
          </cell>
          <cell r="Q267">
            <v>0.17</v>
          </cell>
          <cell r="R267">
            <v>0.18</v>
          </cell>
          <cell r="S267">
            <v>0.18</v>
          </cell>
          <cell r="T267">
            <v>0.18</v>
          </cell>
          <cell r="U267">
            <v>0.18</v>
          </cell>
          <cell r="V267">
            <v>0.2</v>
          </cell>
          <cell r="W267">
            <v>0.18</v>
          </cell>
          <cell r="X267">
            <v>0.17499999999999999</v>
          </cell>
          <cell r="Y267">
            <v>0.17</v>
          </cell>
          <cell r="Z267">
            <v>0.18</v>
          </cell>
          <cell r="AA267">
            <v>0.17</v>
          </cell>
          <cell r="AB267">
            <v>0.18</v>
          </cell>
          <cell r="AC267">
            <v>0.18</v>
          </cell>
          <cell r="AD267">
            <v>0.18</v>
          </cell>
          <cell r="AF267">
            <v>0.1</v>
          </cell>
        </row>
        <row r="268">
          <cell r="C268" t="str">
            <v>8543.70.99</v>
          </cell>
          <cell r="D268">
            <v>0.17</v>
          </cell>
          <cell r="E268">
            <v>0.18</v>
          </cell>
          <cell r="F268">
            <v>0.18</v>
          </cell>
          <cell r="G268">
            <v>0.18</v>
          </cell>
          <cell r="H268">
            <v>0.18</v>
          </cell>
          <cell r="I268">
            <v>0.18</v>
          </cell>
          <cell r="J268">
            <v>0.18</v>
          </cell>
          <cell r="K268">
            <v>0.12</v>
          </cell>
          <cell r="L268">
            <v>0.17</v>
          </cell>
          <cell r="M268">
            <v>0.18</v>
          </cell>
          <cell r="N268">
            <v>0.18</v>
          </cell>
          <cell r="O268">
            <v>0.17</v>
          </cell>
          <cell r="P268">
            <v>0.17</v>
          </cell>
          <cell r="Q268">
            <v>0.17</v>
          </cell>
          <cell r="R268">
            <v>0.18</v>
          </cell>
          <cell r="S268">
            <v>0.18</v>
          </cell>
          <cell r="T268">
            <v>0.18</v>
          </cell>
          <cell r="U268">
            <v>0.18</v>
          </cell>
          <cell r="V268">
            <v>0.2</v>
          </cell>
          <cell r="W268">
            <v>0.18</v>
          </cell>
          <cell r="X268">
            <v>0.17499999999999999</v>
          </cell>
          <cell r="Y268">
            <v>0.17</v>
          </cell>
          <cell r="Z268">
            <v>0.18</v>
          </cell>
          <cell r="AA268">
            <v>0.17</v>
          </cell>
          <cell r="AB268">
            <v>0.18</v>
          </cell>
          <cell r="AC268">
            <v>0.18</v>
          </cell>
          <cell r="AD268">
            <v>0.18</v>
          </cell>
          <cell r="AF268">
            <v>0.1</v>
          </cell>
        </row>
        <row r="269">
          <cell r="C269" t="str">
            <v>8543.90.90</v>
          </cell>
          <cell r="D269">
            <v>0.17</v>
          </cell>
          <cell r="E269">
            <v>0.18</v>
          </cell>
          <cell r="F269">
            <v>0.18</v>
          </cell>
          <cell r="G269">
            <v>0.18</v>
          </cell>
          <cell r="H269">
            <v>0.18</v>
          </cell>
          <cell r="I269">
            <v>0.18</v>
          </cell>
          <cell r="J269">
            <v>0.12</v>
          </cell>
          <cell r="K269">
            <v>0.17</v>
          </cell>
          <cell r="L269">
            <v>0.17</v>
          </cell>
          <cell r="M269">
            <v>0.18</v>
          </cell>
          <cell r="N269">
            <v>0.18</v>
          </cell>
          <cell r="O269">
            <v>0.17</v>
          </cell>
          <cell r="P269">
            <v>0.17</v>
          </cell>
          <cell r="Q269">
            <v>0.17</v>
          </cell>
          <cell r="R269">
            <v>0.18</v>
          </cell>
          <cell r="S269">
            <v>7.0000000000000007E-2</v>
          </cell>
          <cell r="T269">
            <v>0.18</v>
          </cell>
          <cell r="U269">
            <v>0.18</v>
          </cell>
          <cell r="V269">
            <v>0.2</v>
          </cell>
          <cell r="W269">
            <v>0.18</v>
          </cell>
          <cell r="X269">
            <v>0.17499999999999999</v>
          </cell>
          <cell r="Y269">
            <v>0.17</v>
          </cell>
          <cell r="Z269">
            <v>0.18</v>
          </cell>
          <cell r="AA269">
            <v>0.17</v>
          </cell>
          <cell r="AB269">
            <v>0.18</v>
          </cell>
          <cell r="AC269">
            <v>0.18</v>
          </cell>
          <cell r="AD269">
            <v>0.18</v>
          </cell>
          <cell r="AF269">
            <v>0.1</v>
          </cell>
        </row>
        <row r="270">
          <cell r="C270" t="str">
            <v>8544.20.00</v>
          </cell>
          <cell r="D270">
            <v>0.17</v>
          </cell>
          <cell r="E270">
            <v>0.18</v>
          </cell>
          <cell r="F270">
            <v>0.18</v>
          </cell>
          <cell r="G270">
            <v>0.18</v>
          </cell>
          <cell r="H270">
            <v>0.18</v>
          </cell>
          <cell r="I270">
            <v>0.18</v>
          </cell>
          <cell r="J270">
            <v>0.18</v>
          </cell>
          <cell r="K270">
            <v>0.17</v>
          </cell>
          <cell r="L270">
            <v>0.17</v>
          </cell>
          <cell r="M270">
            <v>0.18</v>
          </cell>
          <cell r="N270">
            <v>0.18</v>
          </cell>
          <cell r="O270">
            <v>0.17</v>
          </cell>
          <cell r="P270">
            <v>0.17</v>
          </cell>
          <cell r="Q270">
            <v>0.17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0.2</v>
          </cell>
          <cell r="W270">
            <v>0.18</v>
          </cell>
          <cell r="X270">
            <v>0.17499999999999999</v>
          </cell>
          <cell r="Y270">
            <v>0.17</v>
          </cell>
          <cell r="Z270">
            <v>0.18</v>
          </cell>
          <cell r="AA270">
            <v>0.17</v>
          </cell>
          <cell r="AB270">
            <v>0.18</v>
          </cell>
          <cell r="AC270">
            <v>0.18</v>
          </cell>
          <cell r="AD270">
            <v>0.18</v>
          </cell>
          <cell r="AF270">
            <v>0.05</v>
          </cell>
        </row>
        <row r="271">
          <cell r="C271" t="str">
            <v>8544.42.00</v>
          </cell>
          <cell r="D271">
            <v>0.17</v>
          </cell>
          <cell r="E271">
            <v>0.18</v>
          </cell>
          <cell r="F271">
            <v>0.18</v>
          </cell>
          <cell r="G271">
            <v>0.18</v>
          </cell>
          <cell r="H271">
            <v>0.18</v>
          </cell>
          <cell r="I271">
            <v>0.18</v>
          </cell>
          <cell r="J271">
            <v>0.18</v>
          </cell>
          <cell r="K271">
            <v>0.12</v>
          </cell>
          <cell r="L271">
            <v>0.17</v>
          </cell>
          <cell r="M271">
            <v>0.18</v>
          </cell>
          <cell r="N271">
            <v>0.18</v>
          </cell>
          <cell r="O271">
            <v>0.17</v>
          </cell>
          <cell r="P271">
            <v>0.17</v>
          </cell>
          <cell r="Q271">
            <v>0.17</v>
          </cell>
          <cell r="R271">
            <v>0.18</v>
          </cell>
          <cell r="S271">
            <v>7.0000000000000007E-2</v>
          </cell>
          <cell r="T271">
            <v>0.18</v>
          </cell>
          <cell r="U271">
            <v>0.18</v>
          </cell>
          <cell r="V271">
            <v>0.2</v>
          </cell>
          <cell r="W271">
            <v>0.18</v>
          </cell>
          <cell r="X271">
            <v>0.17499999999999999</v>
          </cell>
          <cell r="Y271">
            <v>0.17</v>
          </cell>
          <cell r="Z271">
            <v>0.18</v>
          </cell>
          <cell r="AA271">
            <v>0.17</v>
          </cell>
          <cell r="AB271">
            <v>0.18</v>
          </cell>
          <cell r="AC271">
            <v>0.18</v>
          </cell>
          <cell r="AD271">
            <v>0.18</v>
          </cell>
          <cell r="AF271">
            <v>0.05</v>
          </cell>
        </row>
        <row r="272">
          <cell r="C272" t="str">
            <v>8544.49.00</v>
          </cell>
          <cell r="D272">
            <v>0.17</v>
          </cell>
          <cell r="E272">
            <v>0.18</v>
          </cell>
          <cell r="F272">
            <v>0.18</v>
          </cell>
          <cell r="G272">
            <v>0.18</v>
          </cell>
          <cell r="H272">
            <v>0.18</v>
          </cell>
          <cell r="I272">
            <v>0.18</v>
          </cell>
          <cell r="J272">
            <v>0.18</v>
          </cell>
          <cell r="K272">
            <v>0.17</v>
          </cell>
          <cell r="L272">
            <v>0.17</v>
          </cell>
          <cell r="M272">
            <v>0.18</v>
          </cell>
          <cell r="N272">
            <v>0.18</v>
          </cell>
          <cell r="O272">
            <v>0.17</v>
          </cell>
          <cell r="P272">
            <v>0.17</v>
          </cell>
          <cell r="Q272">
            <v>0.17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0.2</v>
          </cell>
          <cell r="W272">
            <v>0.18</v>
          </cell>
          <cell r="X272">
            <v>0.17499999999999999</v>
          </cell>
          <cell r="Y272">
            <v>0.17</v>
          </cell>
          <cell r="Z272">
            <v>0.18</v>
          </cell>
          <cell r="AA272">
            <v>0.17</v>
          </cell>
          <cell r="AB272">
            <v>0.18</v>
          </cell>
          <cell r="AC272">
            <v>0.18</v>
          </cell>
          <cell r="AD272">
            <v>0.18</v>
          </cell>
          <cell r="AF272">
            <v>0</v>
          </cell>
        </row>
        <row r="273">
          <cell r="C273" t="str">
            <v>8544.70.10</v>
          </cell>
          <cell r="D273">
            <v>0.17</v>
          </cell>
          <cell r="E273">
            <v>0.18</v>
          </cell>
          <cell r="F273">
            <v>0.18</v>
          </cell>
          <cell r="G273">
            <v>0.18</v>
          </cell>
          <cell r="H273">
            <v>0.18</v>
          </cell>
          <cell r="I273">
            <v>0.18</v>
          </cell>
          <cell r="J273">
            <v>0.18</v>
          </cell>
          <cell r="K273">
            <v>0.17</v>
          </cell>
          <cell r="L273">
            <v>0.17</v>
          </cell>
          <cell r="M273">
            <v>0.18</v>
          </cell>
          <cell r="N273">
            <v>0.18</v>
          </cell>
          <cell r="O273">
            <v>0.17</v>
          </cell>
          <cell r="P273">
            <v>0.17</v>
          </cell>
          <cell r="Q273">
            <v>0.17</v>
          </cell>
          <cell r="R273">
            <v>0.18</v>
          </cell>
          <cell r="S273">
            <v>0.18</v>
          </cell>
          <cell r="T273">
            <v>0.18</v>
          </cell>
          <cell r="U273">
            <v>0.18</v>
          </cell>
          <cell r="V273">
            <v>0.2</v>
          </cell>
          <cell r="W273">
            <v>0.18</v>
          </cell>
          <cell r="X273">
            <v>0.17499999999999999</v>
          </cell>
          <cell r="Y273">
            <v>0.17</v>
          </cell>
          <cell r="Z273">
            <v>0.18</v>
          </cell>
          <cell r="AA273">
            <v>0.17</v>
          </cell>
          <cell r="AB273">
            <v>0.18</v>
          </cell>
          <cell r="AC273">
            <v>0.18</v>
          </cell>
          <cell r="AD273">
            <v>0.18</v>
          </cell>
          <cell r="AF273">
            <v>0.15</v>
          </cell>
        </row>
        <row r="274">
          <cell r="C274" t="str">
            <v>8544.70.20</v>
          </cell>
          <cell r="D274">
            <v>0.17</v>
          </cell>
          <cell r="E274">
            <v>0.18</v>
          </cell>
          <cell r="F274">
            <v>0.18</v>
          </cell>
          <cell r="G274">
            <v>0.18</v>
          </cell>
          <cell r="H274">
            <v>0.18</v>
          </cell>
          <cell r="I274">
            <v>0.18</v>
          </cell>
          <cell r="J274">
            <v>0.18</v>
          </cell>
          <cell r="K274">
            <v>0.17</v>
          </cell>
          <cell r="L274">
            <v>0.17</v>
          </cell>
          <cell r="M274">
            <v>0.18</v>
          </cell>
          <cell r="N274">
            <v>0.18</v>
          </cell>
          <cell r="O274">
            <v>0.17</v>
          </cell>
          <cell r="P274">
            <v>0.17</v>
          </cell>
          <cell r="Q274">
            <v>0.17</v>
          </cell>
          <cell r="R274">
            <v>0.18</v>
          </cell>
          <cell r="S274">
            <v>0.18</v>
          </cell>
          <cell r="T274">
            <v>0.18</v>
          </cell>
          <cell r="U274">
            <v>0.18</v>
          </cell>
          <cell r="V274">
            <v>0.2</v>
          </cell>
          <cell r="W274">
            <v>0.18</v>
          </cell>
          <cell r="X274">
            <v>0.17499999999999999</v>
          </cell>
          <cell r="Y274">
            <v>0.17</v>
          </cell>
          <cell r="Z274">
            <v>0.18</v>
          </cell>
          <cell r="AA274">
            <v>0.17</v>
          </cell>
          <cell r="AB274">
            <v>0.18</v>
          </cell>
          <cell r="AC274">
            <v>0.18</v>
          </cell>
          <cell r="AD274">
            <v>0.18</v>
          </cell>
          <cell r="AF274">
            <v>0.15</v>
          </cell>
        </row>
        <row r="275">
          <cell r="C275" t="str">
            <v>8544.70.90</v>
          </cell>
          <cell r="D275">
            <v>0.17</v>
          </cell>
          <cell r="E275">
            <v>0.18</v>
          </cell>
          <cell r="F275">
            <v>0.18</v>
          </cell>
          <cell r="G275">
            <v>0.18</v>
          </cell>
          <cell r="H275">
            <v>0.18</v>
          </cell>
          <cell r="I275">
            <v>0.18</v>
          </cell>
          <cell r="J275">
            <v>0.18</v>
          </cell>
          <cell r="K275">
            <v>0.17</v>
          </cell>
          <cell r="L275">
            <v>0.17</v>
          </cell>
          <cell r="M275">
            <v>0.18</v>
          </cell>
          <cell r="N275">
            <v>0.18</v>
          </cell>
          <cell r="O275">
            <v>0.17</v>
          </cell>
          <cell r="P275">
            <v>0.17</v>
          </cell>
          <cell r="Q275">
            <v>0.17</v>
          </cell>
          <cell r="R275">
            <v>0.18</v>
          </cell>
          <cell r="S275">
            <v>0.18</v>
          </cell>
          <cell r="T275">
            <v>0.18</v>
          </cell>
          <cell r="U275">
            <v>0.18</v>
          </cell>
          <cell r="V275">
            <v>0.2</v>
          </cell>
          <cell r="W275">
            <v>0.18</v>
          </cell>
          <cell r="X275">
            <v>0.17499999999999999</v>
          </cell>
          <cell r="Y275">
            <v>0.17</v>
          </cell>
          <cell r="Z275">
            <v>0.18</v>
          </cell>
          <cell r="AA275">
            <v>0.17</v>
          </cell>
          <cell r="AB275">
            <v>0.18</v>
          </cell>
          <cell r="AC275">
            <v>0.18</v>
          </cell>
          <cell r="AD275">
            <v>0.18</v>
          </cell>
          <cell r="AF275">
            <v>0.15</v>
          </cell>
        </row>
        <row r="276">
          <cell r="C276" t="str">
            <v>8547.20.90</v>
          </cell>
          <cell r="D276">
            <v>0.17</v>
          </cell>
          <cell r="E276">
            <v>0.18</v>
          </cell>
          <cell r="F276">
            <v>0.18</v>
          </cell>
          <cell r="G276">
            <v>0.18</v>
          </cell>
          <cell r="H276">
            <v>0.18</v>
          </cell>
          <cell r="I276">
            <v>0.18</v>
          </cell>
          <cell r="J276">
            <v>0.18</v>
          </cell>
          <cell r="K276">
            <v>0.17</v>
          </cell>
          <cell r="L276">
            <v>0.17</v>
          </cell>
          <cell r="M276">
            <v>0.18</v>
          </cell>
          <cell r="N276">
            <v>0.18</v>
          </cell>
          <cell r="O276">
            <v>0.17</v>
          </cell>
          <cell r="P276">
            <v>0.17</v>
          </cell>
          <cell r="Q276">
            <v>0.17</v>
          </cell>
          <cell r="R276">
            <v>0.18</v>
          </cell>
          <cell r="S276">
            <v>0.18</v>
          </cell>
          <cell r="T276">
            <v>0.18</v>
          </cell>
          <cell r="U276">
            <v>0.18</v>
          </cell>
          <cell r="V276">
            <v>0.2</v>
          </cell>
          <cell r="W276">
            <v>0.18</v>
          </cell>
          <cell r="X276">
            <v>0.17499999999999999</v>
          </cell>
          <cell r="Y276">
            <v>0.17</v>
          </cell>
          <cell r="Z276">
            <v>0.18</v>
          </cell>
          <cell r="AA276">
            <v>0.17</v>
          </cell>
          <cell r="AB276">
            <v>0.18</v>
          </cell>
          <cell r="AC276">
            <v>0.18</v>
          </cell>
          <cell r="AD276">
            <v>0.18</v>
          </cell>
          <cell r="AF276">
            <v>0.15</v>
          </cell>
        </row>
        <row r="277">
          <cell r="C277" t="str">
            <v>9002.11.10</v>
          </cell>
          <cell r="D277">
            <v>0.17</v>
          </cell>
          <cell r="E277">
            <v>0.18</v>
          </cell>
          <cell r="F277">
            <v>0.18</v>
          </cell>
          <cell r="G277">
            <v>0.18</v>
          </cell>
          <cell r="H277">
            <v>0.18</v>
          </cell>
          <cell r="I277">
            <v>0.18</v>
          </cell>
          <cell r="J277">
            <v>0.18</v>
          </cell>
          <cell r="K277">
            <v>0.17</v>
          </cell>
          <cell r="L277">
            <v>0.17</v>
          </cell>
          <cell r="M277">
            <v>0.18</v>
          </cell>
          <cell r="N277">
            <v>0.18</v>
          </cell>
          <cell r="O277">
            <v>0.17</v>
          </cell>
          <cell r="P277">
            <v>0.17</v>
          </cell>
          <cell r="Q277">
            <v>0.17</v>
          </cell>
          <cell r="R277">
            <v>0.18</v>
          </cell>
          <cell r="S277">
            <v>0.18</v>
          </cell>
          <cell r="T277">
            <v>0.18</v>
          </cell>
          <cell r="U277">
            <v>0.18</v>
          </cell>
          <cell r="V277">
            <v>0.2</v>
          </cell>
          <cell r="W277">
            <v>0.18</v>
          </cell>
          <cell r="X277">
            <v>0.17499999999999999</v>
          </cell>
          <cell r="Y277">
            <v>0.17</v>
          </cell>
          <cell r="Z277">
            <v>0.18</v>
          </cell>
          <cell r="AA277">
            <v>0.17</v>
          </cell>
          <cell r="AB277">
            <v>0.18</v>
          </cell>
          <cell r="AC277">
            <v>0.18</v>
          </cell>
          <cell r="AD277">
            <v>0.18</v>
          </cell>
          <cell r="AF277">
            <v>0.15</v>
          </cell>
        </row>
        <row r="278">
          <cell r="C278" t="str">
            <v>9002.11.90</v>
          </cell>
          <cell r="D278">
            <v>0.17</v>
          </cell>
          <cell r="E278">
            <v>0.18</v>
          </cell>
          <cell r="F278">
            <v>0.18</v>
          </cell>
          <cell r="G278">
            <v>0.18</v>
          </cell>
          <cell r="H278">
            <v>0.18</v>
          </cell>
          <cell r="I278">
            <v>0.18</v>
          </cell>
          <cell r="J278">
            <v>0.18</v>
          </cell>
          <cell r="K278">
            <v>0.17</v>
          </cell>
          <cell r="L278">
            <v>0.17</v>
          </cell>
          <cell r="M278">
            <v>0.18</v>
          </cell>
          <cell r="N278">
            <v>0.18</v>
          </cell>
          <cell r="O278">
            <v>0.17</v>
          </cell>
          <cell r="P278">
            <v>0.17</v>
          </cell>
          <cell r="Q278">
            <v>0.17</v>
          </cell>
          <cell r="R278">
            <v>0.18</v>
          </cell>
          <cell r="S278">
            <v>0.18</v>
          </cell>
          <cell r="T278">
            <v>0.18</v>
          </cell>
          <cell r="U278">
            <v>0.18</v>
          </cell>
          <cell r="V278">
            <v>0.2</v>
          </cell>
          <cell r="W278">
            <v>0.18</v>
          </cell>
          <cell r="X278">
            <v>0.17499999999999999</v>
          </cell>
          <cell r="Y278">
            <v>0.17</v>
          </cell>
          <cell r="Z278">
            <v>0.18</v>
          </cell>
          <cell r="AA278">
            <v>0.17</v>
          </cell>
          <cell r="AB278">
            <v>0.18</v>
          </cell>
          <cell r="AC278">
            <v>0.18</v>
          </cell>
          <cell r="AD278">
            <v>0.18</v>
          </cell>
          <cell r="AF278">
            <v>0.15</v>
          </cell>
        </row>
        <row r="279">
          <cell r="C279" t="str">
            <v>9013.80.10</v>
          </cell>
          <cell r="D279">
            <v>0.17</v>
          </cell>
          <cell r="E279">
            <v>0.18</v>
          </cell>
          <cell r="F279">
            <v>0.18</v>
          </cell>
          <cell r="G279">
            <v>0.18</v>
          </cell>
          <cell r="H279">
            <v>0.18</v>
          </cell>
          <cell r="I279">
            <v>0.18</v>
          </cell>
          <cell r="J279">
            <v>0.12</v>
          </cell>
          <cell r="K279">
            <v>0.17</v>
          </cell>
          <cell r="L279">
            <v>0.17</v>
          </cell>
          <cell r="M279">
            <v>0.18</v>
          </cell>
          <cell r="N279">
            <v>0.18</v>
          </cell>
          <cell r="O279">
            <v>0.17</v>
          </cell>
          <cell r="P279">
            <v>0.17</v>
          </cell>
          <cell r="Q279">
            <v>0.17</v>
          </cell>
          <cell r="R279">
            <v>0.18</v>
          </cell>
          <cell r="S279">
            <v>0.18</v>
          </cell>
          <cell r="T279">
            <v>0.18</v>
          </cell>
          <cell r="U279">
            <v>0.18</v>
          </cell>
          <cell r="V279">
            <v>0.2</v>
          </cell>
          <cell r="W279">
            <v>0.18</v>
          </cell>
          <cell r="X279">
            <v>0.17499999999999999</v>
          </cell>
          <cell r="Y279">
            <v>0.17</v>
          </cell>
          <cell r="Z279">
            <v>0.18</v>
          </cell>
          <cell r="AA279">
            <v>0.17</v>
          </cell>
          <cell r="AB279">
            <v>0.18</v>
          </cell>
          <cell r="AC279">
            <v>0.12</v>
          </cell>
          <cell r="AD279">
            <v>0.18</v>
          </cell>
          <cell r="AF279">
            <v>0.05</v>
          </cell>
        </row>
        <row r="280">
          <cell r="C280" t="str">
            <v>9013.80.90</v>
          </cell>
          <cell r="D280">
            <v>0.17</v>
          </cell>
          <cell r="E280">
            <v>0.18</v>
          </cell>
          <cell r="F280">
            <v>0.18</v>
          </cell>
          <cell r="G280">
            <v>0.18</v>
          </cell>
          <cell r="H280">
            <v>0.18</v>
          </cell>
          <cell r="I280">
            <v>0.18</v>
          </cell>
          <cell r="J280">
            <v>0.18</v>
          </cell>
          <cell r="K280">
            <v>0.17</v>
          </cell>
          <cell r="L280">
            <v>0.17</v>
          </cell>
          <cell r="M280">
            <v>0.18</v>
          </cell>
          <cell r="N280">
            <v>0.18</v>
          </cell>
          <cell r="O280">
            <v>0.17</v>
          </cell>
          <cell r="P280">
            <v>0.17</v>
          </cell>
          <cell r="Q280">
            <v>0.17</v>
          </cell>
          <cell r="R280">
            <v>0.18</v>
          </cell>
          <cell r="S280">
            <v>0.18</v>
          </cell>
          <cell r="T280">
            <v>0.18</v>
          </cell>
          <cell r="U280">
            <v>0.18</v>
          </cell>
          <cell r="V280">
            <v>0.2</v>
          </cell>
          <cell r="W280">
            <v>0.18</v>
          </cell>
          <cell r="X280">
            <v>0.17499999999999999</v>
          </cell>
          <cell r="Y280">
            <v>0.17</v>
          </cell>
          <cell r="Z280">
            <v>0.18</v>
          </cell>
          <cell r="AA280">
            <v>0.17</v>
          </cell>
          <cell r="AB280">
            <v>0.18</v>
          </cell>
          <cell r="AC280">
            <v>0.18</v>
          </cell>
          <cell r="AD280">
            <v>0.18</v>
          </cell>
          <cell r="AF280">
            <v>0.15</v>
          </cell>
        </row>
        <row r="281">
          <cell r="C281" t="str">
            <v>9015.80.90</v>
          </cell>
          <cell r="D281">
            <v>0.17</v>
          </cell>
          <cell r="E281">
            <v>0.18</v>
          </cell>
          <cell r="F281">
            <v>0.18</v>
          </cell>
          <cell r="G281">
            <v>0.18</v>
          </cell>
          <cell r="H281">
            <v>0.18</v>
          </cell>
          <cell r="I281">
            <v>0.18</v>
          </cell>
          <cell r="J281">
            <v>0.18</v>
          </cell>
          <cell r="K281">
            <v>0.17</v>
          </cell>
          <cell r="L281">
            <v>0.17</v>
          </cell>
          <cell r="M281">
            <v>0.18</v>
          </cell>
          <cell r="N281">
            <v>0.18</v>
          </cell>
          <cell r="O281">
            <v>0.17</v>
          </cell>
          <cell r="P281">
            <v>0.17</v>
          </cell>
          <cell r="Q281">
            <v>0.17</v>
          </cell>
          <cell r="R281">
            <v>0.18</v>
          </cell>
          <cell r="S281">
            <v>0.18</v>
          </cell>
          <cell r="T281">
            <v>0.18</v>
          </cell>
          <cell r="U281">
            <v>0.18</v>
          </cell>
          <cell r="V281">
            <v>0.2</v>
          </cell>
          <cell r="W281">
            <v>0.18</v>
          </cell>
          <cell r="X281">
            <v>0.17499999999999999</v>
          </cell>
          <cell r="Y281">
            <v>0.17</v>
          </cell>
          <cell r="Z281">
            <v>0.18</v>
          </cell>
          <cell r="AA281">
            <v>0.17</v>
          </cell>
          <cell r="AB281">
            <v>0.18</v>
          </cell>
          <cell r="AC281">
            <v>0.18</v>
          </cell>
          <cell r="AD281">
            <v>0.18</v>
          </cell>
          <cell r="AF281">
            <v>0.05</v>
          </cell>
        </row>
        <row r="282">
          <cell r="C282" t="str">
            <v>9015.90.90</v>
          </cell>
          <cell r="D282">
            <v>0.17</v>
          </cell>
          <cell r="E282">
            <v>0.17</v>
          </cell>
          <cell r="F282">
            <v>0.18</v>
          </cell>
          <cell r="G282">
            <v>0.18</v>
          </cell>
          <cell r="H282">
            <v>0.18</v>
          </cell>
          <cell r="I282">
            <v>0.18</v>
          </cell>
          <cell r="J282">
            <v>0.18</v>
          </cell>
          <cell r="K282">
            <v>0.17</v>
          </cell>
          <cell r="L282">
            <v>0.17</v>
          </cell>
          <cell r="M282">
            <v>0.18</v>
          </cell>
          <cell r="N282">
            <v>0.18</v>
          </cell>
          <cell r="O282">
            <v>0.17</v>
          </cell>
          <cell r="P282">
            <v>0.17</v>
          </cell>
          <cell r="Q282">
            <v>0.17</v>
          </cell>
          <cell r="R282">
            <v>0.18</v>
          </cell>
          <cell r="S282">
            <v>0.18</v>
          </cell>
          <cell r="T282">
            <v>0.18</v>
          </cell>
          <cell r="U282">
            <v>0.18</v>
          </cell>
          <cell r="V282">
            <v>0.18</v>
          </cell>
          <cell r="W282">
            <v>0.18</v>
          </cell>
          <cell r="X282">
            <v>0.17499999999999999</v>
          </cell>
          <cell r="Y282">
            <v>0.17</v>
          </cell>
          <cell r="Z282">
            <v>0.18</v>
          </cell>
          <cell r="AA282">
            <v>0.17</v>
          </cell>
          <cell r="AB282">
            <v>0.18</v>
          </cell>
          <cell r="AC282">
            <v>0.18</v>
          </cell>
          <cell r="AD282">
            <v>0.18</v>
          </cell>
          <cell r="AF282">
            <v>0</v>
          </cell>
        </row>
        <row r="283">
          <cell r="C283" t="str">
            <v>9017.20.00</v>
          </cell>
          <cell r="D283">
            <v>0.17</v>
          </cell>
          <cell r="E283">
            <v>0.18</v>
          </cell>
          <cell r="F283">
            <v>0.18</v>
          </cell>
          <cell r="G283">
            <v>0.18</v>
          </cell>
          <cell r="H283">
            <v>0.18</v>
          </cell>
          <cell r="I283">
            <v>0.18</v>
          </cell>
          <cell r="J283">
            <v>0.18</v>
          </cell>
          <cell r="K283">
            <v>0.17</v>
          </cell>
          <cell r="L283">
            <v>0.17</v>
          </cell>
          <cell r="M283">
            <v>0.18</v>
          </cell>
          <cell r="N283">
            <v>0.18</v>
          </cell>
          <cell r="O283">
            <v>0.17</v>
          </cell>
          <cell r="P283">
            <v>0.17</v>
          </cell>
          <cell r="Q283">
            <v>0.17</v>
          </cell>
          <cell r="R283">
            <v>0.18</v>
          </cell>
          <cell r="S283">
            <v>0.18</v>
          </cell>
          <cell r="T283">
            <v>0.18</v>
          </cell>
          <cell r="U283">
            <v>0.18</v>
          </cell>
          <cell r="V283">
            <v>0.2</v>
          </cell>
          <cell r="W283">
            <v>0.18</v>
          </cell>
          <cell r="X283">
            <v>0.17499999999999999</v>
          </cell>
          <cell r="Y283">
            <v>0.17</v>
          </cell>
          <cell r="Z283">
            <v>0.18</v>
          </cell>
          <cell r="AA283">
            <v>0.17</v>
          </cell>
          <cell r="AB283">
            <v>0.18</v>
          </cell>
          <cell r="AC283">
            <v>0.12</v>
          </cell>
          <cell r="AD283">
            <v>0.18</v>
          </cell>
          <cell r="AF283">
            <v>0.15</v>
          </cell>
        </row>
        <row r="284">
          <cell r="C284" t="str">
            <v>9026.10.19</v>
          </cell>
          <cell r="D284">
            <v>0.17</v>
          </cell>
          <cell r="E284">
            <v>0.18</v>
          </cell>
          <cell r="F284">
            <v>0.18</v>
          </cell>
          <cell r="G284">
            <v>0.18</v>
          </cell>
          <cell r="H284">
            <v>0.18</v>
          </cell>
          <cell r="I284">
            <v>0.18</v>
          </cell>
          <cell r="J284">
            <v>0.18</v>
          </cell>
          <cell r="K284">
            <v>0.17</v>
          </cell>
          <cell r="L284">
            <v>0.17</v>
          </cell>
          <cell r="M284">
            <v>0.18</v>
          </cell>
          <cell r="N284">
            <v>0.18</v>
          </cell>
          <cell r="O284">
            <v>0.17</v>
          </cell>
          <cell r="P284">
            <v>0.17</v>
          </cell>
          <cell r="Q284">
            <v>0.17</v>
          </cell>
          <cell r="R284">
            <v>0.18</v>
          </cell>
          <cell r="S284">
            <v>0.18</v>
          </cell>
          <cell r="T284">
            <v>0.18</v>
          </cell>
          <cell r="U284">
            <v>0.18</v>
          </cell>
          <cell r="V284">
            <v>0.2</v>
          </cell>
          <cell r="W284">
            <v>0.18</v>
          </cell>
          <cell r="X284">
            <v>0.17499999999999999</v>
          </cell>
          <cell r="Y284">
            <v>0.17</v>
          </cell>
          <cell r="Z284">
            <v>0.18</v>
          </cell>
          <cell r="AA284">
            <v>0.17</v>
          </cell>
          <cell r="AB284">
            <v>0.18</v>
          </cell>
          <cell r="AC284">
            <v>0.18</v>
          </cell>
          <cell r="AD284">
            <v>0.18</v>
          </cell>
          <cell r="AF284">
            <v>0.15</v>
          </cell>
        </row>
        <row r="285">
          <cell r="C285" t="str">
            <v>9027.80.99</v>
          </cell>
          <cell r="D285">
            <v>0.17</v>
          </cell>
          <cell r="E285">
            <v>0.17</v>
          </cell>
          <cell r="F285">
            <v>0.18</v>
          </cell>
          <cell r="G285">
            <v>0.18</v>
          </cell>
          <cell r="H285">
            <v>0.18</v>
          </cell>
          <cell r="I285">
            <v>0.18</v>
          </cell>
          <cell r="J285">
            <v>0.18</v>
          </cell>
          <cell r="K285">
            <v>0.17</v>
          </cell>
          <cell r="L285">
            <v>0.17</v>
          </cell>
          <cell r="M285">
            <v>0.18</v>
          </cell>
          <cell r="N285">
            <v>0.18</v>
          </cell>
          <cell r="O285">
            <v>0.17</v>
          </cell>
          <cell r="P285">
            <v>0.17</v>
          </cell>
          <cell r="Q285">
            <v>0.17</v>
          </cell>
          <cell r="R285">
            <v>0.18</v>
          </cell>
          <cell r="S285">
            <v>0.18</v>
          </cell>
          <cell r="T285">
            <v>0.18</v>
          </cell>
          <cell r="U285">
            <v>0.18</v>
          </cell>
          <cell r="V285">
            <v>0.18</v>
          </cell>
          <cell r="W285">
            <v>0.18</v>
          </cell>
          <cell r="X285">
            <v>0.17499999999999999</v>
          </cell>
          <cell r="Y285">
            <v>0.17</v>
          </cell>
          <cell r="Z285">
            <v>0.18</v>
          </cell>
          <cell r="AA285">
            <v>0.17</v>
          </cell>
          <cell r="AB285">
            <v>0.18</v>
          </cell>
          <cell r="AC285">
            <v>0.18</v>
          </cell>
          <cell r="AD285">
            <v>0.18</v>
          </cell>
          <cell r="AF285">
            <v>0</v>
          </cell>
        </row>
        <row r="286">
          <cell r="C286" t="str">
            <v>9026.20.90</v>
          </cell>
          <cell r="D286">
            <v>0.17</v>
          </cell>
          <cell r="E286">
            <v>0.18</v>
          </cell>
          <cell r="F286">
            <v>0.18</v>
          </cell>
          <cell r="G286">
            <v>0.18</v>
          </cell>
          <cell r="H286">
            <v>0.18</v>
          </cell>
          <cell r="I286">
            <v>0.18</v>
          </cell>
          <cell r="J286">
            <v>0.18</v>
          </cell>
          <cell r="K286">
            <v>0.12</v>
          </cell>
          <cell r="L286">
            <v>0.17</v>
          </cell>
          <cell r="M286">
            <v>0.18</v>
          </cell>
          <cell r="N286">
            <v>0.18</v>
          </cell>
          <cell r="O286">
            <v>0.17</v>
          </cell>
          <cell r="P286">
            <v>0.17</v>
          </cell>
          <cell r="Q286">
            <v>0.17</v>
          </cell>
          <cell r="R286">
            <v>0.18</v>
          </cell>
          <cell r="S286">
            <v>0.18</v>
          </cell>
          <cell r="T286">
            <v>0.18</v>
          </cell>
          <cell r="U286">
            <v>0.18</v>
          </cell>
          <cell r="V286">
            <v>0.2</v>
          </cell>
          <cell r="W286">
            <v>0.18</v>
          </cell>
          <cell r="X286">
            <v>0.17499999999999999</v>
          </cell>
          <cell r="Y286">
            <v>0.17</v>
          </cell>
          <cell r="Z286">
            <v>0.18</v>
          </cell>
          <cell r="AA286">
            <v>0.17</v>
          </cell>
          <cell r="AB286">
            <v>0.18</v>
          </cell>
          <cell r="AC286">
            <v>0.12</v>
          </cell>
          <cell r="AD286">
            <v>0.18</v>
          </cell>
          <cell r="AF286">
            <v>0</v>
          </cell>
        </row>
        <row r="287">
          <cell r="C287" t="str">
            <v>9027.10.00</v>
          </cell>
          <cell r="D287">
            <v>0.17</v>
          </cell>
          <cell r="E287">
            <v>0.18</v>
          </cell>
          <cell r="F287">
            <v>0.18</v>
          </cell>
          <cell r="G287">
            <v>0.18</v>
          </cell>
          <cell r="H287">
            <v>0.18</v>
          </cell>
          <cell r="I287">
            <v>0.18</v>
          </cell>
          <cell r="J287">
            <v>0.18</v>
          </cell>
          <cell r="K287">
            <v>0.12</v>
          </cell>
          <cell r="L287">
            <v>0.17</v>
          </cell>
          <cell r="M287">
            <v>0.18</v>
          </cell>
          <cell r="N287">
            <v>0.18</v>
          </cell>
          <cell r="O287">
            <v>0.17</v>
          </cell>
          <cell r="P287">
            <v>0.17</v>
          </cell>
          <cell r="Q287">
            <v>0.17</v>
          </cell>
          <cell r="R287">
            <v>0.18</v>
          </cell>
          <cell r="S287">
            <v>0.18</v>
          </cell>
          <cell r="T287">
            <v>0.18</v>
          </cell>
          <cell r="U287">
            <v>0.18</v>
          </cell>
          <cell r="V287">
            <v>0.2</v>
          </cell>
          <cell r="W287">
            <v>0.18</v>
          </cell>
          <cell r="X287">
            <v>0.17499999999999999</v>
          </cell>
          <cell r="Y287">
            <v>0.17</v>
          </cell>
          <cell r="Z287">
            <v>0.18</v>
          </cell>
          <cell r="AA287">
            <v>0.17</v>
          </cell>
          <cell r="AB287">
            <v>0.18</v>
          </cell>
          <cell r="AC287">
            <v>0.18</v>
          </cell>
          <cell r="AD287">
            <v>0.18</v>
          </cell>
          <cell r="AF287">
            <v>0</v>
          </cell>
        </row>
        <row r="288">
          <cell r="C288" t="str">
            <v>9027.50.90</v>
          </cell>
          <cell r="D288">
            <v>0.17</v>
          </cell>
          <cell r="E288">
            <v>0.18</v>
          </cell>
          <cell r="F288">
            <v>0.18</v>
          </cell>
          <cell r="G288">
            <v>0.18</v>
          </cell>
          <cell r="H288">
            <v>0.18</v>
          </cell>
          <cell r="I288">
            <v>0.18</v>
          </cell>
          <cell r="J288">
            <v>0.18</v>
          </cell>
          <cell r="K288">
            <v>0.12</v>
          </cell>
          <cell r="L288">
            <v>0.17</v>
          </cell>
          <cell r="M288">
            <v>0.18</v>
          </cell>
          <cell r="N288">
            <v>0.18</v>
          </cell>
          <cell r="O288">
            <v>0.17</v>
          </cell>
          <cell r="P288">
            <v>0.17</v>
          </cell>
          <cell r="Q288">
            <v>0.17</v>
          </cell>
          <cell r="R288">
            <v>0.18</v>
          </cell>
          <cell r="S288">
            <v>0.18</v>
          </cell>
          <cell r="T288">
            <v>0.18</v>
          </cell>
          <cell r="U288">
            <v>0.18</v>
          </cell>
          <cell r="V288">
            <v>0.2</v>
          </cell>
          <cell r="W288">
            <v>0.18</v>
          </cell>
          <cell r="X288">
            <v>0.17499999999999999</v>
          </cell>
          <cell r="Y288">
            <v>0.17</v>
          </cell>
          <cell r="Z288">
            <v>0.18</v>
          </cell>
          <cell r="AA288">
            <v>0.17</v>
          </cell>
          <cell r="AB288">
            <v>0.18</v>
          </cell>
          <cell r="AC288">
            <v>0.12</v>
          </cell>
          <cell r="AD288">
            <v>0.18</v>
          </cell>
          <cell r="AF288">
            <v>0</v>
          </cell>
        </row>
        <row r="289">
          <cell r="C289" t="str">
            <v>9027.90.99</v>
          </cell>
          <cell r="D289">
            <v>0.17</v>
          </cell>
          <cell r="E289">
            <v>0.18</v>
          </cell>
          <cell r="F289">
            <v>0.18</v>
          </cell>
          <cell r="G289">
            <v>0.18</v>
          </cell>
          <cell r="H289">
            <v>0.18</v>
          </cell>
          <cell r="I289">
            <v>0.18</v>
          </cell>
          <cell r="J289">
            <v>0.18</v>
          </cell>
          <cell r="K289">
            <v>0.17</v>
          </cell>
          <cell r="L289">
            <v>0.17</v>
          </cell>
          <cell r="M289">
            <v>0.18</v>
          </cell>
          <cell r="N289">
            <v>0.18</v>
          </cell>
          <cell r="O289">
            <v>0.17</v>
          </cell>
          <cell r="P289">
            <v>0.17</v>
          </cell>
          <cell r="Q289">
            <v>0.17</v>
          </cell>
          <cell r="R289">
            <v>0.18</v>
          </cell>
          <cell r="S289">
            <v>0.18</v>
          </cell>
          <cell r="T289">
            <v>0.18</v>
          </cell>
          <cell r="U289">
            <v>0.18</v>
          </cell>
          <cell r="V289">
            <v>0.2</v>
          </cell>
          <cell r="W289">
            <v>0.18</v>
          </cell>
          <cell r="X289">
            <v>0.17499999999999999</v>
          </cell>
          <cell r="Y289">
            <v>0.17</v>
          </cell>
          <cell r="Z289">
            <v>0.18</v>
          </cell>
          <cell r="AA289">
            <v>0.17</v>
          </cell>
          <cell r="AB289">
            <v>0.18</v>
          </cell>
          <cell r="AC289">
            <v>0.12</v>
          </cell>
          <cell r="AD289">
            <v>0.18</v>
          </cell>
          <cell r="AF289">
            <v>0.05</v>
          </cell>
        </row>
        <row r="290">
          <cell r="C290" t="str">
            <v>9030.32.00</v>
          </cell>
          <cell r="D290">
            <v>0.17</v>
          </cell>
          <cell r="E290">
            <v>0.18</v>
          </cell>
          <cell r="F290">
            <v>0.18</v>
          </cell>
          <cell r="G290">
            <v>0.18</v>
          </cell>
          <cell r="H290">
            <v>0.18</v>
          </cell>
          <cell r="I290">
            <v>0.18</v>
          </cell>
          <cell r="J290">
            <v>0.18</v>
          </cell>
          <cell r="K290">
            <v>0.17</v>
          </cell>
          <cell r="L290">
            <v>0.17</v>
          </cell>
          <cell r="M290">
            <v>0.18</v>
          </cell>
          <cell r="N290">
            <v>0.18</v>
          </cell>
          <cell r="O290">
            <v>0.17</v>
          </cell>
          <cell r="P290">
            <v>0.17</v>
          </cell>
          <cell r="Q290">
            <v>0.17</v>
          </cell>
          <cell r="R290">
            <v>0.18</v>
          </cell>
          <cell r="S290">
            <v>0.12</v>
          </cell>
          <cell r="T290">
            <v>0.18</v>
          </cell>
          <cell r="U290">
            <v>0.18</v>
          </cell>
          <cell r="V290">
            <v>0.2</v>
          </cell>
          <cell r="W290">
            <v>0.18</v>
          </cell>
          <cell r="X290">
            <v>0.17499999999999999</v>
          </cell>
          <cell r="Y290">
            <v>0.17</v>
          </cell>
          <cell r="Z290">
            <v>0.18</v>
          </cell>
          <cell r="AA290">
            <v>0.17</v>
          </cell>
          <cell r="AB290">
            <v>0.18</v>
          </cell>
          <cell r="AC290">
            <v>0.18</v>
          </cell>
          <cell r="AD290">
            <v>0.18</v>
          </cell>
          <cell r="AF290">
            <v>0.05</v>
          </cell>
        </row>
        <row r="291">
          <cell r="C291" t="str">
            <v>9030.33.90</v>
          </cell>
          <cell r="D291">
            <v>0.17</v>
          </cell>
          <cell r="E291">
            <v>0.18</v>
          </cell>
          <cell r="F291">
            <v>0.18</v>
          </cell>
          <cell r="G291">
            <v>0.18</v>
          </cell>
          <cell r="H291">
            <v>0.18</v>
          </cell>
          <cell r="I291">
            <v>0.18</v>
          </cell>
          <cell r="J291">
            <v>0.18</v>
          </cell>
          <cell r="K291">
            <v>0.17</v>
          </cell>
          <cell r="L291">
            <v>0.17</v>
          </cell>
          <cell r="M291">
            <v>0.18</v>
          </cell>
          <cell r="N291">
            <v>0.18</v>
          </cell>
          <cell r="O291">
            <v>0.17</v>
          </cell>
          <cell r="P291">
            <v>0.17</v>
          </cell>
          <cell r="Q291">
            <v>0.17</v>
          </cell>
          <cell r="R291">
            <v>0.18</v>
          </cell>
          <cell r="S291">
            <v>0.18</v>
          </cell>
          <cell r="T291">
            <v>0.18</v>
          </cell>
          <cell r="U291">
            <v>0.18</v>
          </cell>
          <cell r="V291">
            <v>0.2</v>
          </cell>
          <cell r="W291">
            <v>0.18</v>
          </cell>
          <cell r="X291">
            <v>0.17499999999999999</v>
          </cell>
          <cell r="Y291">
            <v>0.17</v>
          </cell>
          <cell r="Z291">
            <v>0.18</v>
          </cell>
          <cell r="AA291">
            <v>0.17</v>
          </cell>
          <cell r="AB291">
            <v>0.18</v>
          </cell>
          <cell r="AC291">
            <v>0.12</v>
          </cell>
          <cell r="AD291">
            <v>0.18</v>
          </cell>
          <cell r="AF291">
            <v>0.05</v>
          </cell>
        </row>
        <row r="292">
          <cell r="C292" t="str">
            <v>9030.40.10</v>
          </cell>
          <cell r="D292">
            <v>0.17</v>
          </cell>
          <cell r="E292">
            <v>0.18</v>
          </cell>
          <cell r="F292">
            <v>0.18</v>
          </cell>
          <cell r="G292">
            <v>0.18</v>
          </cell>
          <cell r="H292">
            <v>0.18</v>
          </cell>
          <cell r="I292">
            <v>0.18</v>
          </cell>
          <cell r="J292">
            <v>0.18</v>
          </cell>
          <cell r="K292">
            <v>0.17</v>
          </cell>
          <cell r="L292">
            <v>0.17</v>
          </cell>
          <cell r="M292">
            <v>0.18</v>
          </cell>
          <cell r="N292">
            <v>0.18</v>
          </cell>
          <cell r="O292">
            <v>0.17</v>
          </cell>
          <cell r="P292">
            <v>0.17</v>
          </cell>
          <cell r="Q292">
            <v>0.17</v>
          </cell>
          <cell r="R292">
            <v>0.18</v>
          </cell>
          <cell r="S292">
            <v>0.18</v>
          </cell>
          <cell r="T292">
            <v>0.18</v>
          </cell>
          <cell r="U292">
            <v>0.18</v>
          </cell>
          <cell r="V292">
            <v>0.2</v>
          </cell>
          <cell r="W292">
            <v>0.18</v>
          </cell>
          <cell r="X292">
            <v>0.17499999999999999</v>
          </cell>
          <cell r="Y292">
            <v>0.17</v>
          </cell>
          <cell r="Z292">
            <v>0.18</v>
          </cell>
          <cell r="AA292">
            <v>0.17</v>
          </cell>
          <cell r="AB292">
            <v>0.18</v>
          </cell>
          <cell r="AC292">
            <v>0.12</v>
          </cell>
          <cell r="AD292">
            <v>0.18</v>
          </cell>
          <cell r="AF292">
            <v>0.05</v>
          </cell>
        </row>
        <row r="293">
          <cell r="C293" t="str">
            <v>9030.40.30</v>
          </cell>
          <cell r="D293">
            <v>0.17</v>
          </cell>
          <cell r="E293">
            <v>0.18</v>
          </cell>
          <cell r="F293">
            <v>0.18</v>
          </cell>
          <cell r="G293">
            <v>0.18</v>
          </cell>
          <cell r="H293">
            <v>0.18</v>
          </cell>
          <cell r="I293">
            <v>0.18</v>
          </cell>
          <cell r="J293">
            <v>0.18</v>
          </cell>
          <cell r="K293">
            <v>0.17</v>
          </cell>
          <cell r="L293">
            <v>0.17</v>
          </cell>
          <cell r="M293">
            <v>0.18</v>
          </cell>
          <cell r="N293">
            <v>0.18</v>
          </cell>
          <cell r="O293">
            <v>0.17</v>
          </cell>
          <cell r="P293">
            <v>0.17</v>
          </cell>
          <cell r="Q293">
            <v>0.17</v>
          </cell>
          <cell r="R293">
            <v>0.18</v>
          </cell>
          <cell r="S293">
            <v>0.18</v>
          </cell>
          <cell r="T293">
            <v>0.18</v>
          </cell>
          <cell r="U293">
            <v>0.18</v>
          </cell>
          <cell r="V293">
            <v>0.2</v>
          </cell>
          <cell r="W293">
            <v>0.18</v>
          </cell>
          <cell r="X293">
            <v>0.17499999999999999</v>
          </cell>
          <cell r="Y293">
            <v>0.17</v>
          </cell>
          <cell r="Z293">
            <v>0.18</v>
          </cell>
          <cell r="AA293">
            <v>0.17</v>
          </cell>
          <cell r="AB293">
            <v>0.18</v>
          </cell>
          <cell r="AC293">
            <v>0.12</v>
          </cell>
          <cell r="AD293">
            <v>0.18</v>
          </cell>
          <cell r="AF293">
            <v>0.05</v>
          </cell>
        </row>
        <row r="294">
          <cell r="C294" t="str">
            <v>9030.40.90</v>
          </cell>
          <cell r="D294">
            <v>0.17</v>
          </cell>
          <cell r="E294">
            <v>0.18</v>
          </cell>
          <cell r="F294">
            <v>0.18</v>
          </cell>
          <cell r="G294">
            <v>0.18</v>
          </cell>
          <cell r="H294">
            <v>0.18</v>
          </cell>
          <cell r="I294">
            <v>0.18</v>
          </cell>
          <cell r="J294">
            <v>0.18</v>
          </cell>
          <cell r="K294">
            <v>0.17</v>
          </cell>
          <cell r="L294">
            <v>0.17</v>
          </cell>
          <cell r="M294">
            <v>0.18</v>
          </cell>
          <cell r="N294">
            <v>0.18</v>
          </cell>
          <cell r="O294">
            <v>0.17</v>
          </cell>
          <cell r="P294">
            <v>0.17</v>
          </cell>
          <cell r="Q294">
            <v>0.17</v>
          </cell>
          <cell r="R294">
            <v>0.18</v>
          </cell>
          <cell r="S294">
            <v>0.18</v>
          </cell>
          <cell r="T294">
            <v>0.18</v>
          </cell>
          <cell r="U294">
            <v>0.18</v>
          </cell>
          <cell r="V294">
            <v>0.2</v>
          </cell>
          <cell r="W294">
            <v>0.18</v>
          </cell>
          <cell r="X294">
            <v>0.17499999999999999</v>
          </cell>
          <cell r="Y294">
            <v>0.17</v>
          </cell>
          <cell r="Z294">
            <v>0.18</v>
          </cell>
          <cell r="AA294">
            <v>0.17</v>
          </cell>
          <cell r="AB294">
            <v>0.18</v>
          </cell>
          <cell r="AC294">
            <v>0.12</v>
          </cell>
          <cell r="AD294">
            <v>0.18</v>
          </cell>
          <cell r="AF294">
            <v>0.05</v>
          </cell>
        </row>
        <row r="295">
          <cell r="C295" t="str">
            <v>9031.80.99</v>
          </cell>
          <cell r="D295">
            <v>0.17</v>
          </cell>
          <cell r="E295">
            <v>0.18</v>
          </cell>
          <cell r="F295">
            <v>0.18</v>
          </cell>
          <cell r="G295">
            <v>0.18</v>
          </cell>
          <cell r="H295">
            <v>0.18</v>
          </cell>
          <cell r="I295">
            <v>0.18</v>
          </cell>
          <cell r="J295">
            <v>0.18</v>
          </cell>
          <cell r="K295">
            <v>0.17</v>
          </cell>
          <cell r="L295">
            <v>0.17</v>
          </cell>
          <cell r="M295">
            <v>0.18</v>
          </cell>
          <cell r="N295">
            <v>0.18</v>
          </cell>
          <cell r="O295">
            <v>0.17</v>
          </cell>
          <cell r="P295">
            <v>0.17</v>
          </cell>
          <cell r="Q295">
            <v>0.17</v>
          </cell>
          <cell r="R295">
            <v>0.18</v>
          </cell>
          <cell r="S295">
            <v>0.18</v>
          </cell>
          <cell r="T295">
            <v>0.18</v>
          </cell>
          <cell r="U295">
            <v>0.18</v>
          </cell>
          <cell r="V295">
            <v>0.2</v>
          </cell>
          <cell r="W295">
            <v>0.18</v>
          </cell>
          <cell r="X295">
            <v>0.17499999999999999</v>
          </cell>
          <cell r="Y295">
            <v>0.17</v>
          </cell>
          <cell r="Z295">
            <v>0.18</v>
          </cell>
          <cell r="AA295">
            <v>0.17</v>
          </cell>
          <cell r="AB295">
            <v>0.18</v>
          </cell>
          <cell r="AC295">
            <v>0.12</v>
          </cell>
          <cell r="AD295">
            <v>0.18</v>
          </cell>
          <cell r="AF295">
            <v>0.05</v>
          </cell>
        </row>
        <row r="296">
          <cell r="C296" t="str">
            <v>9031.90.90</v>
          </cell>
          <cell r="D296">
            <v>0.17</v>
          </cell>
          <cell r="E296">
            <v>0.18</v>
          </cell>
          <cell r="F296">
            <v>0.18</v>
          </cell>
          <cell r="G296">
            <v>0.18</v>
          </cell>
          <cell r="H296">
            <v>0.18</v>
          </cell>
          <cell r="I296">
            <v>0.18</v>
          </cell>
          <cell r="J296">
            <v>0.18</v>
          </cell>
          <cell r="K296">
            <v>0.17</v>
          </cell>
          <cell r="L296">
            <v>0.17</v>
          </cell>
          <cell r="M296">
            <v>0.18</v>
          </cell>
          <cell r="N296">
            <v>0.18</v>
          </cell>
          <cell r="O296">
            <v>0.17</v>
          </cell>
          <cell r="P296">
            <v>0.17</v>
          </cell>
          <cell r="Q296">
            <v>0.17</v>
          </cell>
          <cell r="R296">
            <v>0.18</v>
          </cell>
          <cell r="S296">
            <v>0.18</v>
          </cell>
          <cell r="T296">
            <v>0.18</v>
          </cell>
          <cell r="U296">
            <v>0.18</v>
          </cell>
          <cell r="V296">
            <v>0.2</v>
          </cell>
          <cell r="W296">
            <v>0.18</v>
          </cell>
          <cell r="X296">
            <v>0.17499999999999999</v>
          </cell>
          <cell r="Y296">
            <v>0.17</v>
          </cell>
          <cell r="Z296">
            <v>0.18</v>
          </cell>
          <cell r="AA296">
            <v>0.17</v>
          </cell>
          <cell r="AB296">
            <v>0.18</v>
          </cell>
          <cell r="AC296">
            <v>0.18</v>
          </cell>
          <cell r="AD296">
            <v>0.18</v>
          </cell>
          <cell r="AF296">
            <v>0.15</v>
          </cell>
        </row>
        <row r="297">
          <cell r="C297" t="str">
            <v>9032.10.90</v>
          </cell>
          <cell r="D297">
            <v>0.17</v>
          </cell>
          <cell r="E297">
            <v>0.18</v>
          </cell>
          <cell r="F297">
            <v>0.18</v>
          </cell>
          <cell r="G297">
            <v>0.18</v>
          </cell>
          <cell r="H297">
            <v>0.18</v>
          </cell>
          <cell r="I297">
            <v>0.18</v>
          </cell>
          <cell r="J297">
            <v>0.18</v>
          </cell>
          <cell r="K297">
            <v>0.17</v>
          </cell>
          <cell r="L297">
            <v>0.17</v>
          </cell>
          <cell r="M297">
            <v>0.18</v>
          </cell>
          <cell r="N297">
            <v>0.18</v>
          </cell>
          <cell r="O297">
            <v>0.17</v>
          </cell>
          <cell r="P297">
            <v>0.17</v>
          </cell>
          <cell r="Q297">
            <v>0.17</v>
          </cell>
          <cell r="R297">
            <v>0.18</v>
          </cell>
          <cell r="S297">
            <v>0.18</v>
          </cell>
          <cell r="T297">
            <v>0.18</v>
          </cell>
          <cell r="U297">
            <v>0.18</v>
          </cell>
          <cell r="V297">
            <v>0.2</v>
          </cell>
          <cell r="W297">
            <v>0.18</v>
          </cell>
          <cell r="X297">
            <v>0.17499999999999999</v>
          </cell>
          <cell r="Y297">
            <v>0.17</v>
          </cell>
          <cell r="Z297">
            <v>0.18</v>
          </cell>
          <cell r="AA297">
            <v>0.17</v>
          </cell>
          <cell r="AB297">
            <v>0.18</v>
          </cell>
          <cell r="AC297">
            <v>0.18</v>
          </cell>
          <cell r="AD297">
            <v>0.18</v>
          </cell>
          <cell r="AF297">
            <v>0.15</v>
          </cell>
        </row>
        <row r="298">
          <cell r="C298" t="str">
            <v>9032.89.11</v>
          </cell>
          <cell r="D298">
            <v>0.17</v>
          </cell>
          <cell r="E298">
            <v>0.18</v>
          </cell>
          <cell r="F298">
            <v>0.18</v>
          </cell>
          <cell r="G298">
            <v>0.18</v>
          </cell>
          <cell r="H298">
            <v>0.18</v>
          </cell>
          <cell r="I298">
            <v>0.18</v>
          </cell>
          <cell r="J298">
            <v>0.18</v>
          </cell>
          <cell r="K298">
            <v>0.17</v>
          </cell>
          <cell r="L298">
            <v>0.17</v>
          </cell>
          <cell r="M298">
            <v>0.18</v>
          </cell>
          <cell r="N298">
            <v>0.18</v>
          </cell>
          <cell r="O298">
            <v>0.17</v>
          </cell>
          <cell r="P298">
            <v>0.17</v>
          </cell>
          <cell r="Q298">
            <v>0.17</v>
          </cell>
          <cell r="R298">
            <v>0.18</v>
          </cell>
          <cell r="S298">
            <v>0.18</v>
          </cell>
          <cell r="T298">
            <v>0.18</v>
          </cell>
          <cell r="U298">
            <v>0.18</v>
          </cell>
          <cell r="V298">
            <v>0.2</v>
          </cell>
          <cell r="W298">
            <v>0.18</v>
          </cell>
          <cell r="X298">
            <v>0.17499999999999999</v>
          </cell>
          <cell r="Y298">
            <v>0.17</v>
          </cell>
          <cell r="Z298">
            <v>0.18</v>
          </cell>
          <cell r="AA298">
            <v>0.17</v>
          </cell>
          <cell r="AB298">
            <v>0.18</v>
          </cell>
          <cell r="AC298">
            <v>0.12</v>
          </cell>
          <cell r="AD298">
            <v>0.18</v>
          </cell>
          <cell r="AF298">
            <v>0.15</v>
          </cell>
        </row>
        <row r="299">
          <cell r="C299" t="str">
            <v>9032.89.29</v>
          </cell>
          <cell r="D299">
            <v>0.17</v>
          </cell>
          <cell r="E299">
            <v>0.18</v>
          </cell>
          <cell r="F299">
            <v>0.18</v>
          </cell>
          <cell r="G299">
            <v>0.18</v>
          </cell>
          <cell r="H299">
            <v>0.18</v>
          </cell>
          <cell r="I299">
            <v>0.18</v>
          </cell>
          <cell r="J299">
            <v>0.12</v>
          </cell>
          <cell r="K299">
            <v>0.17</v>
          </cell>
          <cell r="L299">
            <v>0.17</v>
          </cell>
          <cell r="M299">
            <v>0.18</v>
          </cell>
          <cell r="N299">
            <v>0.18</v>
          </cell>
          <cell r="O299">
            <v>0.17</v>
          </cell>
          <cell r="P299">
            <v>0.17</v>
          </cell>
          <cell r="Q299">
            <v>0.17</v>
          </cell>
          <cell r="R299">
            <v>0.18</v>
          </cell>
          <cell r="S299">
            <v>0.18</v>
          </cell>
          <cell r="T299">
            <v>0.18</v>
          </cell>
          <cell r="U299">
            <v>0.18</v>
          </cell>
          <cell r="V299">
            <v>0.2</v>
          </cell>
          <cell r="W299">
            <v>0.18</v>
          </cell>
          <cell r="X299">
            <v>0.17499999999999999</v>
          </cell>
          <cell r="Y299">
            <v>0.17</v>
          </cell>
          <cell r="Z299">
            <v>0.18</v>
          </cell>
          <cell r="AA299">
            <v>0.17</v>
          </cell>
          <cell r="AB299">
            <v>0.18</v>
          </cell>
          <cell r="AC299">
            <v>0.18</v>
          </cell>
          <cell r="AD299">
            <v>0.18</v>
          </cell>
          <cell r="AF299">
            <v>0.15</v>
          </cell>
        </row>
        <row r="300">
          <cell r="C300" t="str">
            <v>9032.89.82</v>
          </cell>
          <cell r="D300">
            <v>0.17</v>
          </cell>
          <cell r="E300">
            <v>0.18</v>
          </cell>
          <cell r="F300">
            <v>0.18</v>
          </cell>
          <cell r="G300">
            <v>0.18</v>
          </cell>
          <cell r="H300">
            <v>0.18</v>
          </cell>
          <cell r="I300">
            <v>0.18</v>
          </cell>
          <cell r="J300">
            <v>0.12</v>
          </cell>
          <cell r="K300">
            <v>0.17</v>
          </cell>
          <cell r="L300">
            <v>0.17</v>
          </cell>
          <cell r="M300">
            <v>0.18</v>
          </cell>
          <cell r="N300">
            <v>0.18</v>
          </cell>
          <cell r="O300">
            <v>0.17</v>
          </cell>
          <cell r="P300">
            <v>0.17</v>
          </cell>
          <cell r="Q300">
            <v>0.17</v>
          </cell>
          <cell r="R300">
            <v>0.18</v>
          </cell>
          <cell r="S300">
            <v>0.18</v>
          </cell>
          <cell r="T300">
            <v>0.18</v>
          </cell>
          <cell r="U300">
            <v>0.18</v>
          </cell>
          <cell r="V300">
            <v>0.2</v>
          </cell>
          <cell r="W300">
            <v>0.18</v>
          </cell>
          <cell r="X300">
            <v>0.17499999999999999</v>
          </cell>
          <cell r="Y300">
            <v>0.17</v>
          </cell>
          <cell r="Z300">
            <v>0.18</v>
          </cell>
          <cell r="AA300">
            <v>0.17</v>
          </cell>
          <cell r="AB300">
            <v>0.18</v>
          </cell>
          <cell r="AC300">
            <v>0.12</v>
          </cell>
          <cell r="AD300">
            <v>0.18</v>
          </cell>
          <cell r="AF300">
            <v>0.15</v>
          </cell>
        </row>
        <row r="301">
          <cell r="C301" t="str">
            <v>9032.89.90</v>
          </cell>
          <cell r="D301">
            <v>0.17</v>
          </cell>
          <cell r="E301">
            <v>0.18</v>
          </cell>
          <cell r="F301">
            <v>0.18</v>
          </cell>
          <cell r="G301">
            <v>0.18</v>
          </cell>
          <cell r="H301">
            <v>0.18</v>
          </cell>
          <cell r="I301">
            <v>0.18</v>
          </cell>
          <cell r="J301">
            <v>0.12</v>
          </cell>
          <cell r="K301">
            <v>0.17</v>
          </cell>
          <cell r="L301">
            <v>0.17</v>
          </cell>
          <cell r="M301">
            <v>0.18</v>
          </cell>
          <cell r="N301">
            <v>0.18</v>
          </cell>
          <cell r="O301">
            <v>0.17</v>
          </cell>
          <cell r="P301">
            <v>0.17</v>
          </cell>
          <cell r="Q301">
            <v>0.17</v>
          </cell>
          <cell r="R301">
            <v>0.18</v>
          </cell>
          <cell r="S301">
            <v>0.18</v>
          </cell>
          <cell r="T301">
            <v>0.18</v>
          </cell>
          <cell r="U301">
            <v>0.18</v>
          </cell>
          <cell r="V301">
            <v>0.2</v>
          </cell>
          <cell r="W301">
            <v>0.18</v>
          </cell>
          <cell r="X301">
            <v>0.17499999999999999</v>
          </cell>
          <cell r="Y301">
            <v>0.17</v>
          </cell>
          <cell r="Z301">
            <v>0.18</v>
          </cell>
          <cell r="AA301">
            <v>0.17</v>
          </cell>
          <cell r="AB301">
            <v>0.18</v>
          </cell>
          <cell r="AC301">
            <v>0.18</v>
          </cell>
          <cell r="AD301">
            <v>0.18</v>
          </cell>
          <cell r="AF301">
            <v>0.15</v>
          </cell>
        </row>
        <row r="302">
          <cell r="C302" t="str">
            <v>9032.89.89</v>
          </cell>
          <cell r="D302">
            <v>0.17</v>
          </cell>
          <cell r="E302">
            <v>0.17</v>
          </cell>
          <cell r="F302">
            <v>0.18</v>
          </cell>
          <cell r="G302">
            <v>0.18</v>
          </cell>
          <cell r="H302">
            <v>0.18</v>
          </cell>
          <cell r="I302">
            <v>0.18</v>
          </cell>
          <cell r="J302">
            <v>0.18</v>
          </cell>
          <cell r="K302">
            <v>0.17</v>
          </cell>
          <cell r="L302">
            <v>0.17</v>
          </cell>
          <cell r="M302">
            <v>0.18</v>
          </cell>
          <cell r="N302">
            <v>0.18</v>
          </cell>
          <cell r="O302">
            <v>0.17</v>
          </cell>
          <cell r="P302">
            <v>0.17</v>
          </cell>
          <cell r="Q302">
            <v>0.17</v>
          </cell>
          <cell r="R302">
            <v>0.18</v>
          </cell>
          <cell r="S302">
            <v>0.18</v>
          </cell>
          <cell r="T302">
            <v>0.18</v>
          </cell>
          <cell r="U302">
            <v>0.18</v>
          </cell>
          <cell r="V302">
            <v>0.18</v>
          </cell>
          <cell r="W302">
            <v>0.18</v>
          </cell>
          <cell r="X302">
            <v>0.17499999999999999</v>
          </cell>
          <cell r="Y302">
            <v>0.17</v>
          </cell>
          <cell r="Z302">
            <v>0.18</v>
          </cell>
          <cell r="AA302">
            <v>0.17</v>
          </cell>
          <cell r="AB302">
            <v>0.18</v>
          </cell>
          <cell r="AC302">
            <v>0.18</v>
          </cell>
          <cell r="AD302">
            <v>0.18</v>
          </cell>
          <cell r="AF302">
            <v>0</v>
          </cell>
        </row>
        <row r="303">
          <cell r="C303" t="str">
            <v>9102.12.20</v>
          </cell>
          <cell r="D303">
            <v>0.17</v>
          </cell>
          <cell r="E303">
            <v>0.18</v>
          </cell>
          <cell r="F303">
            <v>0.18</v>
          </cell>
          <cell r="G303">
            <v>0.18</v>
          </cell>
          <cell r="H303">
            <v>0.18</v>
          </cell>
          <cell r="I303">
            <v>0.18</v>
          </cell>
          <cell r="J303">
            <v>0.18</v>
          </cell>
          <cell r="K303">
            <v>0.17</v>
          </cell>
          <cell r="L303">
            <v>0.17</v>
          </cell>
          <cell r="M303">
            <v>0.18</v>
          </cell>
          <cell r="N303">
            <v>0.18</v>
          </cell>
          <cell r="O303">
            <v>0.17</v>
          </cell>
          <cell r="P303">
            <v>0.17</v>
          </cell>
          <cell r="Q303">
            <v>0.17</v>
          </cell>
          <cell r="R303">
            <v>0.18</v>
          </cell>
          <cell r="S303">
            <v>0.18</v>
          </cell>
          <cell r="T303">
            <v>0.18</v>
          </cell>
          <cell r="U303">
            <v>0.18</v>
          </cell>
          <cell r="V303">
            <v>0.2</v>
          </cell>
          <cell r="W303">
            <v>0.18</v>
          </cell>
          <cell r="X303">
            <v>0.17499999999999999</v>
          </cell>
          <cell r="Y303">
            <v>0.17</v>
          </cell>
          <cell r="Z303">
            <v>0.18</v>
          </cell>
          <cell r="AA303">
            <v>0.17</v>
          </cell>
          <cell r="AB303">
            <v>0.18</v>
          </cell>
          <cell r="AC303">
            <v>0.18</v>
          </cell>
          <cell r="AD303">
            <v>0.18</v>
          </cell>
          <cell r="AF303">
            <v>0.2</v>
          </cell>
        </row>
        <row r="304">
          <cell r="C304" t="str">
            <v>9402.90.10</v>
          </cell>
          <cell r="D304">
            <v>0.17</v>
          </cell>
          <cell r="E304">
            <v>0.18</v>
          </cell>
          <cell r="F304">
            <v>0.18</v>
          </cell>
          <cell r="G304">
            <v>0.18</v>
          </cell>
          <cell r="H304">
            <v>0.18</v>
          </cell>
          <cell r="I304">
            <v>0.18</v>
          </cell>
          <cell r="J304">
            <v>0.18</v>
          </cell>
          <cell r="K304">
            <v>0.17</v>
          </cell>
          <cell r="L304">
            <v>0.17</v>
          </cell>
          <cell r="M304">
            <v>0.18</v>
          </cell>
          <cell r="N304">
            <v>0.18</v>
          </cell>
          <cell r="O304">
            <v>0.17</v>
          </cell>
          <cell r="P304">
            <v>0.17</v>
          </cell>
          <cell r="Q304">
            <v>0.17</v>
          </cell>
          <cell r="R304">
            <v>0.18</v>
          </cell>
          <cell r="S304">
            <v>0.18</v>
          </cell>
          <cell r="T304">
            <v>0.18</v>
          </cell>
          <cell r="U304">
            <v>0.18</v>
          </cell>
          <cell r="V304">
            <v>0.2</v>
          </cell>
          <cell r="W304">
            <v>0.18</v>
          </cell>
          <cell r="X304">
            <v>0.17499999999999999</v>
          </cell>
          <cell r="Y304">
            <v>0.17</v>
          </cell>
          <cell r="Z304">
            <v>0.18</v>
          </cell>
          <cell r="AA304">
            <v>0.17</v>
          </cell>
          <cell r="AB304">
            <v>0.18</v>
          </cell>
          <cell r="AC304">
            <v>0.18</v>
          </cell>
          <cell r="AD304">
            <v>0.18</v>
          </cell>
          <cell r="AF304">
            <v>0.05</v>
          </cell>
        </row>
        <row r="305">
          <cell r="C305" t="str">
            <v>9403.10.00</v>
          </cell>
          <cell r="D305">
            <v>0.17</v>
          </cell>
          <cell r="E305">
            <v>0.18</v>
          </cell>
          <cell r="F305">
            <v>0.18</v>
          </cell>
          <cell r="G305">
            <v>0.18</v>
          </cell>
          <cell r="H305">
            <v>0.18</v>
          </cell>
          <cell r="I305">
            <v>0.18</v>
          </cell>
          <cell r="J305">
            <v>0.18</v>
          </cell>
          <cell r="K305">
            <v>0.17</v>
          </cell>
          <cell r="L305">
            <v>0.17</v>
          </cell>
          <cell r="M305">
            <v>0.18</v>
          </cell>
          <cell r="N305">
            <v>0.18</v>
          </cell>
          <cell r="O305">
            <v>0.17</v>
          </cell>
          <cell r="P305">
            <v>0.17</v>
          </cell>
          <cell r="Q305">
            <v>0.17</v>
          </cell>
          <cell r="R305">
            <v>0.18</v>
          </cell>
          <cell r="S305">
            <v>0.18</v>
          </cell>
          <cell r="T305">
            <v>0.18</v>
          </cell>
          <cell r="U305">
            <v>0.18</v>
          </cell>
          <cell r="V305">
            <v>0.2</v>
          </cell>
          <cell r="W305">
            <v>0.18</v>
          </cell>
          <cell r="X305">
            <v>0.17499999999999999</v>
          </cell>
          <cell r="Y305">
            <v>0.17</v>
          </cell>
          <cell r="Z305">
            <v>0.18</v>
          </cell>
          <cell r="AA305">
            <v>0.17</v>
          </cell>
          <cell r="AB305">
            <v>0.18</v>
          </cell>
          <cell r="AC305">
            <v>0.18</v>
          </cell>
          <cell r="AD305">
            <v>0.18</v>
          </cell>
          <cell r="AF305">
            <v>0.05</v>
          </cell>
        </row>
        <row r="306">
          <cell r="C306" t="str">
            <v>9403.20.00</v>
          </cell>
          <cell r="D306">
            <v>0.17</v>
          </cell>
          <cell r="E306">
            <v>0.18</v>
          </cell>
          <cell r="F306">
            <v>0.18</v>
          </cell>
          <cell r="G306">
            <v>0.18</v>
          </cell>
          <cell r="H306">
            <v>0.18</v>
          </cell>
          <cell r="I306">
            <v>0.18</v>
          </cell>
          <cell r="J306">
            <v>0.18</v>
          </cell>
          <cell r="K306">
            <v>0.17</v>
          </cell>
          <cell r="L306">
            <v>0.17</v>
          </cell>
          <cell r="M306">
            <v>0.18</v>
          </cell>
          <cell r="N306">
            <v>0.18</v>
          </cell>
          <cell r="O306">
            <v>0.17</v>
          </cell>
          <cell r="P306">
            <v>0.17</v>
          </cell>
          <cell r="Q306">
            <v>0.17</v>
          </cell>
          <cell r="R306">
            <v>0.18</v>
          </cell>
          <cell r="S306">
            <v>0.18</v>
          </cell>
          <cell r="T306">
            <v>0.18</v>
          </cell>
          <cell r="U306">
            <v>0.18</v>
          </cell>
          <cell r="V306">
            <v>0.2</v>
          </cell>
          <cell r="W306">
            <v>0.18</v>
          </cell>
          <cell r="X306">
            <v>0.17499999999999999</v>
          </cell>
          <cell r="Y306">
            <v>0.17</v>
          </cell>
          <cell r="Z306">
            <v>0.18</v>
          </cell>
          <cell r="AA306">
            <v>0.17</v>
          </cell>
          <cell r="AB306">
            <v>0.18</v>
          </cell>
          <cell r="AC306">
            <v>0.18</v>
          </cell>
          <cell r="AD306">
            <v>0.18</v>
          </cell>
          <cell r="AF306">
            <v>0.05</v>
          </cell>
        </row>
        <row r="307">
          <cell r="C307" t="str">
            <v>9403.30.00</v>
          </cell>
          <cell r="D307">
            <v>0.17</v>
          </cell>
          <cell r="E307">
            <v>0.18</v>
          </cell>
          <cell r="F307">
            <v>0.18</v>
          </cell>
          <cell r="G307">
            <v>0.18</v>
          </cell>
          <cell r="H307">
            <v>0.18</v>
          </cell>
          <cell r="I307">
            <v>0.18</v>
          </cell>
          <cell r="J307">
            <v>0.18</v>
          </cell>
          <cell r="K307">
            <v>0.17</v>
          </cell>
          <cell r="L307">
            <v>0.17</v>
          </cell>
          <cell r="M307">
            <v>0.18</v>
          </cell>
          <cell r="N307">
            <v>0.18</v>
          </cell>
          <cell r="O307">
            <v>0.17</v>
          </cell>
          <cell r="P307">
            <v>0.17</v>
          </cell>
          <cell r="Q307">
            <v>0.17</v>
          </cell>
          <cell r="R307">
            <v>0.18</v>
          </cell>
          <cell r="S307">
            <v>0.18</v>
          </cell>
          <cell r="T307">
            <v>0.18</v>
          </cell>
          <cell r="U307">
            <v>0.18</v>
          </cell>
          <cell r="V307">
            <v>0.2</v>
          </cell>
          <cell r="W307">
            <v>0.18</v>
          </cell>
          <cell r="X307">
            <v>0.17499999999999999</v>
          </cell>
          <cell r="Y307">
            <v>0.17</v>
          </cell>
          <cell r="Z307">
            <v>0.18</v>
          </cell>
          <cell r="AA307">
            <v>0.17</v>
          </cell>
          <cell r="AB307">
            <v>0.18</v>
          </cell>
          <cell r="AC307">
            <v>0.18</v>
          </cell>
          <cell r="AD307">
            <v>0.18</v>
          </cell>
          <cell r="AF307">
            <v>0.05</v>
          </cell>
        </row>
        <row r="308">
          <cell r="C308" t="str">
            <v>9403.60.00</v>
          </cell>
          <cell r="D308">
            <v>0.17</v>
          </cell>
          <cell r="E308">
            <v>0.18</v>
          </cell>
          <cell r="F308">
            <v>0.18</v>
          </cell>
          <cell r="G308">
            <v>0.18</v>
          </cell>
          <cell r="H308">
            <v>0.18</v>
          </cell>
          <cell r="I308">
            <v>0.18</v>
          </cell>
          <cell r="J308">
            <v>0.18</v>
          </cell>
          <cell r="K308">
            <v>0.17</v>
          </cell>
          <cell r="L308">
            <v>0.17</v>
          </cell>
          <cell r="M308">
            <v>0.18</v>
          </cell>
          <cell r="N308">
            <v>0.18</v>
          </cell>
          <cell r="O308">
            <v>0.17</v>
          </cell>
          <cell r="P308">
            <v>0.17</v>
          </cell>
          <cell r="Q308">
            <v>0.17</v>
          </cell>
          <cell r="R308">
            <v>0.18</v>
          </cell>
          <cell r="S308">
            <v>0.18</v>
          </cell>
          <cell r="T308">
            <v>0.18</v>
          </cell>
          <cell r="U308">
            <v>0.18</v>
          </cell>
          <cell r="V308">
            <v>0.2</v>
          </cell>
          <cell r="W308">
            <v>0.18</v>
          </cell>
          <cell r="X308">
            <v>0.17499999999999999</v>
          </cell>
          <cell r="Y308">
            <v>0.17</v>
          </cell>
          <cell r="Z308">
            <v>0.18</v>
          </cell>
          <cell r="AA308">
            <v>0.17</v>
          </cell>
          <cell r="AB308">
            <v>0.18</v>
          </cell>
          <cell r="AC308">
            <v>0.18</v>
          </cell>
          <cell r="AD308">
            <v>0.18</v>
          </cell>
          <cell r="AF308">
            <v>0.05</v>
          </cell>
        </row>
        <row r="309">
          <cell r="C309" t="str">
            <v>9403.90.10</v>
          </cell>
          <cell r="D309">
            <v>0.17</v>
          </cell>
          <cell r="E309">
            <v>0.18</v>
          </cell>
          <cell r="F309">
            <v>0.18</v>
          </cell>
          <cell r="G309">
            <v>0.18</v>
          </cell>
          <cell r="H309">
            <v>0.18</v>
          </cell>
          <cell r="I309">
            <v>0.18</v>
          </cell>
          <cell r="J309">
            <v>0.18</v>
          </cell>
          <cell r="K309">
            <v>0.17</v>
          </cell>
          <cell r="L309">
            <v>0.17</v>
          </cell>
          <cell r="M309">
            <v>0.18</v>
          </cell>
          <cell r="N309">
            <v>0.18</v>
          </cell>
          <cell r="O309">
            <v>0.17</v>
          </cell>
          <cell r="P309">
            <v>0.17</v>
          </cell>
          <cell r="Q309">
            <v>0.17</v>
          </cell>
          <cell r="R309">
            <v>0.18</v>
          </cell>
          <cell r="S309">
            <v>0.18</v>
          </cell>
          <cell r="T309">
            <v>0.18</v>
          </cell>
          <cell r="U309">
            <v>0.18</v>
          </cell>
          <cell r="V309">
            <v>0.2</v>
          </cell>
          <cell r="W309">
            <v>0.18</v>
          </cell>
          <cell r="X309">
            <v>0.17499999999999999</v>
          </cell>
          <cell r="Y309">
            <v>0.17</v>
          </cell>
          <cell r="Z309">
            <v>0.18</v>
          </cell>
          <cell r="AA309">
            <v>0.17</v>
          </cell>
          <cell r="AB309">
            <v>0.18</v>
          </cell>
          <cell r="AC309">
            <v>0.18</v>
          </cell>
          <cell r="AD309">
            <v>0.18</v>
          </cell>
          <cell r="AF309">
            <v>0.05</v>
          </cell>
        </row>
        <row r="310">
          <cell r="C310" t="str">
            <v>9403.90.90</v>
          </cell>
          <cell r="D310">
            <v>0.17</v>
          </cell>
          <cell r="E310">
            <v>0.18</v>
          </cell>
          <cell r="F310">
            <v>0.18</v>
          </cell>
          <cell r="G310">
            <v>0.18</v>
          </cell>
          <cell r="H310">
            <v>0.18</v>
          </cell>
          <cell r="I310">
            <v>0.18</v>
          </cell>
          <cell r="J310">
            <v>0.18</v>
          </cell>
          <cell r="K310">
            <v>0.17</v>
          </cell>
          <cell r="L310">
            <v>0.17</v>
          </cell>
          <cell r="M310">
            <v>0.18</v>
          </cell>
          <cell r="N310">
            <v>0.18</v>
          </cell>
          <cell r="O310">
            <v>0.17</v>
          </cell>
          <cell r="P310">
            <v>0.17</v>
          </cell>
          <cell r="Q310">
            <v>0.17</v>
          </cell>
          <cell r="R310">
            <v>0.18</v>
          </cell>
          <cell r="S310">
            <v>0.18</v>
          </cell>
          <cell r="T310">
            <v>0.18</v>
          </cell>
          <cell r="U310">
            <v>0.18</v>
          </cell>
          <cell r="V310">
            <v>0.2</v>
          </cell>
          <cell r="W310">
            <v>0.18</v>
          </cell>
          <cell r="X310">
            <v>0.17499999999999999</v>
          </cell>
          <cell r="Y310">
            <v>0.17</v>
          </cell>
          <cell r="Z310">
            <v>0.18</v>
          </cell>
          <cell r="AA310">
            <v>0.17</v>
          </cell>
          <cell r="AB310">
            <v>0.18</v>
          </cell>
          <cell r="AC310">
            <v>0.18</v>
          </cell>
          <cell r="AD310">
            <v>0.18</v>
          </cell>
          <cell r="AF310">
            <v>0.05</v>
          </cell>
        </row>
        <row r="311">
          <cell r="C311" t="str">
            <v>9405.40.10</v>
          </cell>
          <cell r="D311">
            <v>0.17</v>
          </cell>
          <cell r="E311">
            <v>0.18</v>
          </cell>
          <cell r="F311">
            <v>0.18</v>
          </cell>
          <cell r="G311">
            <v>0.18</v>
          </cell>
          <cell r="H311">
            <v>0.18</v>
          </cell>
          <cell r="I311">
            <v>0.18</v>
          </cell>
          <cell r="J311">
            <v>0.18</v>
          </cell>
          <cell r="K311">
            <v>0.17</v>
          </cell>
          <cell r="L311">
            <v>0.17</v>
          </cell>
          <cell r="M311">
            <v>0.18</v>
          </cell>
          <cell r="N311">
            <v>0.18</v>
          </cell>
          <cell r="O311">
            <v>0.17</v>
          </cell>
          <cell r="P311">
            <v>0.17</v>
          </cell>
          <cell r="Q311">
            <v>0.17</v>
          </cell>
          <cell r="R311">
            <v>0.18</v>
          </cell>
          <cell r="S311">
            <v>0.18</v>
          </cell>
          <cell r="T311">
            <v>0.18</v>
          </cell>
          <cell r="U311">
            <v>0.18</v>
          </cell>
          <cell r="V311">
            <v>0.2</v>
          </cell>
          <cell r="W311">
            <v>0.18</v>
          </cell>
          <cell r="X311">
            <v>0.17499999999999999</v>
          </cell>
          <cell r="Y311">
            <v>0.17</v>
          </cell>
          <cell r="Z311">
            <v>0.18</v>
          </cell>
          <cell r="AA311">
            <v>0.17</v>
          </cell>
          <cell r="AB311">
            <v>0.18</v>
          </cell>
          <cell r="AC311">
            <v>0.18</v>
          </cell>
          <cell r="AD311">
            <v>0.18</v>
          </cell>
          <cell r="AF311">
            <v>0.15</v>
          </cell>
        </row>
        <row r="312">
          <cell r="C312" t="str">
            <v>9405.60.00</v>
          </cell>
          <cell r="D312">
            <v>0.17</v>
          </cell>
          <cell r="E312">
            <v>0.18</v>
          </cell>
          <cell r="F312">
            <v>0.18</v>
          </cell>
          <cell r="G312">
            <v>0.18</v>
          </cell>
          <cell r="H312">
            <v>0.18</v>
          </cell>
          <cell r="I312">
            <v>0.18</v>
          </cell>
          <cell r="J312">
            <v>0.18</v>
          </cell>
          <cell r="K312">
            <v>0.17</v>
          </cell>
          <cell r="L312">
            <v>0.17</v>
          </cell>
          <cell r="M312">
            <v>0.18</v>
          </cell>
          <cell r="N312">
            <v>0.18</v>
          </cell>
          <cell r="O312">
            <v>0.17</v>
          </cell>
          <cell r="P312">
            <v>0.17</v>
          </cell>
          <cell r="Q312">
            <v>0.17</v>
          </cell>
          <cell r="R312">
            <v>0.18</v>
          </cell>
          <cell r="S312">
            <v>0.18</v>
          </cell>
          <cell r="T312">
            <v>0.18</v>
          </cell>
          <cell r="U312">
            <v>0.18</v>
          </cell>
          <cell r="V312">
            <v>0.2</v>
          </cell>
          <cell r="W312">
            <v>0.18</v>
          </cell>
          <cell r="X312">
            <v>0.17499999999999999</v>
          </cell>
          <cell r="Y312">
            <v>0.17</v>
          </cell>
          <cell r="Z312">
            <v>0.18</v>
          </cell>
          <cell r="AA312">
            <v>0.17</v>
          </cell>
          <cell r="AB312">
            <v>0.18</v>
          </cell>
          <cell r="AC312">
            <v>0.18</v>
          </cell>
          <cell r="AD312">
            <v>0.18</v>
          </cell>
          <cell r="AF312">
            <v>0.15</v>
          </cell>
        </row>
        <row r="313">
          <cell r="C313" t="str">
            <v>9405.99.00</v>
          </cell>
          <cell r="D313">
            <v>0.17</v>
          </cell>
          <cell r="E313">
            <v>0.18</v>
          </cell>
          <cell r="F313">
            <v>0.18</v>
          </cell>
          <cell r="G313">
            <v>0.18</v>
          </cell>
          <cell r="H313">
            <v>0.18</v>
          </cell>
          <cell r="I313">
            <v>0.18</v>
          </cell>
          <cell r="J313">
            <v>0.18</v>
          </cell>
          <cell r="K313">
            <v>0.17</v>
          </cell>
          <cell r="L313">
            <v>0.17</v>
          </cell>
          <cell r="M313">
            <v>0.18</v>
          </cell>
          <cell r="N313">
            <v>0.18</v>
          </cell>
          <cell r="O313">
            <v>0.17</v>
          </cell>
          <cell r="P313">
            <v>0.17</v>
          </cell>
          <cell r="Q313">
            <v>0.17</v>
          </cell>
          <cell r="R313">
            <v>0.18</v>
          </cell>
          <cell r="S313">
            <v>0.18</v>
          </cell>
          <cell r="T313">
            <v>0.18</v>
          </cell>
          <cell r="U313">
            <v>0.18</v>
          </cell>
          <cell r="V313">
            <v>0.2</v>
          </cell>
          <cell r="W313">
            <v>0.18</v>
          </cell>
          <cell r="X313">
            <v>0.17499999999999999</v>
          </cell>
          <cell r="Y313">
            <v>0.17</v>
          </cell>
          <cell r="Z313">
            <v>0.18</v>
          </cell>
          <cell r="AA313">
            <v>0.17</v>
          </cell>
          <cell r="AB313">
            <v>0.18</v>
          </cell>
          <cell r="AC313">
            <v>0.18</v>
          </cell>
          <cell r="AD313">
            <v>0.18</v>
          </cell>
          <cell r="AF313">
            <v>0.15</v>
          </cell>
        </row>
        <row r="314">
          <cell r="C314" t="str">
            <v>9603.50.00</v>
          </cell>
          <cell r="D314">
            <v>0.17</v>
          </cell>
          <cell r="E314">
            <v>0.18</v>
          </cell>
          <cell r="F314">
            <v>0.18</v>
          </cell>
          <cell r="G314">
            <v>0.18</v>
          </cell>
          <cell r="H314">
            <v>0.18</v>
          </cell>
          <cell r="I314">
            <v>0.18</v>
          </cell>
          <cell r="J314">
            <v>0.18</v>
          </cell>
          <cell r="K314">
            <v>0.17</v>
          </cell>
          <cell r="L314">
            <v>0.17</v>
          </cell>
          <cell r="M314">
            <v>0.18</v>
          </cell>
          <cell r="N314">
            <v>0.18</v>
          </cell>
          <cell r="O314">
            <v>0.17</v>
          </cell>
          <cell r="P314">
            <v>0.17</v>
          </cell>
          <cell r="Q314">
            <v>0.17</v>
          </cell>
          <cell r="R314">
            <v>0.18</v>
          </cell>
          <cell r="S314">
            <v>0.18</v>
          </cell>
          <cell r="T314">
            <v>0.18</v>
          </cell>
          <cell r="U314">
            <v>0.18</v>
          </cell>
          <cell r="V314">
            <v>0.2</v>
          </cell>
          <cell r="W314">
            <v>0.18</v>
          </cell>
          <cell r="X314">
            <v>0.17499999999999999</v>
          </cell>
          <cell r="Y314">
            <v>0.17</v>
          </cell>
          <cell r="Z314">
            <v>0.18</v>
          </cell>
          <cell r="AA314">
            <v>0.17</v>
          </cell>
          <cell r="AB314">
            <v>0.18</v>
          </cell>
          <cell r="AC314">
            <v>0.18</v>
          </cell>
          <cell r="AD314">
            <v>0.18</v>
          </cell>
          <cell r="AF314">
            <v>0</v>
          </cell>
        </row>
      </sheetData>
      <sheetData sheetId="39" refreshError="1">
        <row r="3">
          <cell r="B3" t="str">
            <v>Equip. Subst. Tributária</v>
          </cell>
          <cell r="D3" t="str">
            <v>Access Point</v>
          </cell>
          <cell r="E3" t="str">
            <v>01</v>
          </cell>
          <cell r="F3" t="str">
            <v>TI</v>
          </cell>
          <cell r="H3" t="str">
            <v>AC</v>
          </cell>
          <cell r="O3" t="str">
            <v>A Data</v>
          </cell>
          <cell r="P3" t="str">
            <v>ADA</v>
          </cell>
          <cell r="S3" t="str">
            <v>11 Paths</v>
          </cell>
          <cell r="T3" t="str">
            <v>5Q</v>
          </cell>
          <cell r="AB3" t="str"/>
          <cell r="AM3">
            <v>1</v>
          </cell>
          <cell r="AN3" t="str">
            <v>A</v>
          </cell>
          <cell r="AS3" t="str"/>
          <cell r="AV3" t="str"/>
          <cell r="AY3" t="str">
            <v>SP - Barueri</v>
          </cell>
        </row>
        <row r="4">
          <cell r="B4" t="str">
            <v>Equipamento</v>
          </cell>
          <cell r="D4" t="str">
            <v>Advanced Persistent Threat</v>
          </cell>
          <cell r="E4" t="str">
            <v>02</v>
          </cell>
          <cell r="F4" t="str">
            <v>SEGURANÇA</v>
          </cell>
          <cell r="H4" t="str">
            <v>AL</v>
          </cell>
          <cell r="O4" t="str">
            <v>A10 Networkers</v>
          </cell>
          <cell r="P4" t="str">
            <v>A10</v>
          </cell>
          <cell r="S4" t="str">
            <v>2S</v>
          </cell>
          <cell r="T4" t="str">
            <v>17</v>
          </cell>
          <cell r="AB4" t="str"/>
          <cell r="AM4">
            <v>2</v>
          </cell>
          <cell r="AN4" t="str">
            <v>B</v>
          </cell>
          <cell r="AS4" t="str"/>
          <cell r="AV4" t="str"/>
          <cell r="AY4" t="str">
            <v>RJ - Rio de Janeiro</v>
          </cell>
        </row>
        <row r="5">
          <cell r="D5" t="str">
            <v>Advanced Threat Solutions</v>
          </cell>
          <cell r="E5" t="str">
            <v>03</v>
          </cell>
          <cell r="F5" t="str">
            <v>SEGURANÇA</v>
          </cell>
          <cell r="H5" t="str">
            <v>AM</v>
          </cell>
          <cell r="O5" t="str">
            <v>Aastra/Mitel</v>
          </cell>
          <cell r="P5" t="str">
            <v>AAS</v>
          </cell>
          <cell r="S5" t="str">
            <v>3Corp</v>
          </cell>
          <cell r="T5" t="str">
            <v>18</v>
          </cell>
          <cell r="AB5" t="str"/>
          <cell r="AM5">
            <v>3</v>
          </cell>
          <cell r="AN5" t="str">
            <v>C</v>
          </cell>
          <cell r="AS5" t="str"/>
          <cell r="AV5" t="str"/>
          <cell r="AY5" t="str">
            <v>SP - Embu</v>
          </cell>
        </row>
        <row r="6">
          <cell r="D6" t="str">
            <v>Antispam</v>
          </cell>
          <cell r="E6" t="str">
            <v>04</v>
          </cell>
          <cell r="F6" t="str">
            <v>SEGURANÇA</v>
          </cell>
          <cell r="H6" t="str">
            <v>AP</v>
          </cell>
          <cell r="O6" t="str">
            <v>Abracaduto</v>
          </cell>
          <cell r="P6" t="str">
            <v>ABR</v>
          </cell>
          <cell r="S6" t="str">
            <v>5Dimensão</v>
          </cell>
          <cell r="T6" t="str">
            <v>19</v>
          </cell>
          <cell r="AB6" t="str"/>
          <cell r="AM6">
            <v>4</v>
          </cell>
          <cell r="AN6" t="str">
            <v>D</v>
          </cell>
          <cell r="AS6" t="str"/>
          <cell r="AV6" t="str"/>
        </row>
        <row r="7">
          <cell r="D7" t="str">
            <v>Antivirus</v>
          </cell>
          <cell r="E7" t="str">
            <v>05</v>
          </cell>
          <cell r="F7" t="str">
            <v>SEGURANÇA</v>
          </cell>
          <cell r="H7" t="str">
            <v>BA</v>
          </cell>
          <cell r="O7" t="str">
            <v>Accellion</v>
          </cell>
          <cell r="P7" t="str">
            <v>ACC</v>
          </cell>
          <cell r="S7" t="str">
            <v>5WI</v>
          </cell>
          <cell r="T7" t="str">
            <v>45</v>
          </cell>
          <cell r="AB7" t="str"/>
          <cell r="AM7">
            <v>5</v>
          </cell>
          <cell r="AN7" t="str">
            <v>E</v>
          </cell>
          <cell r="AS7" t="str"/>
          <cell r="AV7" t="str"/>
          <cell r="AY7" t="str">
            <v>SP - Mauá</v>
          </cell>
        </row>
        <row r="8">
          <cell r="B8" t="str">
            <v>Configuração Lógica</v>
          </cell>
          <cell r="D8" t="str">
            <v>Backup</v>
          </cell>
          <cell r="E8" t="str">
            <v>06</v>
          </cell>
          <cell r="F8" t="str">
            <v>TI</v>
          </cell>
          <cell r="H8" t="str">
            <v>CE</v>
          </cell>
          <cell r="O8" t="str">
            <v>Acer</v>
          </cell>
          <cell r="P8" t="str">
            <v>ACE</v>
          </cell>
          <cell r="S8" t="str">
            <v>9Net</v>
          </cell>
          <cell r="T8" t="str">
            <v>1A</v>
          </cell>
          <cell r="AB8" t="str"/>
          <cell r="AM8">
            <v>6</v>
          </cell>
          <cell r="AN8" t="str">
            <v>F</v>
          </cell>
          <cell r="AS8" t="str"/>
          <cell r="AV8" t="str"/>
        </row>
        <row r="9">
          <cell r="B9" t="str">
            <v>Consultoria - Informática</v>
          </cell>
          <cell r="D9" t="str">
            <v>Balanceador de Carga</v>
          </cell>
          <cell r="E9" t="str">
            <v>07</v>
          </cell>
          <cell r="F9" t="str">
            <v>TI</v>
          </cell>
          <cell r="H9" t="str">
            <v>DF</v>
          </cell>
          <cell r="O9" t="str">
            <v>Acronis</v>
          </cell>
          <cell r="P9" t="str">
            <v>ACR</v>
          </cell>
          <cell r="S9" t="str">
            <v>Abacomm</v>
          </cell>
          <cell r="T9" t="str">
            <v>1B</v>
          </cell>
          <cell r="AB9" t="str"/>
          <cell r="AM9">
            <v>7</v>
          </cell>
          <cell r="AN9" t="str">
            <v>G</v>
          </cell>
          <cell r="AS9" t="str"/>
          <cell r="AV9" t="str"/>
        </row>
        <row r="10">
          <cell r="B10" t="str">
            <v>Consultoria - Treinamentos</v>
          </cell>
          <cell r="D10" t="str">
            <v>CFTV</v>
          </cell>
          <cell r="E10" t="str">
            <v>11</v>
          </cell>
          <cell r="F10" t="str">
            <v>SEGURANÇA FÍSICA</v>
          </cell>
          <cell r="H10" t="str">
            <v>ES</v>
          </cell>
          <cell r="O10" t="str">
            <v>Active Storage</v>
          </cell>
          <cell r="P10" t="str">
            <v>ACT</v>
          </cell>
          <cell r="S10" t="str">
            <v>Acqua Manager Sistemas de Informação</v>
          </cell>
          <cell r="T10" t="str">
            <v>1C</v>
          </cell>
          <cell r="AB10" t="str"/>
          <cell r="AM10">
            <v>8</v>
          </cell>
          <cell r="AN10" t="str">
            <v>H</v>
          </cell>
          <cell r="AS10" t="str"/>
          <cell r="AV10" t="str"/>
        </row>
        <row r="11">
          <cell r="B11" t="str">
            <v>Desinstalação</v>
          </cell>
          <cell r="D11" t="str">
            <v>Controle de Acesso</v>
          </cell>
          <cell r="E11" t="str">
            <v>12</v>
          </cell>
          <cell r="F11" t="str">
            <v>SEGURANÇA FÍSICA</v>
          </cell>
          <cell r="H11" t="str">
            <v>GO</v>
          </cell>
          <cell r="O11" t="str">
            <v>ACTO</v>
          </cell>
          <cell r="P11" t="str">
            <v>ACO</v>
          </cell>
          <cell r="S11" t="str">
            <v>Across</v>
          </cell>
          <cell r="T11" t="str">
            <v>4T</v>
          </cell>
          <cell r="AB11" t="str"/>
          <cell r="AM11">
            <v>9</v>
          </cell>
          <cell r="AN11" t="str">
            <v>I</v>
          </cell>
          <cell r="AS11" t="str"/>
          <cell r="AV11" t="str"/>
        </row>
        <row r="12">
          <cell r="B12" t="str">
            <v>Instalação - Equip de 3os</v>
          </cell>
          <cell r="D12" t="str">
            <v>Data Encryption Solutions</v>
          </cell>
          <cell r="E12" t="str">
            <v>08</v>
          </cell>
          <cell r="F12" t="str">
            <v>SEGURANÇA</v>
          </cell>
          <cell r="H12" t="str">
            <v>MA</v>
          </cell>
          <cell r="O12" t="str">
            <v>Airtime</v>
          </cell>
          <cell r="P12" t="str">
            <v>AIR</v>
          </cell>
          <cell r="S12" t="str">
            <v>Advanta</v>
          </cell>
          <cell r="T12" t="str">
            <v>02</v>
          </cell>
          <cell r="AB12" t="str"/>
          <cell r="AM12">
            <v>10</v>
          </cell>
          <cell r="AN12" t="str">
            <v>J</v>
          </cell>
          <cell r="AS12" t="str"/>
          <cell r="AV12" t="str"/>
        </row>
        <row r="13">
          <cell r="B13" t="str">
            <v>Manutenção</v>
          </cell>
          <cell r="D13" t="str">
            <v>Data Lost Prevention (DLP)</v>
          </cell>
          <cell r="E13" t="str">
            <v>09</v>
          </cell>
          <cell r="F13" t="str">
            <v>SEGURANÇA</v>
          </cell>
          <cell r="H13" t="str">
            <v>MT</v>
          </cell>
          <cell r="O13" t="str">
            <v>Alcatel-Lucent</v>
          </cell>
          <cell r="P13" t="str">
            <v>ALU</v>
          </cell>
          <cell r="S13" t="str">
            <v>Agility</v>
          </cell>
          <cell r="T13" t="str">
            <v>1D</v>
          </cell>
          <cell r="AB13" t="str"/>
          <cell r="AM13">
            <v>11</v>
          </cell>
          <cell r="AN13" t="str">
            <v>K</v>
          </cell>
          <cell r="AS13" t="str"/>
          <cell r="AV13" t="str"/>
        </row>
        <row r="14">
          <cell r="B14" t="str">
            <v>Suporte de Plataforma</v>
          </cell>
          <cell r="D14" t="str">
            <v>DDoS Mitigation Solution</v>
          </cell>
          <cell r="E14" t="str">
            <v>0A</v>
          </cell>
          <cell r="F14" t="str">
            <v>SEGURANÇA</v>
          </cell>
          <cell r="H14" t="str">
            <v>MS</v>
          </cell>
          <cell r="O14" t="str">
            <v>Algosec</v>
          </cell>
          <cell r="P14" t="str">
            <v>ALG</v>
          </cell>
          <cell r="S14" t="str">
            <v>Alcateia</v>
          </cell>
          <cell r="T14" t="str">
            <v>03</v>
          </cell>
          <cell r="AB14" t="str"/>
          <cell r="AM14">
            <v>12</v>
          </cell>
          <cell r="AN14" t="str">
            <v>L</v>
          </cell>
          <cell r="AS14" t="str"/>
          <cell r="AV14" t="str"/>
        </row>
        <row r="15">
          <cell r="B15" t="str">
            <v>Suporte Técnico</v>
          </cell>
          <cell r="D15" t="str">
            <v>Desktop</v>
          </cell>
          <cell r="E15" t="str">
            <v>0B</v>
          </cell>
          <cell r="F15" t="str">
            <v>TI</v>
          </cell>
          <cell r="H15" t="str">
            <v>MG</v>
          </cell>
          <cell r="O15" t="str">
            <v>Alied</v>
          </cell>
          <cell r="P15" t="str">
            <v>AED</v>
          </cell>
          <cell r="S15" t="str">
            <v>Alctel</v>
          </cell>
          <cell r="T15" t="str">
            <v>4P</v>
          </cell>
          <cell r="AB15" t="str"/>
          <cell r="AM15">
            <v>13</v>
          </cell>
          <cell r="AN15" t="str">
            <v>M</v>
          </cell>
          <cell r="AS15" t="str"/>
          <cell r="AV15" t="str"/>
        </row>
        <row r="16">
          <cell r="B16" t="str">
            <v>Suporte Técnico - SMARTNET</v>
          </cell>
          <cell r="D16" t="str">
            <v>Equipamentos Especiais</v>
          </cell>
          <cell r="E16" t="str">
            <v>13</v>
          </cell>
          <cell r="F16" t="str">
            <v>SEGURANÇA FÍSICA</v>
          </cell>
          <cell r="H16" t="str">
            <v>PA</v>
          </cell>
          <cell r="O16" t="str">
            <v>AlienVault</v>
          </cell>
          <cell r="P16" t="str">
            <v>ALI</v>
          </cell>
          <cell r="S16" t="str">
            <v>ALLIED</v>
          </cell>
          <cell r="T16" t="str">
            <v>4U</v>
          </cell>
          <cell r="AB16" t="str"/>
          <cell r="AM16">
            <v>14</v>
          </cell>
          <cell r="AN16" t="str">
            <v>N</v>
          </cell>
          <cell r="AS16" t="str"/>
          <cell r="AV16" t="str"/>
        </row>
        <row r="17">
          <cell r="B17" t="str">
            <v>Suporte Técnico in loco/on-site</v>
          </cell>
          <cell r="D17" t="str">
            <v>Eficiência Energética</v>
          </cell>
          <cell r="E17">
            <v>16</v>
          </cell>
          <cell r="F17" t="str">
            <v>IOT</v>
          </cell>
          <cell r="H17" t="str">
            <v>PB</v>
          </cell>
          <cell r="O17" t="str">
            <v>ALLIED</v>
          </cell>
          <cell r="P17" t="str">
            <v>ALL</v>
          </cell>
          <cell r="S17" t="str">
            <v>Anixter</v>
          </cell>
          <cell r="T17" t="str">
            <v>04</v>
          </cell>
          <cell r="AB17" t="str"/>
          <cell r="AM17">
            <v>15</v>
          </cell>
          <cell r="AN17" t="str">
            <v>O</v>
          </cell>
          <cell r="AS17" t="str"/>
          <cell r="AV17" t="str"/>
        </row>
        <row r="18">
          <cell r="B18" t="str">
            <v>Suporte Técnico Remoto</v>
          </cell>
          <cell r="D18" t="str">
            <v>Federation &amp; Autentication Solutions</v>
          </cell>
          <cell r="E18" t="str">
            <v>0C</v>
          </cell>
          <cell r="F18" t="str">
            <v>SEGURANÇA</v>
          </cell>
          <cell r="H18" t="str">
            <v>PR</v>
          </cell>
          <cell r="O18" t="str">
            <v>ALUMIL</v>
          </cell>
          <cell r="P18" t="str">
            <v>ALM</v>
          </cell>
          <cell r="S18" t="str">
            <v>ANS</v>
          </cell>
          <cell r="T18" t="str">
            <v>1E</v>
          </cell>
          <cell r="AB18" t="str"/>
          <cell r="AM18">
            <v>16</v>
          </cell>
          <cell r="AN18" t="str">
            <v>P</v>
          </cell>
          <cell r="AS18" t="str"/>
          <cell r="AV18" t="str"/>
        </row>
        <row r="19">
          <cell r="B19" t="str">
            <v>Visita Técnica</v>
          </cell>
          <cell r="D19" t="str">
            <v>Filtro de Conteúdo</v>
          </cell>
          <cell r="E19" t="str">
            <v>0D</v>
          </cell>
          <cell r="F19" t="str">
            <v>SEGURANÇA</v>
          </cell>
          <cell r="H19" t="str">
            <v>PE</v>
          </cell>
          <cell r="O19" t="str">
            <v>Alvarion</v>
          </cell>
          <cell r="P19" t="str">
            <v>ALV</v>
          </cell>
          <cell r="S19" t="str">
            <v>Aplidigital</v>
          </cell>
          <cell r="T19" t="str">
            <v>1F</v>
          </cell>
          <cell r="AB19" t="str"/>
          <cell r="AM19">
            <v>17</v>
          </cell>
          <cell r="AN19" t="str">
            <v>Q</v>
          </cell>
          <cell r="AS19" t="str"/>
          <cell r="AV19" t="str"/>
        </row>
        <row r="20">
          <cell r="D20" t="str">
            <v>Firewall</v>
          </cell>
          <cell r="E20" t="str">
            <v>0E</v>
          </cell>
          <cell r="F20" t="str">
            <v>SEGURANÇA</v>
          </cell>
          <cell r="H20" t="str">
            <v>PI</v>
          </cell>
          <cell r="O20" t="str">
            <v>AMD</v>
          </cell>
          <cell r="P20" t="str">
            <v>AMD</v>
          </cell>
          <cell r="S20" t="str">
            <v>Apple</v>
          </cell>
          <cell r="T20" t="str">
            <v>5U</v>
          </cell>
          <cell r="AB20" t="str"/>
          <cell r="AM20">
            <v>18</v>
          </cell>
          <cell r="AN20" t="str">
            <v>R</v>
          </cell>
          <cell r="AS20" t="str"/>
          <cell r="AV20" t="str"/>
        </row>
        <row r="21">
          <cell r="D21" t="str">
            <v>Forensics Solutions</v>
          </cell>
          <cell r="E21" t="str">
            <v>0F</v>
          </cell>
          <cell r="F21" t="str">
            <v>SEGURANÇA</v>
          </cell>
          <cell r="H21" t="str">
            <v>RN</v>
          </cell>
          <cell r="O21" t="str">
            <v>American Dynamics</v>
          </cell>
          <cell r="P21" t="str">
            <v>ADY</v>
          </cell>
          <cell r="S21" t="str">
            <v>Arrobanet</v>
          </cell>
          <cell r="T21" t="str">
            <v>1G</v>
          </cell>
          <cell r="AB21" t="str"/>
          <cell r="AM21">
            <v>19</v>
          </cell>
          <cell r="AN21" t="str">
            <v>S</v>
          </cell>
          <cell r="AS21" t="str"/>
          <cell r="AV21" t="str"/>
        </row>
        <row r="22">
          <cell r="D22" t="str">
            <v>Frota Inteligente</v>
          </cell>
          <cell r="E22">
            <v>16</v>
          </cell>
          <cell r="F22" t="str">
            <v>IOT</v>
          </cell>
          <cell r="H22" t="str">
            <v>RS</v>
          </cell>
          <cell r="O22" t="str">
            <v>AMX</v>
          </cell>
          <cell r="P22" t="str">
            <v>AMX</v>
          </cell>
          <cell r="S22" t="str">
            <v>Ascenty</v>
          </cell>
          <cell r="T22" t="str">
            <v>1H</v>
          </cell>
          <cell r="AB22" t="str"/>
          <cell r="AM22">
            <v>20</v>
          </cell>
          <cell r="AN22" t="str">
            <v>T</v>
          </cell>
          <cell r="AS22" t="str"/>
          <cell r="AV22" t="str"/>
        </row>
        <row r="23">
          <cell r="B23" t="str">
            <v>Consultoria - Informática Mensal</v>
          </cell>
          <cell r="D23" t="str">
            <v>Identity &amp; Access Management (IAM)</v>
          </cell>
          <cell r="E23" t="str">
            <v>0G</v>
          </cell>
          <cell r="F23" t="str">
            <v>SEGURANÇA</v>
          </cell>
          <cell r="H23" t="str">
            <v>RJ</v>
          </cell>
          <cell r="O23" t="str">
            <v>AOC</v>
          </cell>
          <cell r="P23" t="str">
            <v>AOC</v>
          </cell>
          <cell r="S23" t="str">
            <v>Auriga</v>
          </cell>
          <cell r="T23" t="str">
            <v>1I</v>
          </cell>
          <cell r="AB23" t="str"/>
          <cell r="AM23">
            <v>21</v>
          </cell>
          <cell r="AN23" t="str">
            <v>U</v>
          </cell>
          <cell r="AS23" t="str"/>
          <cell r="AV23" t="str"/>
        </row>
        <row r="24">
          <cell r="B24" t="str">
            <v>Consultoria - Gerenciamento Mensal</v>
          </cell>
          <cell r="D24" t="str">
            <v>Intrusion Dectection System (IDS)</v>
          </cell>
          <cell r="E24" t="str">
            <v>0H</v>
          </cell>
          <cell r="F24" t="str">
            <v>SEGURANÇA</v>
          </cell>
          <cell r="H24" t="str">
            <v>RO</v>
          </cell>
          <cell r="O24" t="str">
            <v>APC</v>
          </cell>
          <cell r="P24" t="str">
            <v>APC</v>
          </cell>
          <cell r="S24" t="str">
            <v>Avanguardia</v>
          </cell>
          <cell r="T24" t="str">
            <v>1J</v>
          </cell>
          <cell r="AB24" t="str"/>
          <cell r="AM24">
            <v>22</v>
          </cell>
          <cell r="AN24" t="str">
            <v>V</v>
          </cell>
          <cell r="AS24" t="str"/>
          <cell r="AV24" t="str"/>
        </row>
        <row r="25">
          <cell r="B25" t="str">
            <v>Manutenção Mensal</v>
          </cell>
          <cell r="D25" t="str">
            <v>Intrusion Prevetion System (IPS)</v>
          </cell>
          <cell r="E25" t="str">
            <v>0I</v>
          </cell>
          <cell r="F25" t="str">
            <v>SEGURANÇA</v>
          </cell>
          <cell r="H25" t="str">
            <v>RR</v>
          </cell>
          <cell r="O25" t="str">
            <v>Apcon</v>
          </cell>
          <cell r="P25" t="str">
            <v>APN</v>
          </cell>
          <cell r="S25" t="str">
            <v>Avaya</v>
          </cell>
          <cell r="T25" t="str">
            <v>05</v>
          </cell>
          <cell r="AB25" t="str"/>
          <cell r="AM25">
            <v>23</v>
          </cell>
          <cell r="AN25" t="str">
            <v>W</v>
          </cell>
          <cell r="AS25" t="str"/>
          <cell r="AV25" t="str"/>
        </row>
        <row r="26">
          <cell r="B26" t="str">
            <v>Serviço Mensal - Vivo Agro</v>
          </cell>
          <cell r="D26" t="str">
            <v>Messaging &amp; E-mail Security</v>
          </cell>
          <cell r="E26" t="str">
            <v>0J</v>
          </cell>
          <cell r="F26" t="str">
            <v>SEGURANÇA</v>
          </cell>
          <cell r="H26" t="str">
            <v>SC</v>
          </cell>
          <cell r="O26" t="str">
            <v>APOLO</v>
          </cell>
          <cell r="P26" t="str">
            <v>APO</v>
          </cell>
          <cell r="S26" t="str">
            <v>Avnet</v>
          </cell>
          <cell r="T26" t="str">
            <v>06</v>
          </cell>
          <cell r="AB26" t="str"/>
          <cell r="AM26">
            <v>24</v>
          </cell>
          <cell r="AN26" t="str">
            <v>X</v>
          </cell>
          <cell r="AS26" t="str"/>
          <cell r="AV26" t="str"/>
          <cell r="AY26" t="str">
            <v>ALÇADA CEO</v>
          </cell>
        </row>
        <row r="27">
          <cell r="B27" t="str">
            <v>Suporte de Plataforma Mensal</v>
          </cell>
          <cell r="D27" t="str">
            <v>Network Access Control</v>
          </cell>
          <cell r="E27" t="str">
            <v>0K</v>
          </cell>
          <cell r="F27" t="str">
            <v>SEGURANÇA</v>
          </cell>
          <cell r="H27" t="str">
            <v>SP</v>
          </cell>
          <cell r="O27" t="str">
            <v>Apple</v>
          </cell>
          <cell r="P27" t="str">
            <v>APP</v>
          </cell>
          <cell r="S27" t="str">
            <v>Axyon</v>
          </cell>
          <cell r="T27" t="str">
            <v>55</v>
          </cell>
          <cell r="AB27" t="str"/>
          <cell r="AM27">
            <v>25</v>
          </cell>
          <cell r="AN27" t="str">
            <v>Y</v>
          </cell>
          <cell r="AS27" t="str"/>
          <cell r="AV27" t="str"/>
          <cell r="AY27" t="str">
            <v>ALÇADA CDG</v>
          </cell>
        </row>
        <row r="28">
          <cell r="B28" t="str">
            <v>Suporte Técnico Mensal</v>
          </cell>
          <cell r="D28" t="str">
            <v>Next Generation Firewall (NGF)</v>
          </cell>
          <cell r="E28" t="str">
            <v>0L</v>
          </cell>
          <cell r="F28" t="str">
            <v>SEGURANÇA</v>
          </cell>
          <cell r="H28" t="str">
            <v>SE</v>
          </cell>
          <cell r="O28" t="str">
            <v>Aranda</v>
          </cell>
          <cell r="P28" t="str">
            <v>ARA</v>
          </cell>
          <cell r="S28" t="str">
            <v>Bestflow</v>
          </cell>
          <cell r="T28" t="str">
            <v>4A</v>
          </cell>
          <cell r="AB28" t="str"/>
          <cell r="AM28">
            <v>26</v>
          </cell>
          <cell r="AN28" t="str">
            <v>Z</v>
          </cell>
          <cell r="AS28" t="str"/>
          <cell r="AV28" t="str"/>
          <cell r="AY28" t="str">
            <v>CUSTOMIZAÇÃO</v>
          </cell>
        </row>
        <row r="29">
          <cell r="B29" t="str">
            <v>Suporte Técnico - SMARTNET Mensal</v>
          </cell>
          <cell r="D29" t="str">
            <v>Notebook</v>
          </cell>
          <cell r="E29" t="str">
            <v>0M</v>
          </cell>
          <cell r="F29" t="str">
            <v>TI</v>
          </cell>
          <cell r="H29" t="str">
            <v>TO</v>
          </cell>
          <cell r="O29" t="str">
            <v>Arbor</v>
          </cell>
          <cell r="P29" t="str">
            <v>ARB</v>
          </cell>
          <cell r="S29" t="str">
            <v>Binário</v>
          </cell>
          <cell r="T29" t="str">
            <v>07</v>
          </cell>
          <cell r="AB29" t="str"/>
          <cell r="AS29" t="str"/>
          <cell r="AV29" t="str"/>
        </row>
        <row r="30">
          <cell r="B30" t="str">
            <v>Suporte Técnico in loco/on-site Mensal</v>
          </cell>
          <cell r="D30" t="str">
            <v>PABX</v>
          </cell>
          <cell r="E30" t="str">
            <v>0N</v>
          </cell>
          <cell r="F30" t="str">
            <v>TI</v>
          </cell>
          <cell r="O30" t="str">
            <v>Arcsight</v>
          </cell>
          <cell r="P30" t="str">
            <v>ARC</v>
          </cell>
          <cell r="S30" t="str">
            <v>Black Box</v>
          </cell>
          <cell r="T30" t="str">
            <v>1K</v>
          </cell>
          <cell r="AB30" t="str"/>
          <cell r="AS30" t="str"/>
          <cell r="AV30" t="str"/>
        </row>
        <row r="31">
          <cell r="B31" t="str">
            <v>Suporte Técnico Remoto Mensal</v>
          </cell>
          <cell r="D31" t="str">
            <v>PCI</v>
          </cell>
          <cell r="E31" t="str">
            <v>14</v>
          </cell>
          <cell r="F31" t="str">
            <v>SEGURANÇA FÍSICA</v>
          </cell>
          <cell r="O31" t="str">
            <v>Arista</v>
          </cell>
          <cell r="P31" t="str">
            <v>ARI</v>
          </cell>
          <cell r="S31" t="str">
            <v>Brasoftware</v>
          </cell>
          <cell r="T31" t="str">
            <v>1L</v>
          </cell>
          <cell r="AB31" t="str"/>
          <cell r="AS31" t="str"/>
          <cell r="AV31" t="str"/>
        </row>
        <row r="32">
          <cell r="D32" t="str">
            <v>Roteador</v>
          </cell>
          <cell r="E32" t="str">
            <v>0O</v>
          </cell>
          <cell r="F32" t="str">
            <v>TI</v>
          </cell>
          <cell r="O32" t="str">
            <v>Aruba</v>
          </cell>
          <cell r="P32" t="str">
            <v>ARU</v>
          </cell>
          <cell r="S32" t="str">
            <v>Brightstar</v>
          </cell>
          <cell r="T32" t="str">
            <v>1M</v>
          </cell>
          <cell r="AB32" t="str"/>
          <cell r="AS32" t="str"/>
          <cell r="AV32" t="str"/>
        </row>
        <row r="33">
          <cell r="D33" t="str">
            <v>SDWAN</v>
          </cell>
          <cell r="E33" t="str">
            <v>16</v>
          </cell>
          <cell r="F33" t="str">
            <v>SDWAN</v>
          </cell>
          <cell r="O33" t="str">
            <v>Asus</v>
          </cell>
          <cell r="P33" t="str">
            <v>ASU</v>
          </cell>
          <cell r="S33" t="str">
            <v>Bull</v>
          </cell>
          <cell r="T33" t="str">
            <v>1N</v>
          </cell>
          <cell r="AB33" t="str"/>
          <cell r="AS33" t="str"/>
          <cell r="AV33" t="str"/>
        </row>
        <row r="34">
          <cell r="D34" t="str">
            <v>Secure E-mail Gateway</v>
          </cell>
          <cell r="E34" t="str">
            <v>0P</v>
          </cell>
          <cell r="F34" t="str">
            <v>SEGURANÇA</v>
          </cell>
          <cell r="O34" t="str">
            <v>ATG</v>
          </cell>
          <cell r="P34" t="str">
            <v>ATG</v>
          </cell>
          <cell r="S34" t="str">
            <v>Capgemini</v>
          </cell>
          <cell r="T34" t="str">
            <v>08</v>
          </cell>
          <cell r="AB34" t="str"/>
          <cell r="AS34" t="str"/>
          <cell r="AV34" t="str"/>
        </row>
        <row r="35">
          <cell r="D35" t="str">
            <v>Secure Web Gateway</v>
          </cell>
          <cell r="E35" t="str">
            <v>0Q</v>
          </cell>
          <cell r="F35" t="str">
            <v>SEGURANÇA</v>
          </cell>
          <cell r="H35" t="str">
            <v>Janeiro</v>
          </cell>
          <cell r="I35">
            <v>1</v>
          </cell>
          <cell r="O35" t="str">
            <v>Audiocodes</v>
          </cell>
          <cell r="P35" t="str">
            <v>AUD</v>
          </cell>
          <cell r="S35" t="str">
            <v>Caprici</v>
          </cell>
          <cell r="T35" t="str">
            <v>1O</v>
          </cell>
          <cell r="AB35" t="str"/>
          <cell r="AS35" t="str"/>
          <cell r="AV35" t="str"/>
        </row>
        <row r="36">
          <cell r="D36" t="str">
            <v>Security Informaton Event Monitoring (SIEM)</v>
          </cell>
          <cell r="E36" t="str">
            <v>0R</v>
          </cell>
          <cell r="F36" t="str">
            <v>SEGURANÇA</v>
          </cell>
          <cell r="H36" t="str">
            <v>Fevereiro</v>
          </cell>
          <cell r="I36">
            <v>2</v>
          </cell>
          <cell r="O36" t="str">
            <v>Autonomy</v>
          </cell>
          <cell r="P36" t="str">
            <v>AUT</v>
          </cell>
          <cell r="S36" t="str">
            <v>Carlos Gavazzi</v>
          </cell>
          <cell r="T36" t="str">
            <v>5I</v>
          </cell>
          <cell r="AB36" t="str"/>
          <cell r="AS36" t="str"/>
          <cell r="AV36" t="str"/>
        </row>
        <row r="37">
          <cell r="D37" t="str">
            <v>Security Wireless Solutions</v>
          </cell>
          <cell r="E37" t="str">
            <v>0S</v>
          </cell>
          <cell r="F37" t="str">
            <v>SEGURANÇA</v>
          </cell>
          <cell r="H37" t="str">
            <v>Março</v>
          </cell>
          <cell r="I37">
            <v>3</v>
          </cell>
          <cell r="O37" t="str">
            <v>AutoSeg</v>
          </cell>
          <cell r="P37" t="str">
            <v>AUS</v>
          </cell>
          <cell r="S37" t="str">
            <v>CAS Tecnologia</v>
          </cell>
          <cell r="T37" t="str">
            <v>1P</v>
          </cell>
          <cell r="AB37" t="str"/>
          <cell r="AS37" t="str"/>
          <cell r="AV37" t="str"/>
        </row>
        <row r="38">
          <cell r="D38" t="str">
            <v>Servidor</v>
          </cell>
          <cell r="E38" t="str">
            <v>0T</v>
          </cell>
          <cell r="F38" t="str">
            <v>TI</v>
          </cell>
          <cell r="H38" t="str">
            <v>Abril</v>
          </cell>
          <cell r="I38">
            <v>4</v>
          </cell>
          <cell r="O38" t="str">
            <v>Avaya</v>
          </cell>
          <cell r="P38" t="str">
            <v>AVA</v>
          </cell>
          <cell r="S38" t="str">
            <v>CD Mantem</v>
          </cell>
          <cell r="T38" t="str">
            <v>4B</v>
          </cell>
          <cell r="AB38" t="str"/>
          <cell r="AS38" t="str"/>
          <cell r="AV38" t="str"/>
        </row>
        <row r="39">
          <cell r="D39" t="str">
            <v>Sistema de Intrusão</v>
          </cell>
          <cell r="E39">
            <v>15</v>
          </cell>
          <cell r="F39" t="str">
            <v>SEGURANÇA FÍSICA</v>
          </cell>
          <cell r="H39" t="str">
            <v>Maio</v>
          </cell>
          <cell r="I39">
            <v>5</v>
          </cell>
          <cell r="L39" t="str">
            <v>À Vista</v>
          </cell>
          <cell r="O39" t="str">
            <v>AVDigital</v>
          </cell>
          <cell r="P39" t="str">
            <v>AVD</v>
          </cell>
          <cell r="S39" t="str">
            <v>Centertap</v>
          </cell>
          <cell r="T39" t="str">
            <v>1Q</v>
          </cell>
          <cell r="AB39" t="str"/>
          <cell r="AS39" t="str"/>
          <cell r="AV39" t="str"/>
        </row>
        <row r="40">
          <cell r="B40" t="str">
            <v>Normal</v>
          </cell>
          <cell r="D40" t="str">
            <v>SSL/VPN Solutions</v>
          </cell>
          <cell r="E40" t="str">
            <v>0U</v>
          </cell>
          <cell r="F40" t="str">
            <v>SEGURANÇA</v>
          </cell>
          <cell r="H40" t="str">
            <v>Junho</v>
          </cell>
          <cell r="I40">
            <v>6</v>
          </cell>
          <cell r="L40" t="str">
            <v>Mensal</v>
          </cell>
          <cell r="O40" t="str">
            <v>Avocent</v>
          </cell>
          <cell r="P40" t="str">
            <v>AVO</v>
          </cell>
          <cell r="S40" t="str">
            <v>Cintech</v>
          </cell>
          <cell r="T40" t="str">
            <v>4C</v>
          </cell>
          <cell r="AB40" t="str"/>
          <cell r="AS40" t="str"/>
          <cell r="AV40" t="str"/>
        </row>
        <row r="41">
          <cell r="B41" t="str">
            <v>Micro Empresa</v>
          </cell>
          <cell r="D41" t="str">
            <v>Storage</v>
          </cell>
          <cell r="E41" t="str">
            <v>0V</v>
          </cell>
          <cell r="F41" t="str">
            <v>TI</v>
          </cell>
          <cell r="H41" t="str">
            <v>Julho</v>
          </cell>
          <cell r="I41">
            <v>7</v>
          </cell>
          <cell r="O41" t="str">
            <v>AVSistemas</v>
          </cell>
          <cell r="P41" t="str">
            <v>AVS</v>
          </cell>
          <cell r="S41" t="str">
            <v>Cisco - Brasil</v>
          </cell>
          <cell r="T41" t="str">
            <v>09</v>
          </cell>
          <cell r="AB41" t="str"/>
          <cell r="AS41" t="str"/>
          <cell r="AV41" t="str"/>
        </row>
        <row r="42">
          <cell r="D42" t="str">
            <v>Switch</v>
          </cell>
          <cell r="E42" t="str">
            <v>0W</v>
          </cell>
          <cell r="F42" t="str">
            <v>TI</v>
          </cell>
          <cell r="H42" t="str">
            <v>Agosto</v>
          </cell>
          <cell r="I42">
            <v>8</v>
          </cell>
          <cell r="O42" t="str">
            <v xml:space="preserve">Awi </v>
          </cell>
          <cell r="P42" t="str">
            <v>AWI</v>
          </cell>
          <cell r="S42" t="str">
            <v>Cisco - Estados Unidos</v>
          </cell>
          <cell r="T42" t="str">
            <v>01</v>
          </cell>
          <cell r="AB42" t="str"/>
          <cell r="AS42" t="str"/>
          <cell r="AV42" t="str"/>
        </row>
        <row r="43">
          <cell r="D43" t="str">
            <v>Tablet</v>
          </cell>
          <cell r="E43" t="str">
            <v>0X</v>
          </cell>
          <cell r="F43" t="str">
            <v>TI</v>
          </cell>
          <cell r="H43" t="str">
            <v>Setembro</v>
          </cell>
          <cell r="I43">
            <v>9</v>
          </cell>
          <cell r="O43" t="str">
            <v>Axis</v>
          </cell>
          <cell r="P43" t="str">
            <v>AXI</v>
          </cell>
          <cell r="S43" t="str">
            <v>CLM</v>
          </cell>
          <cell r="T43" t="str">
            <v>0A</v>
          </cell>
          <cell r="AB43" t="str"/>
          <cell r="AS43" t="str"/>
          <cell r="AV43" t="str"/>
        </row>
        <row r="44">
          <cell r="D44" t="str">
            <v>Telas</v>
          </cell>
          <cell r="E44" t="str">
            <v>0Y</v>
          </cell>
          <cell r="F44" t="str">
            <v>IOT</v>
          </cell>
          <cell r="H44" t="str">
            <v>Outubro</v>
          </cell>
          <cell r="I44">
            <v>10</v>
          </cell>
          <cell r="L44" t="str">
            <v>Em Negociação</v>
          </cell>
          <cell r="O44" t="str">
            <v>Barracuda Networks</v>
          </cell>
          <cell r="P44" t="str">
            <v>BAR</v>
          </cell>
          <cell r="S44" t="str">
            <v>CNT Brasil</v>
          </cell>
          <cell r="T44" t="str">
            <v>1R</v>
          </cell>
          <cell r="AB44" t="str"/>
          <cell r="AS44" t="str"/>
          <cell r="AV44" t="str"/>
        </row>
        <row r="45">
          <cell r="D45" t="str">
            <v>Unified Threat Management (UTM)</v>
          </cell>
          <cell r="E45" t="str">
            <v>0Z</v>
          </cell>
          <cell r="F45" t="str">
            <v>SEGURANÇA</v>
          </cell>
          <cell r="H45" t="str">
            <v>Novembro</v>
          </cell>
          <cell r="I45">
            <v>11</v>
          </cell>
          <cell r="L45" t="str">
            <v>Assinado</v>
          </cell>
          <cell r="O45" t="str">
            <v>Beatek</v>
          </cell>
          <cell r="P45" t="str">
            <v>BEA</v>
          </cell>
          <cell r="S45" t="str">
            <v>Colaboração Virtual</v>
          </cell>
          <cell r="T45" t="str">
            <v>1S</v>
          </cell>
          <cell r="AB45" t="str"/>
          <cell r="AS45" t="str"/>
          <cell r="AV45" t="str"/>
        </row>
        <row r="46">
          <cell r="D46" t="str">
            <v>VIVO CLIMA INTELIGENTE</v>
          </cell>
          <cell r="F46" t="str">
            <v>IOT</v>
          </cell>
          <cell r="H46" t="str">
            <v>Dezembro</v>
          </cell>
          <cell r="I46">
            <v>12</v>
          </cell>
          <cell r="O46" t="str">
            <v>Bege</v>
          </cell>
          <cell r="P46" t="str">
            <v>BEG</v>
          </cell>
          <cell r="S46" t="str">
            <v>Comm Logic</v>
          </cell>
          <cell r="T46" t="str">
            <v>0B</v>
          </cell>
          <cell r="AB46" t="str"/>
          <cell r="AS46" t="str"/>
          <cell r="AV46" t="str"/>
        </row>
        <row r="47">
          <cell r="D47" t="str">
            <v>VIVO MAQUINÁRIO INTELIGENTE</v>
          </cell>
          <cell r="F47" t="str">
            <v>IOT</v>
          </cell>
          <cell r="O47" t="str">
            <v>Bematech</v>
          </cell>
          <cell r="P47" t="str">
            <v>BEM</v>
          </cell>
          <cell r="S47" t="str">
            <v>Contact</v>
          </cell>
          <cell r="T47" t="str">
            <v>1T</v>
          </cell>
          <cell r="AB47" t="str"/>
          <cell r="AS47" t="str"/>
          <cell r="AV47" t="str"/>
        </row>
        <row r="48">
          <cell r="D48" t="str">
            <v>Web Application Firewall</v>
          </cell>
          <cell r="E48">
            <v>10</v>
          </cell>
          <cell r="F48" t="str">
            <v>SEGURANÇA</v>
          </cell>
          <cell r="O48" t="str">
            <v>BenQ</v>
          </cell>
          <cell r="P48" t="str">
            <v>BEQ</v>
          </cell>
          <cell r="S48" t="str">
            <v>Convesys</v>
          </cell>
          <cell r="T48" t="str">
            <v>5L</v>
          </cell>
          <cell r="AB48" t="str"/>
          <cell r="AS48" t="str"/>
          <cell r="AV48" t="str"/>
        </row>
        <row r="49">
          <cell r="O49" t="str">
            <v>Bestflow</v>
          </cell>
          <cell r="P49" t="str">
            <v>BFL</v>
          </cell>
          <cell r="S49" t="str">
            <v>CTT</v>
          </cell>
          <cell r="T49" t="str">
            <v>1U</v>
          </cell>
          <cell r="AB49" t="str"/>
          <cell r="AS49" t="str"/>
          <cell r="AV49" t="str"/>
        </row>
        <row r="50">
          <cell r="H50" t="str">
            <v>Equipamentos/Software</v>
          </cell>
          <cell r="O50" t="str">
            <v>Biostar</v>
          </cell>
          <cell r="P50" t="str">
            <v>BIO</v>
          </cell>
          <cell r="S50" t="str">
            <v>CYLK - NÃO UTILIZAR [USAR IHC]</v>
          </cell>
          <cell r="T50" t="str">
            <v>1V</v>
          </cell>
          <cell r="AB50" t="str"/>
          <cell r="AS50" t="str"/>
          <cell r="AV50" t="str"/>
        </row>
        <row r="51">
          <cell r="H51" t="str">
            <v>Específico/Site</v>
          </cell>
          <cell r="O51" t="str">
            <v>Blackberry</v>
          </cell>
          <cell r="P51" t="str">
            <v>BBR</v>
          </cell>
          <cell r="S51" t="str">
            <v>Damovo</v>
          </cell>
          <cell r="T51" t="str">
            <v>0D</v>
          </cell>
          <cell r="AB51" t="str"/>
          <cell r="AS51" t="str"/>
          <cell r="AV51" t="str"/>
        </row>
        <row r="52">
          <cell r="H52" t="str">
            <v>Serviços</v>
          </cell>
          <cell r="O52" t="str">
            <v>Blackbox</v>
          </cell>
          <cell r="P52" t="str">
            <v>BLB</v>
          </cell>
          <cell r="S52" t="str">
            <v>Danresa</v>
          </cell>
          <cell r="T52" t="str">
            <v>5F</v>
          </cell>
          <cell r="AB52" t="str"/>
          <cell r="AS52" t="str"/>
          <cell r="AV52" t="str"/>
        </row>
        <row r="53">
          <cell r="D53" t="str">
            <v>TI</v>
          </cell>
          <cell r="E53">
            <v>1</v>
          </cell>
          <cell r="H53" t="str">
            <v>Serviço Mensal</v>
          </cell>
          <cell r="O53" t="str">
            <v>Blue Coat</v>
          </cell>
          <cell r="P53" t="str">
            <v>BLU</v>
          </cell>
          <cell r="S53" t="str">
            <v>Decatron</v>
          </cell>
          <cell r="T53" t="str">
            <v>0E</v>
          </cell>
          <cell r="AB53" t="str"/>
          <cell r="AS53" t="str"/>
          <cell r="AV53" t="str"/>
        </row>
        <row r="54">
          <cell r="D54" t="str">
            <v>Marketing in-Store</v>
          </cell>
          <cell r="E54">
            <v>5</v>
          </cell>
          <cell r="H54" t="str">
            <v>Software</v>
          </cell>
          <cell r="O54" t="str">
            <v>BlueCat Networks</v>
          </cell>
          <cell r="P54" t="str">
            <v>BLC</v>
          </cell>
          <cell r="S54" t="str">
            <v>Dell</v>
          </cell>
          <cell r="T54" t="str">
            <v>0F</v>
          </cell>
          <cell r="AB54" t="str"/>
          <cell r="AS54" t="str"/>
          <cell r="AV54" t="str"/>
        </row>
        <row r="55">
          <cell r="B55" t="str">
            <v>Adesão</v>
          </cell>
          <cell r="D55" t="str">
            <v>Segurança</v>
          </cell>
          <cell r="E55">
            <v>9</v>
          </cell>
          <cell r="O55" t="str">
            <v>BR Token</v>
          </cell>
          <cell r="P55" t="str">
            <v>BRT</v>
          </cell>
          <cell r="S55" t="str">
            <v>Digital Work</v>
          </cell>
          <cell r="T55" t="str">
            <v>46</v>
          </cell>
          <cell r="AB55" t="str"/>
          <cell r="AS55" t="str"/>
          <cell r="AV55" t="str"/>
        </row>
        <row r="56">
          <cell r="B56" t="str">
            <v>Licença de Uso de Software Mensal</v>
          </cell>
          <cell r="D56" t="str">
            <v>Segurança Física</v>
          </cell>
          <cell r="E56">
            <v>6</v>
          </cell>
          <cell r="H56" t="str">
            <v>Equipamentos/Software</v>
          </cell>
          <cell r="O56" t="str">
            <v>Brady</v>
          </cell>
          <cell r="P56" t="str">
            <v>BRA</v>
          </cell>
          <cell r="S56" t="str">
            <v>DigitalNetBR</v>
          </cell>
          <cell r="T56" t="str">
            <v>1W</v>
          </cell>
          <cell r="AB56" t="str"/>
          <cell r="AS56" t="str"/>
          <cell r="AV56" t="str"/>
        </row>
        <row r="57">
          <cell r="D57" t="str">
            <v>IOT</v>
          </cell>
          <cell r="E57">
            <v>7</v>
          </cell>
          <cell r="H57" t="str">
            <v>Específico/Site</v>
          </cell>
          <cell r="O57" t="str">
            <v>Brocade</v>
          </cell>
          <cell r="P57" t="str">
            <v>BRO</v>
          </cell>
          <cell r="S57" t="str">
            <v>Dimension Data</v>
          </cell>
          <cell r="T57" t="str">
            <v>0G</v>
          </cell>
          <cell r="AB57" t="str"/>
          <cell r="AS57" t="str"/>
          <cell r="AV57" t="str"/>
        </row>
        <row r="58">
          <cell r="D58" t="str">
            <v>SDWAN</v>
          </cell>
          <cell r="E58">
            <v>8</v>
          </cell>
          <cell r="H58" t="str">
            <v>Serviços</v>
          </cell>
          <cell r="O58" t="str">
            <v>BUCKA</v>
          </cell>
          <cell r="P58" t="str">
            <v>BUC</v>
          </cell>
          <cell r="S58" t="str">
            <v>Dinâmica</v>
          </cell>
          <cell r="T58" t="str">
            <v>1X</v>
          </cell>
          <cell r="AB58" t="str"/>
          <cell r="AS58" t="str"/>
          <cell r="AV58" t="str"/>
        </row>
        <row r="59">
          <cell r="D59" t="str">
            <v>TIS</v>
          </cell>
          <cell r="E59" t="str">
            <v>A</v>
          </cell>
          <cell r="H59" t="str">
            <v>Software</v>
          </cell>
          <cell r="O59" t="str">
            <v>CA</v>
          </cell>
          <cell r="P59" t="str">
            <v>CA0</v>
          </cell>
          <cell r="S59" t="str">
            <v>Dinatech Brasil</v>
          </cell>
          <cell r="T59" t="str">
            <v>4O</v>
          </cell>
          <cell r="AB59" t="str"/>
          <cell r="AS59" t="str"/>
          <cell r="AV59" t="str"/>
        </row>
        <row r="60">
          <cell r="B60" t="str">
            <v>Físico</v>
          </cell>
          <cell r="O60" t="str">
            <v>Carbinox</v>
          </cell>
          <cell r="P60" t="str">
            <v>CAR</v>
          </cell>
          <cell r="S60" t="str">
            <v>Dominion Halógica</v>
          </cell>
          <cell r="T60" t="str">
            <v>1Y</v>
          </cell>
          <cell r="AB60" t="str"/>
          <cell r="AS60" t="str"/>
          <cell r="AV60" t="str"/>
        </row>
        <row r="61">
          <cell r="B61" t="str">
            <v>Virtual</v>
          </cell>
          <cell r="O61" t="str">
            <v>Carthoms</v>
          </cell>
          <cell r="P61" t="str">
            <v>CAR</v>
          </cell>
          <cell r="S61" t="str">
            <v>Druid</v>
          </cell>
          <cell r="T61" t="str">
            <v>1Z</v>
          </cell>
          <cell r="AB61" t="str"/>
          <cell r="AS61" t="str"/>
          <cell r="AV61" t="str"/>
        </row>
        <row r="62">
          <cell r="O62" t="str">
            <v>CBES</v>
          </cell>
          <cell r="P62" t="str">
            <v>CBE</v>
          </cell>
          <cell r="S62" t="str">
            <v>Econocom</v>
          </cell>
          <cell r="T62" t="str">
            <v>5R</v>
          </cell>
          <cell r="AB62" t="str"/>
          <cell r="AS62" t="str"/>
          <cell r="AV62" t="str"/>
        </row>
        <row r="63">
          <cell r="O63" t="str">
            <v>Cemar</v>
          </cell>
          <cell r="P63" t="str">
            <v>CEM</v>
          </cell>
          <cell r="S63" t="str">
            <v>EDB</v>
          </cell>
          <cell r="T63" t="str">
            <v>0H</v>
          </cell>
          <cell r="AB63" t="str"/>
          <cell r="AS63" t="str"/>
          <cell r="AV63" t="str"/>
        </row>
        <row r="64">
          <cell r="O64" t="str">
            <v>Centrify</v>
          </cell>
          <cell r="P64" t="str">
            <v>CEN</v>
          </cell>
          <cell r="S64" t="str">
            <v>Elecon</v>
          </cell>
          <cell r="T64" t="str">
            <v>4V</v>
          </cell>
          <cell r="AB64" t="str"/>
          <cell r="AS64" t="str"/>
          <cell r="AV64" t="str"/>
        </row>
        <row r="65">
          <cell r="B65" t="str">
            <v>Configuração Lógica</v>
          </cell>
          <cell r="O65" t="str">
            <v xml:space="preserve">Check Point </v>
          </cell>
          <cell r="P65" t="str">
            <v>CHP</v>
          </cell>
          <cell r="S65" t="str">
            <v>Eletro Equip</v>
          </cell>
          <cell r="T65" t="str">
            <v>47</v>
          </cell>
          <cell r="AB65" t="str"/>
          <cell r="AS65" t="str"/>
          <cell r="AV65" t="str"/>
        </row>
        <row r="66">
          <cell r="B66" t="str">
            <v>Consultoria - Informática</v>
          </cell>
          <cell r="O66" t="str">
            <v>Cirpack</v>
          </cell>
          <cell r="P66" t="str">
            <v>CIR</v>
          </cell>
          <cell r="S66" t="str">
            <v>Entelgy</v>
          </cell>
          <cell r="T66" t="str">
            <v>20</v>
          </cell>
          <cell r="AB66" t="str"/>
          <cell r="AS66" t="str"/>
          <cell r="AV66" t="str"/>
        </row>
        <row r="67">
          <cell r="B67" t="str">
            <v>Instalação - Equip de 3os</v>
          </cell>
          <cell r="O67" t="str">
            <v>CiS</v>
          </cell>
          <cell r="P67" t="str">
            <v>CI1</v>
          </cell>
          <cell r="S67" t="str">
            <v>Equipa</v>
          </cell>
          <cell r="T67" t="str">
            <v>4D</v>
          </cell>
          <cell r="AB67" t="str"/>
          <cell r="AS67" t="str"/>
          <cell r="AV67" t="str"/>
        </row>
        <row r="68">
          <cell r="B68" t="str">
            <v>Suporte de Plataforma</v>
          </cell>
          <cell r="O68" t="str">
            <v>Cisco</v>
          </cell>
          <cell r="P68" t="str">
            <v>CIS</v>
          </cell>
          <cell r="S68" t="str">
            <v>Everis</v>
          </cell>
          <cell r="T68" t="str">
            <v>21</v>
          </cell>
          <cell r="AB68" t="str"/>
          <cell r="AS68" t="str"/>
          <cell r="AV68" t="str"/>
        </row>
        <row r="69">
          <cell r="B69" t="str">
            <v>Suporte Técnico</v>
          </cell>
          <cell r="O69" t="str">
            <v>Citrix</v>
          </cell>
          <cell r="P69" t="str">
            <v>CIT</v>
          </cell>
          <cell r="S69" t="str">
            <v>F9C</v>
          </cell>
          <cell r="T69">
            <v>57</v>
          </cell>
          <cell r="AB69" t="str"/>
          <cell r="AS69" t="str"/>
          <cell r="AV69" t="str"/>
        </row>
        <row r="70">
          <cell r="O70" t="str">
            <v>Cobra</v>
          </cell>
          <cell r="P70" t="str">
            <v>COB</v>
          </cell>
          <cell r="S70" t="str">
            <v>Fast Lane</v>
          </cell>
          <cell r="T70" t="str">
            <v>22</v>
          </cell>
          <cell r="AB70" t="str"/>
          <cell r="AS70" t="str"/>
          <cell r="AV70" t="str"/>
        </row>
        <row r="71">
          <cell r="O71" t="str">
            <v>Cobrecon</v>
          </cell>
          <cell r="P71" t="str">
            <v>COB</v>
          </cell>
          <cell r="S71" t="str">
            <v>First Tech</v>
          </cell>
          <cell r="T71" t="str">
            <v>0I</v>
          </cell>
          <cell r="AB71" t="str"/>
          <cell r="AS71" t="str"/>
          <cell r="AV71" t="str"/>
        </row>
        <row r="72">
          <cell r="O72" t="str">
            <v>Commbox</v>
          </cell>
          <cell r="P72" t="str">
            <v>CMM</v>
          </cell>
          <cell r="S72" t="str">
            <v>Fonemaster</v>
          </cell>
          <cell r="T72" t="str">
            <v>23</v>
          </cell>
          <cell r="AB72" t="str"/>
          <cell r="AS72" t="str"/>
          <cell r="AV72" t="str"/>
        </row>
        <row r="73">
          <cell r="O73" t="str">
            <v>Commscope</v>
          </cell>
          <cell r="P73" t="str">
            <v>COM</v>
          </cell>
          <cell r="S73" t="str">
            <v>FTD</v>
          </cell>
          <cell r="T73" t="str">
            <v>24</v>
          </cell>
          <cell r="AB73" t="str"/>
          <cell r="AS73" t="str"/>
          <cell r="AV73" t="str"/>
        </row>
        <row r="74">
          <cell r="B74" t="str">
            <v>Consultoria - Informática Mensal</v>
          </cell>
          <cell r="O74" t="str">
            <v>Commvault</v>
          </cell>
          <cell r="P74" t="str">
            <v>COV</v>
          </cell>
          <cell r="S74" t="str">
            <v>Fujihara</v>
          </cell>
          <cell r="T74" t="str">
            <v>4N</v>
          </cell>
          <cell r="AB74" t="str"/>
          <cell r="AS74" t="str"/>
          <cell r="AV74" t="str"/>
        </row>
        <row r="75">
          <cell r="B75" t="str">
            <v>Suporte de Plataforma Mensal</v>
          </cell>
          <cell r="O75" t="str">
            <v>CONCEPT</v>
          </cell>
          <cell r="P75" t="str">
            <v>COC</v>
          </cell>
          <cell r="S75" t="str">
            <v>Genno</v>
          </cell>
          <cell r="T75" t="str">
            <v>4Y</v>
          </cell>
          <cell r="AB75" t="str"/>
          <cell r="AS75" t="str"/>
          <cell r="AV75" t="str"/>
        </row>
        <row r="76">
          <cell r="B76" t="str">
            <v>Suporte Técnico Mensal</v>
          </cell>
          <cell r="O76" t="str">
            <v>Coniposte</v>
          </cell>
          <cell r="P76" t="str">
            <v>COI</v>
          </cell>
          <cell r="S76" t="str">
            <v>Getronics</v>
          </cell>
          <cell r="T76" t="str">
            <v>25</v>
          </cell>
          <cell r="AB76" t="str"/>
          <cell r="AS76" t="str"/>
          <cell r="AV76" t="str"/>
        </row>
        <row r="77">
          <cell r="O77" t="str">
            <v>Crossbeam</v>
          </cell>
          <cell r="P77" t="str">
            <v>CRO</v>
          </cell>
          <cell r="S77" t="str">
            <v>Gimel</v>
          </cell>
          <cell r="T77" t="str">
            <v>5B</v>
          </cell>
          <cell r="AB77" t="str"/>
          <cell r="AS77" t="str"/>
          <cell r="AV77" t="str"/>
        </row>
        <row r="78">
          <cell r="O78" t="str">
            <v>DAHUA</v>
          </cell>
          <cell r="P78" t="str">
            <v>DAH</v>
          </cell>
          <cell r="S78" t="str">
            <v>Global System</v>
          </cell>
          <cell r="T78">
            <v>54</v>
          </cell>
          <cell r="AB78" t="str"/>
          <cell r="AS78" t="str"/>
          <cell r="AV78" t="str"/>
        </row>
        <row r="79">
          <cell r="O79" t="str">
            <v>Daisa</v>
          </cell>
          <cell r="P79" t="str">
            <v>DAI</v>
          </cell>
          <cell r="S79" t="str">
            <v>Globalweb</v>
          </cell>
          <cell r="T79" t="str">
            <v>26</v>
          </cell>
          <cell r="AB79" t="str"/>
          <cell r="AS79" t="str"/>
          <cell r="AV79" t="str"/>
        </row>
        <row r="80">
          <cell r="O80" t="str">
            <v>Damovo</v>
          </cell>
          <cell r="P80" t="str">
            <v>DAM</v>
          </cell>
          <cell r="S80" t="str">
            <v>Goldnet</v>
          </cell>
          <cell r="T80" t="str">
            <v>0J</v>
          </cell>
          <cell r="AB80" t="str"/>
          <cell r="AS80" t="str"/>
          <cell r="AV80" t="str"/>
        </row>
        <row r="81">
          <cell r="O81" t="str">
            <v>DECA</v>
          </cell>
          <cell r="P81" t="str">
            <v>DEC</v>
          </cell>
          <cell r="S81" t="str">
            <v>Grupo E1 - Airclic</v>
          </cell>
          <cell r="T81" t="str">
            <v>27</v>
          </cell>
          <cell r="AB81" t="str"/>
          <cell r="AS81" t="str"/>
          <cell r="AV81" t="str"/>
        </row>
        <row r="82">
          <cell r="O82" t="str">
            <v>Dell</v>
          </cell>
          <cell r="P82" t="str">
            <v>DEL</v>
          </cell>
          <cell r="S82" t="str">
            <v>GVT</v>
          </cell>
          <cell r="T82" t="str">
            <v>28</v>
          </cell>
          <cell r="AB82" t="str"/>
          <cell r="AS82" t="str"/>
          <cell r="AV82" t="str"/>
        </row>
        <row r="83">
          <cell r="O83" t="str">
            <v>Digicon</v>
          </cell>
          <cell r="P83" t="str">
            <v>DIG</v>
          </cell>
          <cell r="S83" t="str">
            <v>Hikvision</v>
          </cell>
          <cell r="T83" t="str">
            <v>4W</v>
          </cell>
          <cell r="AB83" t="str"/>
          <cell r="AS83" t="str"/>
          <cell r="AV83" t="str"/>
        </row>
        <row r="84">
          <cell r="O84" t="str">
            <v>Digifort</v>
          </cell>
          <cell r="P84" t="str">
            <v>DFO</v>
          </cell>
          <cell r="S84" t="str">
            <v>HP</v>
          </cell>
          <cell r="T84" t="str">
            <v>0K</v>
          </cell>
          <cell r="AB84" t="str"/>
          <cell r="AS84" t="str"/>
          <cell r="AV84" t="str"/>
        </row>
        <row r="85">
          <cell r="O85" t="str">
            <v>Digistar</v>
          </cell>
          <cell r="P85" t="str">
            <v>DST</v>
          </cell>
          <cell r="S85" t="str">
            <v>HPN</v>
          </cell>
          <cell r="T85" t="str">
            <v>0L</v>
          </cell>
          <cell r="AB85" t="str"/>
          <cell r="AS85" t="str"/>
          <cell r="AV85" t="str"/>
        </row>
        <row r="86">
          <cell r="O86" t="str">
            <v>Dígitro</v>
          </cell>
          <cell r="P86" t="str">
            <v>DGT</v>
          </cell>
          <cell r="S86" t="str">
            <v>IBM</v>
          </cell>
          <cell r="T86" t="str">
            <v>0M</v>
          </cell>
          <cell r="AB86" t="str"/>
          <cell r="AS86" t="str"/>
          <cell r="AV86" t="str"/>
        </row>
        <row r="87">
          <cell r="O87" t="str">
            <v>D-Link</v>
          </cell>
          <cell r="P87" t="str">
            <v>DLK</v>
          </cell>
          <cell r="S87" t="str">
            <v>IHC</v>
          </cell>
          <cell r="T87" t="str">
            <v>4R</v>
          </cell>
          <cell r="AB87" t="str"/>
          <cell r="AS87" t="str"/>
          <cell r="AV87" t="str"/>
        </row>
        <row r="88">
          <cell r="O88" t="str">
            <v>Drobo</v>
          </cell>
          <cell r="P88" t="str">
            <v>DRO</v>
          </cell>
          <cell r="S88" t="str">
            <v>Ingram</v>
          </cell>
          <cell r="T88" t="str">
            <v>29</v>
          </cell>
          <cell r="AB88" t="str"/>
          <cell r="AS88" t="str"/>
          <cell r="AV88" t="str"/>
        </row>
        <row r="89">
          <cell r="O89" t="str">
            <v>Dutoplast</v>
          </cell>
          <cell r="P89" t="str">
            <v>DUT</v>
          </cell>
          <cell r="S89" t="str">
            <v>Ingran</v>
          </cell>
          <cell r="T89" t="str">
            <v>0N</v>
          </cell>
          <cell r="AB89" t="str"/>
          <cell r="AS89" t="str"/>
          <cell r="AV89" t="str"/>
        </row>
        <row r="90">
          <cell r="O90" t="str">
            <v>eiQ Networks</v>
          </cell>
          <cell r="P90" t="str">
            <v>EIQ</v>
          </cell>
          <cell r="S90" t="str">
            <v>Intelbras</v>
          </cell>
          <cell r="T90" t="str">
            <v>4K</v>
          </cell>
          <cell r="AB90" t="str"/>
          <cell r="AS90" t="str"/>
          <cell r="AV90" t="str"/>
        </row>
        <row r="91">
          <cell r="O91" t="str">
            <v>Electroson</v>
          </cell>
          <cell r="P91" t="str">
            <v>ELE</v>
          </cell>
          <cell r="S91" t="str">
            <v>Intelliloc</v>
          </cell>
          <cell r="T91" t="str">
            <v>2A</v>
          </cell>
          <cell r="AB91" t="str"/>
          <cell r="AS91" t="str"/>
          <cell r="AV91" t="str"/>
        </row>
        <row r="92">
          <cell r="O92" t="str">
            <v>EMC</v>
          </cell>
          <cell r="P92" t="str">
            <v>EMC</v>
          </cell>
          <cell r="S92" t="str">
            <v>Interadapt</v>
          </cell>
          <cell r="T92" t="str">
            <v>2B</v>
          </cell>
          <cell r="AB92" t="str"/>
          <cell r="AS92" t="str"/>
          <cell r="AV92" t="str"/>
        </row>
        <row r="93">
          <cell r="O93" t="str">
            <v>Emerson</v>
          </cell>
          <cell r="P93" t="str">
            <v>EME</v>
          </cell>
          <cell r="S93" t="str">
            <v>Intersmart</v>
          </cell>
          <cell r="T93" t="str">
            <v>4I</v>
          </cell>
          <cell r="AB93" t="str"/>
          <cell r="AS93" t="str"/>
          <cell r="AV93" t="str"/>
        </row>
        <row r="94">
          <cell r="O94" t="str">
            <v>Engetron</v>
          </cell>
          <cell r="P94" t="str">
            <v>ENG</v>
          </cell>
          <cell r="S94" t="str">
            <v>ISH</v>
          </cell>
          <cell r="T94" t="str">
            <v>2C</v>
          </cell>
          <cell r="AB94" t="str"/>
          <cell r="AS94" t="str"/>
          <cell r="AV94" t="str"/>
        </row>
        <row r="95">
          <cell r="O95" t="str">
            <v>Enterasys</v>
          </cell>
          <cell r="P95" t="str">
            <v>ENT</v>
          </cell>
          <cell r="S95" t="str">
            <v>IT2B</v>
          </cell>
          <cell r="T95" t="str">
            <v>0O</v>
          </cell>
          <cell r="AB95" t="str"/>
          <cell r="AS95" t="str"/>
          <cell r="AV95" t="str"/>
        </row>
        <row r="96">
          <cell r="O96" t="str">
            <v>Equipa</v>
          </cell>
          <cell r="P96" t="str">
            <v>EQP</v>
          </cell>
          <cell r="S96" t="str">
            <v>Italtel</v>
          </cell>
          <cell r="T96" t="str">
            <v>0P</v>
          </cell>
          <cell r="AB96" t="str"/>
          <cell r="AS96" t="str"/>
          <cell r="AV96" t="str"/>
        </row>
        <row r="97">
          <cell r="O97" t="str">
            <v>Exinda</v>
          </cell>
          <cell r="P97" t="str">
            <v>EXI</v>
          </cell>
          <cell r="S97" t="str">
            <v>Itautec</v>
          </cell>
          <cell r="T97" t="str">
            <v>0Q</v>
          </cell>
          <cell r="AB97" t="str"/>
          <cell r="AS97" t="str"/>
          <cell r="AV97" t="str"/>
        </row>
        <row r="98">
          <cell r="O98" t="str">
            <v>Extreme</v>
          </cell>
          <cell r="P98" t="str">
            <v>EXT</v>
          </cell>
          <cell r="S98" t="str">
            <v>Itec</v>
          </cell>
          <cell r="T98" t="str">
            <v>5J</v>
          </cell>
          <cell r="AB98" t="str"/>
          <cell r="AS98" t="str"/>
          <cell r="AV98" t="str"/>
        </row>
        <row r="99">
          <cell r="O99" t="str">
            <v>Ezalphamv</v>
          </cell>
          <cell r="P99" t="str">
            <v>EZA</v>
          </cell>
          <cell r="S99" t="str">
            <v>Itech</v>
          </cell>
          <cell r="T99" t="str">
            <v>2D</v>
          </cell>
          <cell r="AB99" t="str"/>
          <cell r="AS99" t="str"/>
          <cell r="AV99" t="str"/>
        </row>
        <row r="100">
          <cell r="O100" t="str">
            <v>F5</v>
          </cell>
          <cell r="P100" t="str">
            <v>F50</v>
          </cell>
          <cell r="S100" t="str">
            <v>Kachan</v>
          </cell>
          <cell r="T100" t="str">
            <v>2E</v>
          </cell>
          <cell r="AB100" t="str"/>
          <cell r="AS100" t="str"/>
          <cell r="AV100" t="str"/>
        </row>
        <row r="101">
          <cell r="O101" t="str">
            <v>Felitron</v>
          </cell>
          <cell r="P101" t="str">
            <v>FEL</v>
          </cell>
          <cell r="S101" t="str">
            <v>Landis+Gyr</v>
          </cell>
          <cell r="T101" t="str">
            <v>2F</v>
          </cell>
          <cell r="AB101" t="str"/>
          <cell r="AS101" t="str"/>
          <cell r="AV101" t="str"/>
        </row>
        <row r="102">
          <cell r="O102" t="str">
            <v>Fibracem</v>
          </cell>
          <cell r="P102" t="str">
            <v>FIB</v>
          </cell>
          <cell r="S102" t="str">
            <v>Lenovo</v>
          </cell>
          <cell r="T102" t="str">
            <v>2G</v>
          </cell>
          <cell r="AB102" t="str"/>
          <cell r="AS102" t="str"/>
          <cell r="AV102" t="str"/>
        </row>
        <row r="103">
          <cell r="O103" t="str">
            <v>FIRESEG</v>
          </cell>
          <cell r="P103" t="str">
            <v>FIR</v>
          </cell>
          <cell r="S103" t="str">
            <v>Leucotron</v>
          </cell>
          <cell r="T103" t="str">
            <v>5V</v>
          </cell>
          <cell r="AS103" t="str"/>
          <cell r="AV103" t="str"/>
        </row>
        <row r="104">
          <cell r="O104" t="str">
            <v>FlexVision</v>
          </cell>
          <cell r="P104" t="str">
            <v>FLE</v>
          </cell>
          <cell r="S104" t="str">
            <v>Luche</v>
          </cell>
          <cell r="T104" t="str">
            <v>2H</v>
          </cell>
          <cell r="AS104" t="str"/>
          <cell r="AV104" t="str"/>
        </row>
        <row r="105">
          <cell r="O105" t="str">
            <v>Fluke</v>
          </cell>
          <cell r="P105" t="str">
            <v>FLK</v>
          </cell>
          <cell r="S105" t="str">
            <v>M13</v>
          </cell>
          <cell r="T105" t="str">
            <v>2I</v>
          </cell>
          <cell r="AS105" t="str"/>
          <cell r="AV105" t="str"/>
        </row>
        <row r="106">
          <cell r="O106" t="str">
            <v>Forceline</v>
          </cell>
          <cell r="P106" t="str">
            <v>FOC</v>
          </cell>
          <cell r="S106" t="str">
            <v>Maminfo</v>
          </cell>
          <cell r="T106" t="str">
            <v>5A</v>
          </cell>
          <cell r="AS106" t="str"/>
          <cell r="AV106" t="str"/>
        </row>
        <row r="107">
          <cell r="O107" t="str">
            <v>Fortify</v>
          </cell>
          <cell r="P107" t="str">
            <v>FTF</v>
          </cell>
          <cell r="S107" t="str">
            <v>Maxtrack</v>
          </cell>
          <cell r="T107" t="str">
            <v>2J</v>
          </cell>
          <cell r="AS107" t="str"/>
          <cell r="AV107" t="str"/>
        </row>
        <row r="108">
          <cell r="O108" t="str">
            <v>Fortinet</v>
          </cell>
          <cell r="P108" t="str">
            <v>FOR</v>
          </cell>
          <cell r="S108" t="str">
            <v>MC1</v>
          </cell>
          <cell r="T108" t="str">
            <v>2K</v>
          </cell>
          <cell r="AS108" t="str"/>
          <cell r="AV108" t="str"/>
        </row>
        <row r="109">
          <cell r="O109" t="str">
            <v>Fujihara</v>
          </cell>
          <cell r="P109" t="str">
            <v>FUJ</v>
          </cell>
          <cell r="S109" t="str">
            <v>Meanwell</v>
          </cell>
          <cell r="T109" t="str">
            <v>50</v>
          </cell>
          <cell r="AS109" t="str"/>
          <cell r="AV109" t="str"/>
        </row>
        <row r="110">
          <cell r="O110" t="str">
            <v>FURAKAWA</v>
          </cell>
          <cell r="P110" t="str">
            <v>FRK</v>
          </cell>
          <cell r="S110" t="str">
            <v>Mecano</v>
          </cell>
          <cell r="T110" t="str">
            <v>4E</v>
          </cell>
          <cell r="AS110" t="str"/>
          <cell r="AV110" t="str"/>
        </row>
        <row r="111">
          <cell r="O111" t="str">
            <v>Furukawa</v>
          </cell>
          <cell r="P111" t="str">
            <v>FUR</v>
          </cell>
          <cell r="S111" t="str">
            <v>Media Networks</v>
          </cell>
          <cell r="T111">
            <v>51</v>
          </cell>
          <cell r="AS111" t="str"/>
          <cell r="AV111" t="str"/>
        </row>
        <row r="112">
          <cell r="O112" t="str">
            <v>General cable</v>
          </cell>
          <cell r="P112" t="str">
            <v>GCA</v>
          </cell>
          <cell r="S112" t="str">
            <v>Medidata</v>
          </cell>
          <cell r="T112" t="str">
            <v>0R</v>
          </cell>
          <cell r="AS112" t="str"/>
          <cell r="AV112" t="str"/>
        </row>
        <row r="113">
          <cell r="O113" t="str">
            <v>Genesys</v>
          </cell>
          <cell r="P113" t="str">
            <v>GEN</v>
          </cell>
          <cell r="S113" t="str">
            <v>MGI</v>
          </cell>
          <cell r="T113" t="str">
            <v>2L</v>
          </cell>
          <cell r="AS113" t="str"/>
          <cell r="AV113" t="str"/>
        </row>
        <row r="114">
          <cell r="O114" t="str">
            <v>Genno</v>
          </cell>
          <cell r="P114" t="str">
            <v>GEO</v>
          </cell>
          <cell r="S114" t="str">
            <v>Mikrotik</v>
          </cell>
          <cell r="T114" t="str">
            <v>4F</v>
          </cell>
          <cell r="AS114" t="str"/>
          <cell r="AV114" t="str"/>
        </row>
        <row r="115">
          <cell r="O115" t="str">
            <v>Gerbo</v>
          </cell>
          <cell r="P115" t="str">
            <v>GER</v>
          </cell>
          <cell r="S115" t="str">
            <v>Mobile People</v>
          </cell>
          <cell r="T115" t="str">
            <v>2M</v>
          </cell>
          <cell r="AS115" t="str"/>
          <cell r="AV115" t="str"/>
        </row>
        <row r="116">
          <cell r="O116" t="str">
            <v>Gertec</v>
          </cell>
          <cell r="P116" t="str">
            <v>GET</v>
          </cell>
          <cell r="S116" t="str">
            <v>Morley</v>
          </cell>
          <cell r="T116" t="str">
            <v>4Z</v>
          </cell>
          <cell r="AS116" t="str"/>
          <cell r="AV116" t="str"/>
        </row>
        <row r="117">
          <cell r="O117" t="str">
            <v>Gigabyte</v>
          </cell>
          <cell r="P117" t="str">
            <v>GBT</v>
          </cell>
          <cell r="S117" t="str">
            <v>Motorola Mobile</v>
          </cell>
          <cell r="T117" t="str">
            <v>2N</v>
          </cell>
          <cell r="AS117" t="str"/>
          <cell r="AV117" t="str"/>
        </row>
        <row r="118">
          <cell r="O118" t="str">
            <v>Gigaset</v>
          </cell>
          <cell r="P118" t="str">
            <v>GST</v>
          </cell>
          <cell r="S118" t="str">
            <v>Motorola Solutions</v>
          </cell>
          <cell r="T118" t="str">
            <v>2O</v>
          </cell>
          <cell r="AS118" t="str"/>
          <cell r="AV118" t="str"/>
        </row>
        <row r="119">
          <cell r="O119" t="str">
            <v>Google</v>
          </cell>
          <cell r="P119" t="str">
            <v>GOO</v>
          </cell>
          <cell r="S119" t="str">
            <v>MoWa</v>
          </cell>
          <cell r="T119" t="str">
            <v>2P</v>
          </cell>
          <cell r="AS119" t="str"/>
          <cell r="AV119" t="str"/>
        </row>
        <row r="120">
          <cell r="O120" t="str">
            <v>Grandometais</v>
          </cell>
          <cell r="P120" t="str">
            <v>GRA</v>
          </cell>
          <cell r="S120" t="str">
            <v>MPE</v>
          </cell>
          <cell r="T120" t="str">
            <v>0S</v>
          </cell>
          <cell r="AS120" t="str"/>
          <cell r="AV120" t="str"/>
        </row>
        <row r="121">
          <cell r="O121" t="str">
            <v>HDL</v>
          </cell>
          <cell r="P121" t="str">
            <v>HDL</v>
          </cell>
          <cell r="S121" t="str">
            <v>MRA</v>
          </cell>
          <cell r="T121" t="str">
            <v>2Q</v>
          </cell>
          <cell r="AS121" t="str"/>
          <cell r="AV121" t="str"/>
        </row>
        <row r="122">
          <cell r="O122" t="str">
            <v>Head</v>
          </cell>
          <cell r="P122" t="str">
            <v>HEA</v>
          </cell>
          <cell r="S122" t="str">
            <v>Mtel</v>
          </cell>
          <cell r="T122" t="str">
            <v>2R</v>
          </cell>
          <cell r="AS122" t="str"/>
          <cell r="AV122" t="str"/>
        </row>
        <row r="123">
          <cell r="O123" t="str">
            <v>Hellerman</v>
          </cell>
          <cell r="P123" t="str">
            <v>HEL</v>
          </cell>
          <cell r="S123" t="str">
            <v>MTM Tecnologia</v>
          </cell>
          <cell r="T123" t="str">
            <v>2S</v>
          </cell>
          <cell r="AS123" t="str"/>
          <cell r="AV123" t="str"/>
        </row>
        <row r="124">
          <cell r="O124" t="str">
            <v>Hepso</v>
          </cell>
          <cell r="P124" t="str">
            <v>HEP</v>
          </cell>
          <cell r="S124" t="str">
            <v>Multirede</v>
          </cell>
          <cell r="T124" t="str">
            <v>0T</v>
          </cell>
          <cell r="AS124" t="str"/>
          <cell r="AV124" t="str"/>
        </row>
        <row r="125">
          <cell r="O125" t="str">
            <v>HID</v>
          </cell>
          <cell r="P125" t="str">
            <v>HID</v>
          </cell>
          <cell r="S125" t="str">
            <v>Nansen</v>
          </cell>
          <cell r="T125" t="str">
            <v>2T</v>
          </cell>
          <cell r="AS125" t="str"/>
          <cell r="AV125" t="str"/>
        </row>
        <row r="126">
          <cell r="O126" t="str">
            <v>HIKIVISION</v>
          </cell>
          <cell r="P126" t="str">
            <v>HIK</v>
          </cell>
          <cell r="S126" t="str">
            <v>Navita</v>
          </cell>
          <cell r="T126" t="str">
            <v>2U</v>
          </cell>
          <cell r="AS126" t="str"/>
          <cell r="AV126" t="str"/>
        </row>
        <row r="127">
          <cell r="O127" t="str">
            <v>Hikvision</v>
          </cell>
          <cell r="P127" t="str">
            <v>HIK</v>
          </cell>
          <cell r="S127" t="str">
            <v>Ncom</v>
          </cell>
          <cell r="T127" t="str">
            <v>2V</v>
          </cell>
          <cell r="AS127" t="str"/>
          <cell r="AV127" t="str"/>
        </row>
        <row r="128">
          <cell r="O128" t="str">
            <v>Hitachi</v>
          </cell>
          <cell r="P128" t="str">
            <v>HIT</v>
          </cell>
          <cell r="S128" t="str">
            <v>NEC</v>
          </cell>
          <cell r="T128" t="str">
            <v>0U</v>
          </cell>
          <cell r="AS128" t="str"/>
          <cell r="AV128" t="str"/>
        </row>
        <row r="129">
          <cell r="O129" t="str">
            <v>Honeywell</v>
          </cell>
          <cell r="P129" t="str">
            <v>HOW</v>
          </cell>
          <cell r="S129" t="str">
            <v>Net Solutions</v>
          </cell>
          <cell r="T129" t="str">
            <v>0V</v>
          </cell>
          <cell r="AS129" t="str"/>
          <cell r="AV129" t="str"/>
        </row>
        <row r="130">
          <cell r="O130" t="str">
            <v>HP</v>
          </cell>
          <cell r="P130" t="str">
            <v>HPP</v>
          </cell>
          <cell r="S130" t="str">
            <v>Netsafe</v>
          </cell>
          <cell r="T130" t="str">
            <v>2W</v>
          </cell>
          <cell r="AS130" t="str"/>
          <cell r="AV130" t="str"/>
        </row>
        <row r="131">
          <cell r="O131" t="str">
            <v>HPE</v>
          </cell>
          <cell r="P131" t="str">
            <v>HPE</v>
          </cell>
          <cell r="S131" t="str">
            <v>Netsul</v>
          </cell>
          <cell r="T131" t="str">
            <v>4M</v>
          </cell>
          <cell r="AS131" t="str"/>
          <cell r="AV131" t="str"/>
        </row>
        <row r="132">
          <cell r="O132" t="str">
            <v>HTC</v>
          </cell>
          <cell r="P132" t="str">
            <v>HTC</v>
          </cell>
          <cell r="S132" t="str">
            <v>Netwan</v>
          </cell>
          <cell r="T132" t="str">
            <v>5C</v>
          </cell>
          <cell r="AS132" t="str"/>
          <cell r="AV132" t="str"/>
        </row>
        <row r="133">
          <cell r="O133" t="str">
            <v>Huawei</v>
          </cell>
          <cell r="P133" t="str">
            <v>HUA</v>
          </cell>
          <cell r="S133" t="str">
            <v>Network1</v>
          </cell>
          <cell r="T133" t="str">
            <v>0W</v>
          </cell>
          <cell r="AS133" t="str"/>
          <cell r="AV133" t="str"/>
        </row>
        <row r="134">
          <cell r="O134" t="str">
            <v>IBM</v>
          </cell>
          <cell r="P134" t="str">
            <v>IBM</v>
          </cell>
          <cell r="S134" t="str">
            <v>Nokia</v>
          </cell>
          <cell r="T134" t="str">
            <v>5W</v>
          </cell>
          <cell r="AS134" t="str"/>
          <cell r="AV134" t="str"/>
        </row>
        <row r="135">
          <cell r="O135" t="str">
            <v>Imperva</v>
          </cell>
          <cell r="P135" t="str">
            <v>IMP</v>
          </cell>
          <cell r="S135" t="str">
            <v>NS Telecom</v>
          </cell>
          <cell r="T135" t="str">
            <v>2X</v>
          </cell>
          <cell r="AS135" t="str"/>
          <cell r="AV135" t="str"/>
        </row>
        <row r="136">
          <cell r="O136" t="str">
            <v>Indaial</v>
          </cell>
          <cell r="P136" t="str">
            <v>IDA</v>
          </cell>
          <cell r="S136" t="str">
            <v>Officer</v>
          </cell>
          <cell r="T136" t="str">
            <v>0X</v>
          </cell>
          <cell r="AS136" t="str"/>
          <cell r="AV136" t="str"/>
        </row>
        <row r="137">
          <cell r="O137" t="str">
            <v>IndigoVision</v>
          </cell>
          <cell r="P137" t="str">
            <v>IND</v>
          </cell>
          <cell r="S137" t="str">
            <v>OKI</v>
          </cell>
          <cell r="T137" t="str">
            <v>2Y</v>
          </cell>
          <cell r="AS137" t="str"/>
          <cell r="AV137" t="str"/>
        </row>
        <row r="138">
          <cell r="O138" t="str">
            <v>INDT</v>
          </cell>
          <cell r="P138" t="str">
            <v>IDT</v>
          </cell>
          <cell r="S138" t="str">
            <v>Olibras</v>
          </cell>
          <cell r="T138" t="str">
            <v>2Z</v>
          </cell>
          <cell r="AS138" t="str"/>
          <cell r="AV138" t="str"/>
        </row>
        <row r="139">
          <cell r="O139" t="str">
            <v>Infoblox</v>
          </cell>
          <cell r="P139" t="str">
            <v>INF</v>
          </cell>
          <cell r="S139" t="str">
            <v>Olitel</v>
          </cell>
          <cell r="T139" t="str">
            <v>30</v>
          </cell>
          <cell r="AS139" t="str"/>
          <cell r="AV139" t="str"/>
        </row>
        <row r="140">
          <cell r="O140" t="str">
            <v>Informatec</v>
          </cell>
          <cell r="P140" t="str">
            <v>IFT</v>
          </cell>
          <cell r="S140" t="str">
            <v>OmRá Tecnologia</v>
          </cell>
          <cell r="T140" t="str">
            <v>31</v>
          </cell>
          <cell r="AS140" t="str"/>
          <cell r="AV140" t="str"/>
        </row>
        <row r="141">
          <cell r="O141" t="str">
            <v>Intel</v>
          </cell>
          <cell r="P141" t="str">
            <v>ITL</v>
          </cell>
          <cell r="S141" t="str">
            <v>Onthespot</v>
          </cell>
          <cell r="T141" t="str">
            <v>0Y</v>
          </cell>
          <cell r="AS141" t="str"/>
          <cell r="AV141" t="str"/>
        </row>
        <row r="142">
          <cell r="O142" t="str">
            <v>Intelbras</v>
          </cell>
          <cell r="P142" t="str">
            <v>INT</v>
          </cell>
          <cell r="S142" t="str">
            <v>Open System</v>
          </cell>
          <cell r="T142" t="str">
            <v>32</v>
          </cell>
          <cell r="AS142" t="str"/>
          <cell r="AV142" t="str"/>
        </row>
        <row r="143">
          <cell r="O143" t="str">
            <v>Intellex</v>
          </cell>
          <cell r="P143" t="str">
            <v>ILL</v>
          </cell>
          <cell r="S143" t="str">
            <v>Panasonic</v>
          </cell>
          <cell r="T143" t="str">
            <v>5S</v>
          </cell>
          <cell r="AS143" t="str"/>
          <cell r="AV143" t="str"/>
        </row>
        <row r="144">
          <cell r="O144" t="str">
            <v>Intermec</v>
          </cell>
          <cell r="P144" t="str">
            <v>ITM</v>
          </cell>
          <cell r="S144" t="str">
            <v>Parlacom</v>
          </cell>
          <cell r="T144" t="str">
            <v>52</v>
          </cell>
          <cell r="AS144" t="str"/>
          <cell r="AV144" t="str"/>
        </row>
        <row r="145">
          <cell r="O145" t="str">
            <v>Ipanema</v>
          </cell>
          <cell r="P145" t="str">
            <v>IPA</v>
          </cell>
          <cell r="S145" t="str">
            <v>Phoenix Contact</v>
          </cell>
          <cell r="T145" t="str">
            <v>33</v>
          </cell>
          <cell r="AS145" t="str"/>
          <cell r="AV145" t="str"/>
        </row>
        <row r="146">
          <cell r="O146" t="str">
            <v>Ipc</v>
          </cell>
          <cell r="P146" t="str">
            <v>IPC</v>
          </cell>
          <cell r="S146" t="str">
            <v>Phonoway</v>
          </cell>
          <cell r="T146" t="str">
            <v>34</v>
          </cell>
          <cell r="AS146" t="str"/>
          <cell r="AV146" t="str"/>
        </row>
        <row r="147">
          <cell r="O147" t="str">
            <v>Ipswitch</v>
          </cell>
          <cell r="P147" t="str">
            <v>IPS</v>
          </cell>
          <cell r="S147" t="str">
            <v>Plano 1</v>
          </cell>
          <cell r="T147" t="str">
            <v>0Z</v>
          </cell>
          <cell r="AS147" t="str"/>
          <cell r="AV147" t="str"/>
        </row>
        <row r="148">
          <cell r="O148" t="str">
            <v>IronPort</v>
          </cell>
          <cell r="P148" t="str">
            <v>IRO</v>
          </cell>
          <cell r="S148" t="str">
            <v>Plantronics</v>
          </cell>
          <cell r="T148" t="str">
            <v>35</v>
          </cell>
          <cell r="AS148" t="str"/>
          <cell r="AV148" t="str"/>
        </row>
        <row r="149">
          <cell r="O149" t="str">
            <v>Itautec</v>
          </cell>
          <cell r="P149" t="str">
            <v>ITA</v>
          </cell>
          <cell r="S149" t="str">
            <v>Poniter</v>
          </cell>
          <cell r="T149" t="str">
            <v>5M</v>
          </cell>
          <cell r="AS149" t="str"/>
          <cell r="AV149" t="str"/>
        </row>
        <row r="150">
          <cell r="O150" t="str">
            <v>iVirtua</v>
          </cell>
          <cell r="P150" t="str">
            <v>IVI</v>
          </cell>
          <cell r="S150" t="str">
            <v>Positivo</v>
          </cell>
          <cell r="T150" t="str">
            <v>36</v>
          </cell>
          <cell r="AS150" t="str"/>
          <cell r="AV150" t="str"/>
        </row>
        <row r="151">
          <cell r="O151" t="str">
            <v>JD POSTE PADRÃO</v>
          </cell>
          <cell r="P151" t="str">
            <v>JDP</v>
          </cell>
          <cell r="S151" t="str">
            <v>Primesystems</v>
          </cell>
          <cell r="T151" t="str">
            <v>37</v>
          </cell>
          <cell r="AS151" t="str"/>
          <cell r="AV151" t="str"/>
        </row>
        <row r="152">
          <cell r="O152" t="str">
            <v>Juniper</v>
          </cell>
          <cell r="P152" t="str">
            <v>JUN</v>
          </cell>
          <cell r="S152" t="str">
            <v>Primordial</v>
          </cell>
          <cell r="T152" t="str">
            <v>38</v>
          </cell>
          <cell r="AS152" t="str"/>
          <cell r="AV152" t="str"/>
        </row>
        <row r="153">
          <cell r="O153" t="str">
            <v>Kabira</v>
          </cell>
          <cell r="P153" t="str">
            <v>KAB</v>
          </cell>
          <cell r="S153" t="str">
            <v>Promon Logicalis</v>
          </cell>
          <cell r="T153" t="str">
            <v>10</v>
          </cell>
          <cell r="AS153" t="str"/>
          <cell r="AV153" t="str"/>
        </row>
        <row r="154">
          <cell r="O154" t="str">
            <v>Kaspersky</v>
          </cell>
          <cell r="P154" t="str">
            <v>KAS</v>
          </cell>
          <cell r="S154" t="str">
            <v>Prosat</v>
          </cell>
          <cell r="T154" t="str">
            <v>4L</v>
          </cell>
          <cell r="AS154" t="str"/>
          <cell r="AV154" t="str"/>
        </row>
        <row r="155">
          <cell r="O155" t="str">
            <v>KIDDE</v>
          </cell>
          <cell r="P155" t="str">
            <v>KID</v>
          </cell>
          <cell r="S155" t="str">
            <v>PSRV</v>
          </cell>
          <cell r="T155" t="str">
            <v>48</v>
          </cell>
          <cell r="AS155" t="str"/>
          <cell r="AV155" t="str"/>
        </row>
        <row r="156">
          <cell r="O156" t="str">
            <v>Kingston</v>
          </cell>
          <cell r="P156" t="str">
            <v>KIN</v>
          </cell>
          <cell r="S156" t="str">
            <v>QoS</v>
          </cell>
          <cell r="T156" t="str">
            <v>39</v>
          </cell>
          <cell r="AS156" t="str"/>
          <cell r="AV156" t="str"/>
        </row>
        <row r="157">
          <cell r="O157" t="str">
            <v>KUM</v>
          </cell>
          <cell r="P157" t="str">
            <v>KUM</v>
          </cell>
          <cell r="S157" t="str">
            <v>Rcom</v>
          </cell>
          <cell r="T157" t="str">
            <v>3A</v>
          </cell>
          <cell r="AS157" t="str"/>
          <cell r="AV157" t="str"/>
        </row>
        <row r="158">
          <cell r="O158" t="str">
            <v>Legrand</v>
          </cell>
          <cell r="P158" t="str">
            <v>LEG</v>
          </cell>
          <cell r="S158" t="str">
            <v>Redisul</v>
          </cell>
          <cell r="T158" t="str">
            <v>3B</v>
          </cell>
          <cell r="AS158" t="str"/>
          <cell r="AV158" t="str"/>
        </row>
        <row r="159">
          <cell r="O159" t="str">
            <v>Lenovo</v>
          </cell>
          <cell r="P159" t="str">
            <v>LEN</v>
          </cell>
          <cell r="S159" t="str">
            <v>Risc Technology</v>
          </cell>
          <cell r="T159" t="str">
            <v>11</v>
          </cell>
          <cell r="AS159" t="str"/>
          <cell r="AV159" t="str"/>
        </row>
        <row r="160">
          <cell r="O160" t="str">
            <v>Leucotron</v>
          </cell>
          <cell r="P160" t="str">
            <v>LEU</v>
          </cell>
          <cell r="S160" t="str">
            <v>Safesystem</v>
          </cell>
          <cell r="T160">
            <v>58</v>
          </cell>
          <cell r="AS160" t="str"/>
          <cell r="AV160" t="str"/>
        </row>
        <row r="161">
          <cell r="O161" t="str">
            <v>LG</v>
          </cell>
          <cell r="P161" t="str">
            <v>LGE</v>
          </cell>
          <cell r="S161" t="str">
            <v>Scanbuy Brasil</v>
          </cell>
          <cell r="T161" t="str">
            <v>3C</v>
          </cell>
          <cell r="AS161" t="str"/>
          <cell r="AV161" t="str"/>
        </row>
        <row r="162">
          <cell r="O162" t="str">
            <v>LHS</v>
          </cell>
          <cell r="P162" t="str">
            <v>LHS</v>
          </cell>
          <cell r="S162" t="str">
            <v>Scansource</v>
          </cell>
          <cell r="T162" t="str">
            <v>4S</v>
          </cell>
          <cell r="AS162" t="str"/>
          <cell r="AV162" t="str"/>
        </row>
        <row r="163">
          <cell r="O163" t="str">
            <v>Lider Rental</v>
          </cell>
          <cell r="P163" t="str">
            <v>LID</v>
          </cell>
          <cell r="S163" t="str">
            <v>Schneider</v>
          </cell>
          <cell r="T163" t="str">
            <v>5H</v>
          </cell>
          <cell r="AS163" t="str"/>
          <cell r="AV163" t="str"/>
        </row>
        <row r="164">
          <cell r="O164" t="str">
            <v>LifeSize</v>
          </cell>
          <cell r="P164" t="str">
            <v>LIF</v>
          </cell>
          <cell r="S164" t="str">
            <v>Scopus</v>
          </cell>
          <cell r="T164" t="str">
            <v>3D</v>
          </cell>
          <cell r="AS164" t="str"/>
          <cell r="AV164" t="str"/>
        </row>
        <row r="165">
          <cell r="O165" t="str">
            <v>Lightware</v>
          </cell>
          <cell r="P165" t="str">
            <v>LGH</v>
          </cell>
          <cell r="S165" t="str">
            <v>Seal Telecom</v>
          </cell>
          <cell r="T165" t="str">
            <v>5T</v>
          </cell>
          <cell r="AS165" t="str"/>
          <cell r="AV165" t="str"/>
        </row>
        <row r="166">
          <cell r="O166" t="str">
            <v>LigthPointe</v>
          </cell>
          <cell r="P166" t="str">
            <v>LIG</v>
          </cell>
          <cell r="S166" t="str">
            <v>Sequoia</v>
          </cell>
          <cell r="T166" t="str">
            <v>5P</v>
          </cell>
          <cell r="AS166" t="str"/>
          <cell r="AV166" t="str"/>
        </row>
        <row r="167">
          <cell r="O167" t="str">
            <v>Liteon</v>
          </cell>
          <cell r="P167" t="str">
            <v>LIT</v>
          </cell>
          <cell r="S167" t="str">
            <v>Servix</v>
          </cell>
          <cell r="T167" t="str">
            <v>5O</v>
          </cell>
          <cell r="AS167" t="str"/>
          <cell r="AV167" t="str"/>
        </row>
        <row r="168">
          <cell r="O168" t="str">
            <v>MAJESTIC</v>
          </cell>
          <cell r="P168" t="str">
            <v>MAJ</v>
          </cell>
          <cell r="S168" t="str">
            <v>Siemens</v>
          </cell>
          <cell r="T168" t="str">
            <v>3E</v>
          </cell>
          <cell r="AS168" t="str"/>
          <cell r="AV168" t="str"/>
        </row>
        <row r="169">
          <cell r="O169" t="str">
            <v>McAfee</v>
          </cell>
          <cell r="P169" t="str">
            <v>MCA</v>
          </cell>
          <cell r="S169" t="str">
            <v>Silver Spring</v>
          </cell>
          <cell r="T169" t="str">
            <v>3F</v>
          </cell>
          <cell r="AS169" t="str"/>
          <cell r="AV169" t="str"/>
        </row>
        <row r="170">
          <cell r="O170" t="str">
            <v>Meanwell</v>
          </cell>
          <cell r="P170" t="str">
            <v>MEA</v>
          </cell>
          <cell r="S170" t="str">
            <v>Sonda</v>
          </cell>
          <cell r="T170" t="str">
            <v>12</v>
          </cell>
          <cell r="AS170" t="str"/>
          <cell r="AV170" t="str"/>
        </row>
        <row r="171">
          <cell r="O171" t="str">
            <v>Mecano</v>
          </cell>
          <cell r="P171" t="str">
            <v>MEC</v>
          </cell>
          <cell r="S171" t="str">
            <v>Sonda IT</v>
          </cell>
          <cell r="T171" t="str">
            <v>3G</v>
          </cell>
          <cell r="AS171" t="str"/>
          <cell r="AV171" t="str"/>
        </row>
        <row r="172">
          <cell r="O172" t="str">
            <v>Megatron</v>
          </cell>
          <cell r="P172" t="str">
            <v>MEG</v>
          </cell>
          <cell r="S172" t="str">
            <v>Sonicwall</v>
          </cell>
          <cell r="T172" t="str">
            <v>5X</v>
          </cell>
          <cell r="AS172" t="str"/>
          <cell r="AV172" t="str"/>
        </row>
        <row r="173">
          <cell r="O173" t="str">
            <v>Mercury</v>
          </cell>
          <cell r="P173" t="str">
            <v>MER</v>
          </cell>
          <cell r="S173" t="str">
            <v>Spread</v>
          </cell>
          <cell r="T173" t="str">
            <v>3H</v>
          </cell>
          <cell r="AS173" t="str"/>
          <cell r="AV173" t="str"/>
        </row>
        <row r="174">
          <cell r="O174" t="str">
            <v>Microsoft</v>
          </cell>
          <cell r="P174" t="str">
            <v>MIC</v>
          </cell>
          <cell r="S174" t="str">
            <v>Starsonic</v>
          </cell>
          <cell r="T174" t="str">
            <v>3I</v>
          </cell>
          <cell r="AS174" t="str"/>
          <cell r="AV174" t="str"/>
        </row>
        <row r="175">
          <cell r="O175" t="str">
            <v>Mobotix</v>
          </cell>
          <cell r="P175" t="str">
            <v>MOB</v>
          </cell>
          <cell r="S175" t="str">
            <v>Stell</v>
          </cell>
          <cell r="T175" t="str">
            <v>3J</v>
          </cell>
          <cell r="AS175" t="str"/>
          <cell r="AV175" t="str"/>
        </row>
        <row r="176">
          <cell r="O176" t="str">
            <v>Mopa</v>
          </cell>
          <cell r="P176" t="str">
            <v>MOP</v>
          </cell>
          <cell r="S176" t="str">
            <v>Storback / CSF</v>
          </cell>
          <cell r="T176" t="str">
            <v>3K</v>
          </cell>
          <cell r="AS176" t="str"/>
          <cell r="AV176" t="str"/>
        </row>
        <row r="177">
          <cell r="O177" t="str">
            <v>MOREY</v>
          </cell>
          <cell r="P177" t="str">
            <v>MOR</v>
          </cell>
          <cell r="S177" t="str">
            <v>Sunbay</v>
          </cell>
          <cell r="T177" t="str">
            <v>3L</v>
          </cell>
          <cell r="AS177" t="str"/>
          <cell r="AV177" t="str"/>
        </row>
        <row r="178">
          <cell r="O178" t="str">
            <v>Motorola</v>
          </cell>
          <cell r="P178" t="str">
            <v>MOT</v>
          </cell>
          <cell r="S178" t="str">
            <v>Synapsis Brasil Ltda</v>
          </cell>
          <cell r="T178" t="str">
            <v>3M</v>
          </cell>
          <cell r="AS178" t="str"/>
          <cell r="AV178" t="str"/>
        </row>
        <row r="179">
          <cell r="O179" t="str">
            <v>MOURA</v>
          </cell>
          <cell r="P179" t="str">
            <v>MOU</v>
          </cell>
          <cell r="S179" t="str">
            <v>TCS</v>
          </cell>
          <cell r="T179" t="str">
            <v>3N</v>
          </cell>
          <cell r="AS179" t="str"/>
          <cell r="AV179" t="str"/>
        </row>
        <row r="180">
          <cell r="O180" t="str">
            <v>MSI</v>
          </cell>
          <cell r="P180" t="str">
            <v>MSI</v>
          </cell>
          <cell r="S180" t="str">
            <v>TD Soluções</v>
          </cell>
          <cell r="T180" t="str">
            <v>5D</v>
          </cell>
          <cell r="AS180" t="str"/>
          <cell r="AV180" t="str"/>
        </row>
        <row r="181">
          <cell r="O181" t="str">
            <v>MTM</v>
          </cell>
          <cell r="P181" t="str">
            <v>MTM</v>
          </cell>
          <cell r="S181" t="str">
            <v>Tdec</v>
          </cell>
          <cell r="T181" t="str">
            <v>3O</v>
          </cell>
          <cell r="AS181" t="str"/>
          <cell r="AV181" t="str"/>
        </row>
        <row r="182">
          <cell r="O182" t="str">
            <v>NEC</v>
          </cell>
          <cell r="P182" t="str">
            <v>NEC</v>
          </cell>
          <cell r="S182" t="str">
            <v>Techdata</v>
          </cell>
          <cell r="T182" t="str">
            <v>5E</v>
          </cell>
          <cell r="AS182" t="str"/>
          <cell r="AV182" t="str"/>
        </row>
        <row r="183">
          <cell r="O183" t="str">
            <v>Netapp</v>
          </cell>
          <cell r="P183" t="str">
            <v>NPP</v>
          </cell>
          <cell r="S183" t="str">
            <v>Tecno Comp</v>
          </cell>
          <cell r="T183" t="str">
            <v>13</v>
          </cell>
          <cell r="AS183" t="str"/>
          <cell r="AV183" t="str"/>
        </row>
        <row r="184">
          <cell r="O184" t="str">
            <v>Netgeai</v>
          </cell>
          <cell r="P184" t="str">
            <v>NET</v>
          </cell>
          <cell r="S184" t="str">
            <v>Teldat</v>
          </cell>
          <cell r="T184" t="str">
            <v>3P</v>
          </cell>
          <cell r="AS184" t="str"/>
          <cell r="AV184" t="str"/>
        </row>
        <row r="185">
          <cell r="O185" t="str">
            <v>Netscout</v>
          </cell>
          <cell r="P185" t="str">
            <v>NSC</v>
          </cell>
          <cell r="S185" t="str">
            <v>Teleflex</v>
          </cell>
          <cell r="T185" t="str">
            <v>3Q</v>
          </cell>
          <cell r="AS185" t="str"/>
          <cell r="AV185" t="str"/>
        </row>
        <row r="186">
          <cell r="O186" t="str">
            <v>NEXANS</v>
          </cell>
          <cell r="P186" t="str">
            <v>NEX</v>
          </cell>
          <cell r="S186" t="str">
            <v>Telefônica Brasil</v>
          </cell>
          <cell r="T186" t="str">
            <v>16</v>
          </cell>
          <cell r="AS186" t="str"/>
          <cell r="AV186" t="str"/>
        </row>
        <row r="187">
          <cell r="O187" t="str">
            <v>NIAGARA</v>
          </cell>
          <cell r="P187" t="str">
            <v>NIA</v>
          </cell>
          <cell r="S187" t="str">
            <v>Telefônica Data</v>
          </cell>
          <cell r="T187" t="str">
            <v>16</v>
          </cell>
          <cell r="AS187" t="str"/>
          <cell r="AV187" t="str"/>
        </row>
        <row r="188">
          <cell r="O188" t="str">
            <v>Nice</v>
          </cell>
          <cell r="P188" t="str">
            <v>NIC</v>
          </cell>
          <cell r="S188" t="str">
            <v>Telemont</v>
          </cell>
          <cell r="T188" t="str">
            <v>3R</v>
          </cell>
          <cell r="AS188" t="str"/>
          <cell r="AV188" t="str"/>
        </row>
        <row r="189">
          <cell r="O189" t="str">
            <v>Nokia</v>
          </cell>
          <cell r="P189" t="str">
            <v>NOK</v>
          </cell>
          <cell r="S189" t="str">
            <v>Telesul</v>
          </cell>
          <cell r="T189" t="str">
            <v>3S</v>
          </cell>
          <cell r="AS189" t="str"/>
          <cell r="AV189" t="str"/>
        </row>
        <row r="190">
          <cell r="O190" t="str">
            <v>Nominum</v>
          </cell>
          <cell r="P190" t="str">
            <v>NOM</v>
          </cell>
          <cell r="S190" t="str">
            <v>Telogis Inc</v>
          </cell>
          <cell r="T190" t="str">
            <v>3T</v>
          </cell>
          <cell r="AS190" t="str"/>
          <cell r="AV190" t="str"/>
        </row>
        <row r="191">
          <cell r="O191" t="str">
            <v>NOTIFIER</v>
          </cell>
          <cell r="P191" t="str">
            <v>NOT</v>
          </cell>
          <cell r="S191" t="str">
            <v>Tenbu</v>
          </cell>
          <cell r="T191" t="str">
            <v>5G</v>
          </cell>
          <cell r="AS191" t="str"/>
          <cell r="AV191" t="str"/>
        </row>
        <row r="192">
          <cell r="O192" t="str">
            <v>Novell</v>
          </cell>
          <cell r="P192" t="str">
            <v>NOV</v>
          </cell>
          <cell r="S192" t="str">
            <v>TES</v>
          </cell>
          <cell r="T192" t="str">
            <v>3U</v>
          </cell>
          <cell r="AS192" t="str"/>
          <cell r="AV192" t="str"/>
        </row>
        <row r="193">
          <cell r="O193" t="str">
            <v>Nvidia</v>
          </cell>
          <cell r="P193" t="str">
            <v>NVI</v>
          </cell>
          <cell r="S193" t="str">
            <v>TESB - NÃO UTILIZAR</v>
          </cell>
          <cell r="T193" t="str">
            <v>14</v>
          </cell>
          <cell r="AS193" t="str"/>
          <cell r="AV193" t="str"/>
        </row>
        <row r="194">
          <cell r="O194" t="str">
            <v>Olibras</v>
          </cell>
          <cell r="P194" t="str">
            <v>OLB</v>
          </cell>
          <cell r="S194" t="str">
            <v>TIS</v>
          </cell>
          <cell r="T194" t="str">
            <v>4Q</v>
          </cell>
          <cell r="AS194" t="str"/>
          <cell r="AV194" t="str"/>
        </row>
        <row r="195">
          <cell r="O195" t="str">
            <v>Olitel</v>
          </cell>
          <cell r="P195" t="str">
            <v>OLI</v>
          </cell>
          <cell r="S195" t="str">
            <v>Totalpresence</v>
          </cell>
          <cell r="T195" t="str">
            <v>3V</v>
          </cell>
          <cell r="AS195" t="str"/>
          <cell r="AV195" t="str"/>
        </row>
        <row r="196">
          <cell r="O196" t="str">
            <v>OMEGA</v>
          </cell>
          <cell r="P196" t="str">
            <v>OME</v>
          </cell>
          <cell r="S196" t="str">
            <v>Trilobit</v>
          </cell>
          <cell r="T196" t="str">
            <v>4X</v>
          </cell>
          <cell r="AS196" t="str"/>
          <cell r="AV196" t="str"/>
        </row>
        <row r="197">
          <cell r="O197" t="str">
            <v>Oracle</v>
          </cell>
          <cell r="P197" t="str">
            <v>ORA</v>
          </cell>
          <cell r="S197" t="str">
            <v>Trópico</v>
          </cell>
          <cell r="T197" t="str">
            <v>3W</v>
          </cell>
          <cell r="AS197" t="str"/>
          <cell r="AV197" t="str"/>
        </row>
        <row r="198">
          <cell r="O198" t="str">
            <v>Orbe</v>
          </cell>
          <cell r="P198" t="str">
            <v>ORB</v>
          </cell>
          <cell r="S198" t="str">
            <v>T-Systems</v>
          </cell>
          <cell r="T198" t="str">
            <v>3X</v>
          </cell>
          <cell r="AS198" t="str"/>
          <cell r="AV198" t="str"/>
        </row>
        <row r="199">
          <cell r="O199" t="str">
            <v>Overland</v>
          </cell>
          <cell r="P199" t="str">
            <v>OVE</v>
          </cell>
          <cell r="S199" t="str">
            <v>Unifi</v>
          </cell>
          <cell r="T199" t="str">
            <v>4G</v>
          </cell>
          <cell r="AS199" t="str"/>
          <cell r="AV199" t="str"/>
        </row>
        <row r="200">
          <cell r="O200" t="str">
            <v>Packet Design</v>
          </cell>
          <cell r="P200" t="str">
            <v>PAC</v>
          </cell>
          <cell r="S200" t="str">
            <v>Unify</v>
          </cell>
          <cell r="T200" t="str">
            <v>49</v>
          </cell>
          <cell r="AS200" t="str"/>
          <cell r="AV200" t="str"/>
        </row>
        <row r="201">
          <cell r="O201" t="str">
            <v>Palo Alto</v>
          </cell>
          <cell r="P201" t="str">
            <v>PAL</v>
          </cell>
          <cell r="S201" t="str">
            <v>V2COM</v>
          </cell>
          <cell r="T201" t="str">
            <v>4i</v>
          </cell>
          <cell r="AS201" t="str"/>
          <cell r="AV201" t="str"/>
        </row>
        <row r="202">
          <cell r="O202" t="str">
            <v>Panasonic</v>
          </cell>
          <cell r="P202" t="str">
            <v>PAN</v>
          </cell>
          <cell r="S202" t="str">
            <v>Veja 7</v>
          </cell>
          <cell r="T202" t="str">
            <v>5N</v>
          </cell>
          <cell r="AS202" t="str"/>
          <cell r="AV202" t="str"/>
        </row>
        <row r="203">
          <cell r="O203" t="str">
            <v>Panduit</v>
          </cell>
          <cell r="P203" t="str">
            <v>PND</v>
          </cell>
          <cell r="S203" t="str">
            <v>Vernet</v>
          </cell>
          <cell r="T203" t="str">
            <v>4j</v>
          </cell>
          <cell r="AS203" t="str"/>
          <cell r="AV203" t="str"/>
        </row>
        <row r="204">
          <cell r="O204" t="str">
            <v>Paradox</v>
          </cell>
          <cell r="P204" t="str">
            <v>PAR</v>
          </cell>
          <cell r="S204" t="str">
            <v>Via Digital/Via Voz</v>
          </cell>
          <cell r="T204" t="str">
            <v>40</v>
          </cell>
          <cell r="AS204" t="str"/>
          <cell r="AV204" t="str"/>
        </row>
        <row r="205">
          <cell r="O205" t="str">
            <v>Parpulo</v>
          </cell>
          <cell r="P205" t="str">
            <v>PAR</v>
          </cell>
          <cell r="S205" t="str">
            <v>Via Telecom</v>
          </cell>
          <cell r="T205" t="str">
            <v>41</v>
          </cell>
          <cell r="AS205" t="str"/>
          <cell r="AV205" t="str"/>
        </row>
        <row r="206">
          <cell r="O206" t="str">
            <v>Pearson Vue</v>
          </cell>
          <cell r="P206" t="str">
            <v>PEA</v>
          </cell>
          <cell r="S206" t="str">
            <v>Viridi</v>
          </cell>
          <cell r="T206" t="str">
            <v>5K</v>
          </cell>
          <cell r="AS206" t="str"/>
          <cell r="AV206" t="str"/>
        </row>
        <row r="207">
          <cell r="O207" t="str">
            <v>Peregrine</v>
          </cell>
          <cell r="P207" t="str">
            <v>PER</v>
          </cell>
          <cell r="S207" t="str">
            <v>Vs Data</v>
          </cell>
          <cell r="T207">
            <v>53</v>
          </cell>
          <cell r="AS207" t="str"/>
          <cell r="AV207" t="str"/>
        </row>
        <row r="208">
          <cell r="O208" t="str">
            <v>PERFIL LIDER</v>
          </cell>
          <cell r="P208" t="str">
            <v>PEL</v>
          </cell>
          <cell r="S208" t="str">
            <v>VS Telecom</v>
          </cell>
          <cell r="T208" t="str">
            <v>42</v>
          </cell>
          <cell r="AS208" t="str"/>
          <cell r="AV208" t="str"/>
        </row>
        <row r="209">
          <cell r="O209" t="str">
            <v>PHELPS DODGE</v>
          </cell>
          <cell r="P209" t="str">
            <v>PHE</v>
          </cell>
          <cell r="S209" t="str">
            <v>Way2</v>
          </cell>
          <cell r="T209" t="str">
            <v>43</v>
          </cell>
          <cell r="AS209" t="str"/>
          <cell r="AV209" t="str"/>
        </row>
        <row r="210">
          <cell r="O210" t="str">
            <v>Philips</v>
          </cell>
          <cell r="P210" t="str">
            <v>PHI</v>
          </cell>
          <cell r="S210" t="str">
            <v>Westcon</v>
          </cell>
          <cell r="T210" t="str">
            <v>44</v>
          </cell>
          <cell r="AS210" t="str"/>
          <cell r="AV210" t="str"/>
        </row>
        <row r="211">
          <cell r="O211" t="str">
            <v>Pial</v>
          </cell>
          <cell r="P211" t="str">
            <v>PIA</v>
          </cell>
          <cell r="S211" t="str">
            <v>Wittel</v>
          </cell>
          <cell r="T211">
            <v>56</v>
          </cell>
          <cell r="AS211" t="str"/>
          <cell r="AV211" t="str"/>
        </row>
        <row r="212">
          <cell r="O212" t="str">
            <v>PineApp</v>
          </cell>
          <cell r="P212" t="str">
            <v>PIN</v>
          </cell>
          <cell r="S212" t="str">
            <v xml:space="preserve">WNI </v>
          </cell>
          <cell r="T212" t="str">
            <v>4H</v>
          </cell>
          <cell r="AS212" t="str"/>
          <cell r="AV212" t="str"/>
        </row>
        <row r="213">
          <cell r="O213" t="str">
            <v>Planet</v>
          </cell>
          <cell r="P213" t="str">
            <v>PLT</v>
          </cell>
          <cell r="S213" t="str">
            <v>Ziva</v>
          </cell>
          <cell r="T213" t="str">
            <v>15</v>
          </cell>
          <cell r="AS213" t="str"/>
          <cell r="AV213" t="str"/>
        </row>
        <row r="214">
          <cell r="O214" t="str">
            <v>Plantronics</v>
          </cell>
          <cell r="P214" t="str">
            <v>PLA</v>
          </cell>
          <cell r="S214" t="str">
            <v>Zubie</v>
          </cell>
          <cell r="T214" t="str">
            <v>4J</v>
          </cell>
          <cell r="AS214" t="str"/>
          <cell r="AV214" t="str"/>
        </row>
        <row r="215">
          <cell r="O215" t="str">
            <v>Polycom</v>
          </cell>
          <cell r="P215" t="str">
            <v>POL</v>
          </cell>
          <cell r="AS215" t="str"/>
          <cell r="AV215" t="str"/>
        </row>
        <row r="216">
          <cell r="O216" t="str">
            <v>Positivo</v>
          </cell>
          <cell r="P216" t="str">
            <v>POS</v>
          </cell>
          <cell r="AS216" t="str"/>
          <cell r="AV216" t="str"/>
        </row>
        <row r="217">
          <cell r="O217" t="str">
            <v>Proimage</v>
          </cell>
          <cell r="P217" t="str">
            <v>PRI</v>
          </cell>
          <cell r="AS217" t="str"/>
          <cell r="AV217" t="str"/>
        </row>
        <row r="218">
          <cell r="O218" t="str">
            <v>Prometric</v>
          </cell>
          <cell r="P218" t="str">
            <v>PRO</v>
          </cell>
          <cell r="AS218" t="str"/>
          <cell r="AV218" t="str"/>
        </row>
        <row r="219">
          <cell r="O219" t="str">
            <v>ProofPoint</v>
          </cell>
          <cell r="P219" t="str">
            <v>PRP</v>
          </cell>
          <cell r="AS219" t="str"/>
          <cell r="AV219" t="str"/>
        </row>
        <row r="220">
          <cell r="O220" t="str">
            <v>Psware Inc</v>
          </cell>
          <cell r="P220" t="str">
            <v>PSW</v>
          </cell>
          <cell r="AS220" t="str"/>
          <cell r="AV220" t="str"/>
        </row>
        <row r="221">
          <cell r="O221" t="str">
            <v>Pumatronic</v>
          </cell>
          <cell r="P221" t="str">
            <v>PUM</v>
          </cell>
          <cell r="AS221" t="str"/>
          <cell r="AV221" t="str"/>
        </row>
        <row r="222">
          <cell r="O222" t="str">
            <v>Qlogic</v>
          </cell>
          <cell r="P222" t="str">
            <v>QLG</v>
          </cell>
          <cell r="AS222" t="str"/>
          <cell r="AV222" t="str"/>
        </row>
        <row r="223">
          <cell r="O223" t="str">
            <v>QuesCom</v>
          </cell>
          <cell r="P223" t="str">
            <v>QUE</v>
          </cell>
          <cell r="AS223" t="str"/>
          <cell r="AV223" t="str"/>
        </row>
        <row r="224">
          <cell r="O224" t="str">
            <v>Radware</v>
          </cell>
          <cell r="P224" t="str">
            <v>RAD</v>
          </cell>
          <cell r="AS224" t="str"/>
          <cell r="AV224" t="str"/>
        </row>
        <row r="225">
          <cell r="O225" t="str">
            <v>RADWIN</v>
          </cell>
          <cell r="P225" t="str">
            <v>RWI</v>
          </cell>
          <cell r="AS225" t="str"/>
          <cell r="AV225" t="str"/>
        </row>
        <row r="226">
          <cell r="O226" t="str">
            <v>Red Hat</v>
          </cell>
          <cell r="P226" t="str">
            <v>RED</v>
          </cell>
          <cell r="AS226" t="str"/>
          <cell r="AV226" t="str"/>
        </row>
        <row r="227">
          <cell r="O227" t="str">
            <v>Rede Air</v>
          </cell>
          <cell r="P227" t="str">
            <v>RAI</v>
          </cell>
          <cell r="AS227" t="str"/>
          <cell r="AV227" t="str"/>
        </row>
        <row r="228">
          <cell r="O228" t="str">
            <v>Redecamp</v>
          </cell>
          <cell r="P228" t="str">
            <v>RDC</v>
          </cell>
          <cell r="AS228" t="str"/>
          <cell r="AV228" t="str"/>
        </row>
        <row r="229">
          <cell r="O229" t="str">
            <v>Redline</v>
          </cell>
          <cell r="P229" t="str">
            <v>RDL</v>
          </cell>
          <cell r="AS229" t="str"/>
          <cell r="AV229" t="str"/>
        </row>
        <row r="230">
          <cell r="O230" t="str">
            <v>Repume</v>
          </cell>
          <cell r="P230" t="str">
            <v>REP</v>
          </cell>
          <cell r="AS230" t="str"/>
          <cell r="AV230" t="str"/>
        </row>
        <row r="231">
          <cell r="O231" t="str">
            <v>Rextel</v>
          </cell>
          <cell r="P231" t="str">
            <v>REX</v>
          </cell>
          <cell r="AS231" t="str"/>
          <cell r="AV231" t="str"/>
        </row>
        <row r="232">
          <cell r="O232" t="str">
            <v>RICCO</v>
          </cell>
          <cell r="P232" t="str">
            <v>RIC</v>
          </cell>
          <cell r="AS232" t="str"/>
          <cell r="AV232" t="str"/>
        </row>
        <row r="233">
          <cell r="O233" t="str">
            <v>Riverbed</v>
          </cell>
          <cell r="P233" t="str">
            <v>RIV</v>
          </cell>
          <cell r="AS233" t="str"/>
          <cell r="AV233" t="str"/>
        </row>
        <row r="234">
          <cell r="O234" t="str">
            <v>Robustel</v>
          </cell>
          <cell r="P234" t="str">
            <v>RBT</v>
          </cell>
          <cell r="AS234" t="str"/>
          <cell r="AV234" t="str"/>
        </row>
        <row r="235">
          <cell r="O235" t="str">
            <v>ROKONET</v>
          </cell>
          <cell r="P235" t="str">
            <v>ROK</v>
          </cell>
          <cell r="AS235" t="str"/>
          <cell r="AV235" t="str"/>
        </row>
        <row r="236">
          <cell r="O236" t="str">
            <v>Routerboard</v>
          </cell>
          <cell r="P236" t="str">
            <v>RTB</v>
          </cell>
          <cell r="AS236" t="str"/>
          <cell r="AV236" t="str"/>
        </row>
        <row r="237">
          <cell r="O237" t="str">
            <v>RSA</v>
          </cell>
          <cell r="P237" t="str">
            <v>RSA</v>
          </cell>
          <cell r="AS237" t="str"/>
          <cell r="AV237" t="str"/>
        </row>
        <row r="238">
          <cell r="O238" t="str">
            <v>Ruckus</v>
          </cell>
          <cell r="P238" t="str">
            <v>RUC</v>
          </cell>
          <cell r="AS238" t="str"/>
          <cell r="AV238" t="str"/>
        </row>
        <row r="239">
          <cell r="O239" t="str">
            <v>Samsung</v>
          </cell>
          <cell r="P239" t="str">
            <v>SAM</v>
          </cell>
          <cell r="AS239" t="str"/>
          <cell r="AV239" t="str"/>
        </row>
        <row r="240">
          <cell r="O240" t="str">
            <v>SAP</v>
          </cell>
          <cell r="P240" t="str">
            <v>SAP</v>
          </cell>
          <cell r="AS240" t="str"/>
          <cell r="AV240" t="str"/>
        </row>
        <row r="241">
          <cell r="O241" t="str">
            <v>Sata</v>
          </cell>
          <cell r="P241" t="str">
            <v>SAT</v>
          </cell>
          <cell r="AS241" t="str"/>
          <cell r="AV241" t="str"/>
        </row>
        <row r="242">
          <cell r="O242" t="str">
            <v>SEALTUBO</v>
          </cell>
          <cell r="P242" t="str">
            <v>SEA</v>
          </cell>
          <cell r="AS242" t="str"/>
          <cell r="AV242" t="str"/>
        </row>
        <row r="243">
          <cell r="O243" t="str">
            <v>Seco</v>
          </cell>
          <cell r="P243" t="str">
            <v>SEC</v>
          </cell>
          <cell r="AS243" t="str"/>
          <cell r="AV243" t="str"/>
        </row>
        <row r="244">
          <cell r="O244" t="str">
            <v>Securicenter</v>
          </cell>
          <cell r="P244" t="str">
            <v>SEC</v>
          </cell>
          <cell r="AS244" t="str"/>
          <cell r="AV244" t="str"/>
        </row>
        <row r="245">
          <cell r="O245" t="str">
            <v>Sensage</v>
          </cell>
          <cell r="P245" t="str">
            <v>SNS</v>
          </cell>
          <cell r="AS245" t="str"/>
          <cell r="AV245" t="str"/>
        </row>
        <row r="246">
          <cell r="O246" t="str">
            <v>Sensormatic</v>
          </cell>
          <cell r="P246" t="str">
            <v>SEN</v>
          </cell>
          <cell r="AS246" t="str"/>
          <cell r="AV246" t="str"/>
        </row>
        <row r="247">
          <cell r="O247" t="str">
            <v>ShotSpotter</v>
          </cell>
          <cell r="P247" t="str">
            <v>SHO</v>
          </cell>
          <cell r="AS247" t="str"/>
          <cell r="AV247" t="str"/>
        </row>
        <row r="248">
          <cell r="O248" t="str">
            <v>Siemens</v>
          </cell>
          <cell r="P248" t="str">
            <v>SIE</v>
          </cell>
          <cell r="AS248" t="str"/>
          <cell r="AV248" t="str"/>
        </row>
        <row r="249">
          <cell r="O249" t="str">
            <v>Silver Peak</v>
          </cell>
          <cell r="P249" t="str">
            <v>SIL</v>
          </cell>
          <cell r="AS249" t="str"/>
          <cell r="AV249" t="str"/>
        </row>
        <row r="250">
          <cell r="O250" t="str">
            <v>Skybox</v>
          </cell>
          <cell r="P250" t="str">
            <v>SKY</v>
          </cell>
          <cell r="AS250" t="str"/>
          <cell r="AV250" t="str"/>
        </row>
        <row r="251">
          <cell r="O251" t="str">
            <v>Smartech</v>
          </cell>
          <cell r="P251" t="str">
            <v>SMA</v>
          </cell>
          <cell r="AS251" t="str"/>
          <cell r="AV251" t="str"/>
        </row>
        <row r="252">
          <cell r="O252" t="str">
            <v xml:space="preserve">SMS </v>
          </cell>
          <cell r="P252" t="str">
            <v>SMS</v>
          </cell>
          <cell r="AS252" t="str"/>
          <cell r="AV252" t="str"/>
        </row>
        <row r="253">
          <cell r="O253" t="str">
            <v>Sodramar</v>
          </cell>
          <cell r="P253" t="str">
            <v>SOD</v>
          </cell>
          <cell r="AS253" t="str"/>
          <cell r="AV253" t="str"/>
        </row>
        <row r="254">
          <cell r="O254" t="str">
            <v>Soma</v>
          </cell>
          <cell r="P254" t="str">
            <v>SOM</v>
          </cell>
          <cell r="AS254" t="str"/>
          <cell r="AV254" t="str"/>
        </row>
        <row r="255">
          <cell r="O255" t="str">
            <v>Sonicwall</v>
          </cell>
          <cell r="P255" t="str">
            <v>SON</v>
          </cell>
          <cell r="AS255" t="str"/>
          <cell r="AV255" t="str"/>
        </row>
        <row r="256">
          <cell r="O256" t="str">
            <v>Sonin</v>
          </cell>
          <cell r="P256" t="str">
            <v>SNN</v>
          </cell>
          <cell r="AS256" t="str"/>
          <cell r="AV256" t="str"/>
        </row>
        <row r="257">
          <cell r="O257" t="str">
            <v>Sony</v>
          </cell>
          <cell r="P257" t="str">
            <v>SNY</v>
          </cell>
          <cell r="AS257" t="str"/>
          <cell r="AV257" t="str"/>
        </row>
        <row r="258">
          <cell r="O258" t="str">
            <v>Sophos</v>
          </cell>
          <cell r="P258" t="str">
            <v>SOP</v>
          </cell>
          <cell r="AS258" t="str"/>
          <cell r="AV258" t="str"/>
        </row>
        <row r="259">
          <cell r="O259" t="str">
            <v>Sourcefire</v>
          </cell>
          <cell r="P259" t="str">
            <v>SOU</v>
          </cell>
          <cell r="AS259" t="str"/>
          <cell r="AV259" t="str"/>
        </row>
        <row r="260">
          <cell r="O260" t="str">
            <v>SPI Dynamics</v>
          </cell>
          <cell r="P260" t="str">
            <v>SPI</v>
          </cell>
          <cell r="AS260" t="str"/>
          <cell r="AV260" t="str"/>
        </row>
        <row r="261">
          <cell r="O261" t="str">
            <v>Splunk</v>
          </cell>
          <cell r="P261" t="str">
            <v>SPL</v>
          </cell>
          <cell r="AS261" t="str"/>
          <cell r="AV261" t="str"/>
        </row>
        <row r="262">
          <cell r="O262" t="str">
            <v>SPTF</v>
          </cell>
          <cell r="P262" t="str">
            <v>SPT</v>
          </cell>
          <cell r="AS262" t="str"/>
          <cell r="AV262" t="str"/>
        </row>
        <row r="263">
          <cell r="O263" t="str">
            <v>Steck</v>
          </cell>
          <cell r="P263" t="str">
            <v>STC</v>
          </cell>
          <cell r="AS263" t="str"/>
          <cell r="AV263" t="str"/>
        </row>
        <row r="264">
          <cell r="O264" t="str">
            <v>Stillus</v>
          </cell>
          <cell r="P264" t="str">
            <v>STI</v>
          </cell>
          <cell r="AS264" t="str"/>
          <cell r="AV264" t="str"/>
        </row>
        <row r="265">
          <cell r="O265" t="str">
            <v>Storage Tek</v>
          </cell>
          <cell r="P265" t="str">
            <v>STO</v>
          </cell>
          <cell r="AS265" t="str"/>
          <cell r="AV265" t="str"/>
        </row>
        <row r="266">
          <cell r="O266" t="str">
            <v>Stratavia</v>
          </cell>
          <cell r="P266" t="str">
            <v>STR</v>
          </cell>
          <cell r="AS266" t="str"/>
          <cell r="AV266" t="str"/>
        </row>
        <row r="267">
          <cell r="O267" t="str">
            <v>Streamwide</v>
          </cell>
          <cell r="P267" t="str">
            <v>STW</v>
          </cell>
          <cell r="AS267" t="str"/>
          <cell r="AV267" t="str"/>
        </row>
        <row r="268">
          <cell r="O268" t="str">
            <v>Sun Microsytems</v>
          </cell>
          <cell r="P268" t="str">
            <v>SUN</v>
          </cell>
          <cell r="AS268" t="str"/>
          <cell r="AV268" t="str"/>
        </row>
        <row r="269">
          <cell r="O269" t="str">
            <v>SUNLAB POWER</v>
          </cell>
          <cell r="P269" t="str">
            <v>SUL</v>
          </cell>
          <cell r="AS269" t="str"/>
          <cell r="AV269" t="str"/>
        </row>
        <row r="270">
          <cell r="O270" t="str">
            <v>Supera</v>
          </cell>
          <cell r="P270" t="str">
            <v>SUP</v>
          </cell>
          <cell r="AS270" t="str"/>
          <cell r="AV270" t="str"/>
        </row>
        <row r="271">
          <cell r="O271" t="str">
            <v>Symantec</v>
          </cell>
          <cell r="P271" t="str">
            <v>SYM</v>
          </cell>
          <cell r="AS271" t="str"/>
          <cell r="AV271" t="str"/>
        </row>
        <row r="272">
          <cell r="O272" t="str">
            <v>Targus</v>
          </cell>
          <cell r="P272" t="str">
            <v>TAR</v>
          </cell>
          <cell r="AS272" t="str"/>
          <cell r="AV272" t="str"/>
        </row>
        <row r="273">
          <cell r="O273" t="str">
            <v>Tecnohold</v>
          </cell>
          <cell r="P273" t="str">
            <v>TEC</v>
          </cell>
          <cell r="AS273" t="str"/>
          <cell r="AV273" t="str"/>
        </row>
        <row r="274">
          <cell r="O274" t="str">
            <v>Teldat</v>
          </cell>
          <cell r="P274" t="str">
            <v>TEL</v>
          </cell>
          <cell r="AS274" t="str"/>
          <cell r="AV274" t="str"/>
        </row>
        <row r="275">
          <cell r="O275" t="str">
            <v>TELECAM</v>
          </cell>
          <cell r="P275" t="str">
            <v>TEM</v>
          </cell>
          <cell r="AS275" t="str"/>
          <cell r="AV275" t="str"/>
        </row>
        <row r="276">
          <cell r="O276" t="str">
            <v>Telefer</v>
          </cell>
          <cell r="P276" t="str">
            <v>TEE</v>
          </cell>
          <cell r="AS276" t="str"/>
          <cell r="AV276" t="str"/>
        </row>
        <row r="277">
          <cell r="O277" t="str">
            <v>Telstra</v>
          </cell>
          <cell r="P277" t="str">
            <v>TST</v>
          </cell>
          <cell r="AS277" t="str"/>
          <cell r="AV277" t="str"/>
        </row>
        <row r="278">
          <cell r="O278" t="str">
            <v>Teradata</v>
          </cell>
          <cell r="P278" t="str">
            <v>TDT</v>
          </cell>
          <cell r="AS278" t="str"/>
          <cell r="AV278" t="str"/>
        </row>
        <row r="279">
          <cell r="O279" t="str">
            <v>TESB</v>
          </cell>
          <cell r="P279" t="str">
            <v>TES</v>
          </cell>
          <cell r="AS279" t="str"/>
          <cell r="AV279" t="str"/>
        </row>
        <row r="280">
          <cell r="O280" t="str">
            <v>Thomson</v>
          </cell>
          <cell r="P280" t="str">
            <v>THO</v>
          </cell>
          <cell r="AS280" t="str"/>
          <cell r="AV280" t="str"/>
        </row>
        <row r="281">
          <cell r="O281" t="str">
            <v>Tiaflex</v>
          </cell>
          <cell r="P281" t="str">
            <v>TIA</v>
          </cell>
          <cell r="AS281" t="str"/>
          <cell r="AV281" t="str"/>
        </row>
        <row r="282">
          <cell r="O282" t="str">
            <v>TIGRE</v>
          </cell>
          <cell r="P282" t="str">
            <v>TIG</v>
          </cell>
          <cell r="AS282" t="str"/>
          <cell r="AV282" t="str"/>
        </row>
        <row r="283">
          <cell r="O283" t="str">
            <v>TippingPoint</v>
          </cell>
          <cell r="P283" t="str">
            <v>TIP</v>
          </cell>
          <cell r="AS283" t="str"/>
          <cell r="AV283" t="str"/>
        </row>
        <row r="284">
          <cell r="O284" t="str">
            <v>Tonesoftware</v>
          </cell>
          <cell r="P284" t="str">
            <v>TSF</v>
          </cell>
          <cell r="AS284" t="str"/>
          <cell r="AV284" t="str"/>
        </row>
        <row r="285">
          <cell r="O285" t="str">
            <v>Toshiba</v>
          </cell>
          <cell r="P285" t="str">
            <v>TOS</v>
          </cell>
          <cell r="AS285" t="str"/>
          <cell r="AV285" t="str"/>
        </row>
        <row r="286">
          <cell r="O286" t="str">
            <v>Trend Micro</v>
          </cell>
          <cell r="P286" t="str">
            <v>TRM</v>
          </cell>
          <cell r="AS286" t="str"/>
          <cell r="AV286" t="str"/>
        </row>
        <row r="287">
          <cell r="O287" t="str">
            <v>Trendnet</v>
          </cell>
          <cell r="P287" t="str">
            <v>TRN</v>
          </cell>
          <cell r="AS287" t="str"/>
          <cell r="AV287" t="str"/>
        </row>
        <row r="288">
          <cell r="O288" t="str">
            <v>Trilobit</v>
          </cell>
          <cell r="P288" t="str">
            <v>TRL</v>
          </cell>
          <cell r="AS288" t="str"/>
          <cell r="AV288" t="str"/>
        </row>
        <row r="289">
          <cell r="O289" t="str">
            <v>Trioptic</v>
          </cell>
          <cell r="P289" t="str">
            <v>TRI</v>
          </cell>
          <cell r="AS289" t="str"/>
          <cell r="AV289" t="str"/>
        </row>
        <row r="290">
          <cell r="O290" t="str">
            <v>Tropico</v>
          </cell>
          <cell r="P290" t="str">
            <v>TRP</v>
          </cell>
          <cell r="AS290" t="str"/>
          <cell r="AV290" t="str"/>
        </row>
        <row r="291">
          <cell r="O291" t="str">
            <v>Trópico</v>
          </cell>
          <cell r="P291" t="str">
            <v>TRO</v>
          </cell>
          <cell r="AS291" t="str"/>
          <cell r="AV291" t="str"/>
        </row>
        <row r="292">
          <cell r="O292" t="str">
            <v xml:space="preserve">TSS </v>
          </cell>
          <cell r="P292" t="str">
            <v>TSS</v>
          </cell>
          <cell r="AS292" t="str"/>
          <cell r="AV292" t="str"/>
        </row>
        <row r="293">
          <cell r="O293" t="str">
            <v>TUPY</v>
          </cell>
          <cell r="P293" t="str">
            <v>TUP</v>
          </cell>
          <cell r="AS293" t="str"/>
          <cell r="AV293" t="str"/>
        </row>
        <row r="294">
          <cell r="O294" t="str">
            <v>TYCO</v>
          </cell>
          <cell r="P294" t="str">
            <v>TYC</v>
          </cell>
          <cell r="AS294" t="str"/>
          <cell r="AV294" t="str"/>
        </row>
        <row r="295">
          <cell r="O295" t="str">
            <v>UNIFI</v>
          </cell>
          <cell r="P295" t="str">
            <v>UNF</v>
          </cell>
          <cell r="AS295" t="str"/>
          <cell r="AV295" t="str"/>
        </row>
        <row r="296">
          <cell r="O296" t="str">
            <v>Unify</v>
          </cell>
          <cell r="P296" t="str">
            <v>UNI</v>
          </cell>
          <cell r="AS296" t="str"/>
          <cell r="AV296" t="str"/>
        </row>
        <row r="297">
          <cell r="O297" t="str">
            <v>Unity</v>
          </cell>
          <cell r="P297" t="str">
            <v>UNT</v>
          </cell>
          <cell r="AS297" t="str"/>
          <cell r="AV297" t="str"/>
        </row>
        <row r="298">
          <cell r="O298" t="str">
            <v>VACECHI</v>
          </cell>
          <cell r="P298" t="str">
            <v>VAC</v>
          </cell>
          <cell r="AS298" t="str"/>
          <cell r="AV298" t="str"/>
        </row>
        <row r="299">
          <cell r="O299" t="str">
            <v>Vault</v>
          </cell>
          <cell r="P299" t="str">
            <v>VAU</v>
          </cell>
          <cell r="AS299" t="str"/>
          <cell r="AV299" t="str"/>
        </row>
        <row r="300">
          <cell r="O300" t="str">
            <v>VCE</v>
          </cell>
          <cell r="P300" t="str">
            <v>VCE</v>
          </cell>
          <cell r="AS300" t="str"/>
          <cell r="AV300" t="str"/>
        </row>
        <row r="301">
          <cell r="O301" t="str">
            <v xml:space="preserve">VCL </v>
          </cell>
          <cell r="P301" t="str">
            <v>VCL</v>
          </cell>
          <cell r="AS301" t="str"/>
          <cell r="AV301" t="str"/>
        </row>
        <row r="302">
          <cell r="O302" t="str">
            <v>Veja 7</v>
          </cell>
          <cell r="P302" t="str">
            <v>VEJ</v>
          </cell>
          <cell r="AS302" t="str"/>
          <cell r="AV302" t="str"/>
        </row>
        <row r="303">
          <cell r="O303" t="str">
            <v>VIA WEB</v>
          </cell>
          <cell r="P303" t="str">
            <v>VIA</v>
          </cell>
          <cell r="AS303" t="str"/>
          <cell r="AV303" t="str"/>
        </row>
        <row r="304">
          <cell r="O304" t="str">
            <v>Video Quad Spliter</v>
          </cell>
          <cell r="P304" t="str">
            <v>VDS</v>
          </cell>
          <cell r="AS304" t="str"/>
          <cell r="AV304" t="str"/>
        </row>
        <row r="305">
          <cell r="O305" t="str">
            <v>Vidyo</v>
          </cell>
          <cell r="P305" t="str">
            <v>VID</v>
          </cell>
          <cell r="AS305" t="str"/>
          <cell r="AV305" t="str"/>
        </row>
        <row r="306">
          <cell r="O306" t="str">
            <v>Visys</v>
          </cell>
          <cell r="P306" t="str">
            <v>VIS</v>
          </cell>
          <cell r="AS306" t="str"/>
          <cell r="AV306" t="str"/>
        </row>
        <row r="307">
          <cell r="O307" t="str">
            <v>Vmaxtech</v>
          </cell>
          <cell r="P307" t="str">
            <v>VMX</v>
          </cell>
          <cell r="AS307" t="str"/>
          <cell r="AV307" t="str"/>
        </row>
        <row r="308">
          <cell r="O308" t="str">
            <v>VMWare</v>
          </cell>
          <cell r="P308" t="str">
            <v>VMW</v>
          </cell>
          <cell r="AS308" t="str"/>
          <cell r="AV308" t="str"/>
        </row>
        <row r="309">
          <cell r="O309" t="str">
            <v>WatchGuard</v>
          </cell>
          <cell r="P309" t="str">
            <v>WAT</v>
          </cell>
          <cell r="AS309" t="str"/>
          <cell r="AV309" t="str"/>
        </row>
        <row r="310">
          <cell r="O310" t="str">
            <v>WebSense</v>
          </cell>
          <cell r="P310" t="str">
            <v>WEB</v>
          </cell>
          <cell r="AS310" t="str"/>
          <cell r="AV310" t="str"/>
        </row>
        <row r="311">
          <cell r="O311" t="str">
            <v>Webtrends</v>
          </cell>
          <cell r="P311" t="str">
            <v>WBT</v>
          </cell>
          <cell r="AS311" t="str"/>
          <cell r="AV311" t="str"/>
        </row>
        <row r="312">
          <cell r="O312" t="str">
            <v>Western Digital</v>
          </cell>
          <cell r="P312" t="str">
            <v>WES</v>
          </cell>
          <cell r="AS312" t="str"/>
          <cell r="AV312" t="str"/>
        </row>
        <row r="313">
          <cell r="O313" t="str">
            <v>Wetzel</v>
          </cell>
          <cell r="P313" t="str">
            <v>WET</v>
          </cell>
          <cell r="AS313" t="str"/>
          <cell r="AV313" t="str"/>
        </row>
        <row r="314">
          <cell r="O314" t="str">
            <v>Windowns</v>
          </cell>
          <cell r="P314" t="str">
            <v>WIN</v>
          </cell>
          <cell r="AS314" t="str"/>
          <cell r="AV314" t="str"/>
        </row>
        <row r="315">
          <cell r="O315" t="str">
            <v>WNI</v>
          </cell>
          <cell r="P315" t="str">
            <v>WNI</v>
          </cell>
          <cell r="AS315" t="str"/>
          <cell r="AV315" t="str"/>
        </row>
        <row r="316">
          <cell r="O316" t="str">
            <v>Womer</v>
          </cell>
          <cell r="P316" t="str">
            <v>WOM</v>
          </cell>
          <cell r="AS316" t="str"/>
          <cell r="AV316" t="str"/>
        </row>
        <row r="317">
          <cell r="O317" t="str">
            <v>Wyse</v>
          </cell>
          <cell r="P317" t="str">
            <v>WYS</v>
          </cell>
          <cell r="AS317" t="str"/>
          <cell r="AV317" t="str"/>
        </row>
        <row r="318">
          <cell r="O318" t="str">
            <v>Xerox</v>
          </cell>
          <cell r="P318" t="str">
            <v>XER</v>
          </cell>
          <cell r="AS318" t="str"/>
          <cell r="AV318" t="str"/>
        </row>
        <row r="319">
          <cell r="O319" t="str">
            <v>XFX</v>
          </cell>
          <cell r="P319" t="str">
            <v>XFX</v>
          </cell>
          <cell r="AS319" t="str"/>
          <cell r="AV319" t="str"/>
        </row>
        <row r="320">
          <cell r="O320" t="str">
            <v>Xirrus</v>
          </cell>
          <cell r="P320" t="str">
            <v>XIR</v>
          </cell>
          <cell r="AS320" t="str"/>
          <cell r="AV320" t="str"/>
        </row>
        <row r="321">
          <cell r="O321" t="str">
            <v>Zscaler</v>
          </cell>
          <cell r="P321" t="str">
            <v>ZSC</v>
          </cell>
          <cell r="AS321" t="str"/>
          <cell r="AV321" t="str"/>
        </row>
        <row r="322">
          <cell r="O322" t="str">
            <v>ZTE</v>
          </cell>
          <cell r="P322" t="str">
            <v>ZTE</v>
          </cell>
          <cell r="AS322" t="str"/>
          <cell r="AV322" t="str"/>
        </row>
        <row r="323">
          <cell r="O323" t="str">
            <v>Zubie</v>
          </cell>
          <cell r="P323" t="str">
            <v>ZUB</v>
          </cell>
          <cell r="AS323" t="str"/>
          <cell r="AV323" t="str"/>
        </row>
        <row r="324">
          <cell r="O324" t="str">
            <v>Zxel</v>
          </cell>
          <cell r="P324" t="str">
            <v>ZXE</v>
          </cell>
          <cell r="AS324" t="str"/>
          <cell r="AV324" t="str"/>
        </row>
        <row r="325">
          <cell r="AS325" t="str"/>
          <cell r="AV325" t="str"/>
        </row>
        <row r="326">
          <cell r="AS326" t="str"/>
          <cell r="AV326" t="str"/>
        </row>
        <row r="327">
          <cell r="AS327" t="str"/>
          <cell r="AV327" t="str"/>
        </row>
        <row r="328">
          <cell r="AS328" t="str"/>
          <cell r="AV328" t="str"/>
        </row>
        <row r="329">
          <cell r="AS329" t="str"/>
          <cell r="AV329" t="str"/>
        </row>
        <row r="330">
          <cell r="AS330" t="str"/>
          <cell r="AV330" t="str"/>
        </row>
        <row r="331">
          <cell r="AS331" t="str"/>
          <cell r="AV331" t="str"/>
        </row>
        <row r="332">
          <cell r="AS332" t="str"/>
          <cell r="AV332" t="str"/>
        </row>
        <row r="333">
          <cell r="AS333" t="str"/>
          <cell r="AV333" t="str"/>
        </row>
        <row r="334">
          <cell r="AS334" t="str"/>
          <cell r="AV334" t="str"/>
        </row>
        <row r="335">
          <cell r="AS335" t="str"/>
          <cell r="AV335" t="str"/>
        </row>
        <row r="336">
          <cell r="AS336" t="str"/>
          <cell r="AV336" t="str"/>
        </row>
        <row r="337">
          <cell r="AS337" t="str"/>
          <cell r="AV337" t="str"/>
        </row>
        <row r="338">
          <cell r="AS338" t="str"/>
          <cell r="AV338" t="str"/>
        </row>
        <row r="339">
          <cell r="AS339" t="str"/>
          <cell r="AV339" t="str"/>
        </row>
        <row r="340">
          <cell r="AS340" t="str"/>
          <cell r="AV340" t="str"/>
        </row>
        <row r="341">
          <cell r="AS341" t="str"/>
          <cell r="AV341" t="str"/>
        </row>
        <row r="342">
          <cell r="AS342" t="str"/>
          <cell r="AV342" t="str"/>
        </row>
        <row r="343">
          <cell r="AS343" t="str"/>
          <cell r="AV343" t="str"/>
        </row>
        <row r="344">
          <cell r="AS344" t="str"/>
          <cell r="AV344" t="str"/>
        </row>
        <row r="345">
          <cell r="AS345" t="str"/>
          <cell r="AV345" t="str"/>
        </row>
        <row r="346">
          <cell r="AS346" t="str"/>
          <cell r="AV346" t="str"/>
        </row>
        <row r="347">
          <cell r="AS347" t="str"/>
          <cell r="AV347" t="str"/>
        </row>
        <row r="348">
          <cell r="AS348" t="str"/>
          <cell r="AV348" t="str"/>
        </row>
        <row r="349">
          <cell r="AS349" t="str"/>
          <cell r="AV349" t="str"/>
        </row>
        <row r="350">
          <cell r="AS350" t="str"/>
          <cell r="AV350" t="str"/>
        </row>
        <row r="351">
          <cell r="AS351" t="str"/>
          <cell r="AV351" t="str"/>
        </row>
        <row r="352">
          <cell r="AS352" t="str"/>
          <cell r="AV352" t="str"/>
        </row>
        <row r="353">
          <cell r="AS353" t="str"/>
          <cell r="AV353" t="str"/>
        </row>
        <row r="354">
          <cell r="AS354" t="str"/>
          <cell r="AV354" t="str"/>
        </row>
        <row r="355">
          <cell r="AS355" t="str"/>
          <cell r="AV355" t="str"/>
        </row>
        <row r="356">
          <cell r="AS356" t="str"/>
          <cell r="AV356" t="str"/>
        </row>
        <row r="357">
          <cell r="AS357" t="str"/>
          <cell r="AV357" t="str"/>
        </row>
        <row r="358">
          <cell r="AS358" t="str"/>
          <cell r="AV358" t="str"/>
        </row>
        <row r="359">
          <cell r="AS359" t="str"/>
          <cell r="AV359" t="str"/>
        </row>
        <row r="360">
          <cell r="AS360" t="str"/>
          <cell r="AV360" t="str"/>
        </row>
        <row r="361">
          <cell r="AS361" t="str"/>
          <cell r="AV361" t="str"/>
        </row>
        <row r="362">
          <cell r="AS362" t="str"/>
          <cell r="AV362" t="str"/>
        </row>
        <row r="363">
          <cell r="AS363" t="str"/>
          <cell r="AV363" t="str"/>
        </row>
        <row r="364">
          <cell r="AS364" t="str"/>
          <cell r="AV364" t="str"/>
        </row>
        <row r="365">
          <cell r="AS365" t="str"/>
          <cell r="AV365" t="str"/>
        </row>
        <row r="366">
          <cell r="AS366" t="str"/>
          <cell r="AV366" t="str"/>
        </row>
        <row r="367">
          <cell r="AS367" t="str"/>
          <cell r="AV367" t="str"/>
        </row>
        <row r="368">
          <cell r="AS368" t="str"/>
          <cell r="AV368" t="str"/>
        </row>
        <row r="369">
          <cell r="AS369" t="str"/>
          <cell r="AV369" t="str"/>
        </row>
        <row r="370">
          <cell r="AS370" t="str"/>
          <cell r="AV370" t="str"/>
        </row>
        <row r="371">
          <cell r="AS371" t="str"/>
          <cell r="AV371" t="str"/>
        </row>
        <row r="372">
          <cell r="AS372" t="str"/>
          <cell r="AV372" t="str"/>
        </row>
        <row r="373">
          <cell r="AS373" t="str"/>
          <cell r="AV373" t="str"/>
        </row>
        <row r="374">
          <cell r="AS374" t="str"/>
          <cell r="AV374" t="str"/>
        </row>
        <row r="375">
          <cell r="AS375" t="str"/>
          <cell r="AV375" t="str"/>
        </row>
        <row r="376">
          <cell r="AS376" t="str"/>
          <cell r="AV376" t="str"/>
        </row>
        <row r="377">
          <cell r="AS377" t="str"/>
          <cell r="AV377" t="str"/>
        </row>
        <row r="378">
          <cell r="AS378" t="str"/>
          <cell r="AV378" t="str"/>
        </row>
        <row r="379">
          <cell r="AS379" t="str"/>
          <cell r="AV379" t="str"/>
        </row>
        <row r="380">
          <cell r="AS380" t="str"/>
          <cell r="AV380" t="str"/>
        </row>
        <row r="381">
          <cell r="AS381" t="str"/>
          <cell r="AV381" t="str"/>
        </row>
        <row r="382">
          <cell r="AS382" t="str"/>
          <cell r="AV382" t="str"/>
        </row>
        <row r="383">
          <cell r="AS383" t="str"/>
          <cell r="AV383" t="str"/>
        </row>
        <row r="384">
          <cell r="AS384" t="str"/>
          <cell r="AV384" t="str"/>
        </row>
        <row r="385">
          <cell r="AS385" t="str"/>
          <cell r="AV385" t="str"/>
        </row>
        <row r="386">
          <cell r="AS386" t="str"/>
          <cell r="AV386" t="str"/>
        </row>
        <row r="387">
          <cell r="AS387" t="str"/>
          <cell r="AV387" t="str"/>
        </row>
        <row r="388">
          <cell r="AS388" t="str"/>
          <cell r="AV388" t="str"/>
        </row>
        <row r="389">
          <cell r="AS389" t="str"/>
          <cell r="AV389" t="str"/>
        </row>
        <row r="390">
          <cell r="AS390" t="str"/>
          <cell r="AV390" t="str"/>
        </row>
        <row r="391">
          <cell r="AS391" t="str"/>
          <cell r="AV391" t="str"/>
        </row>
        <row r="392">
          <cell r="AS392" t="str"/>
          <cell r="AV392" t="str"/>
        </row>
        <row r="393">
          <cell r="AS393" t="str"/>
          <cell r="AV393" t="str"/>
        </row>
        <row r="394">
          <cell r="AS394" t="str"/>
          <cell r="AV394" t="str"/>
        </row>
        <row r="395">
          <cell r="AS395" t="str"/>
          <cell r="AV395" t="str"/>
        </row>
        <row r="396">
          <cell r="AS396" t="str"/>
          <cell r="AV396" t="str"/>
        </row>
        <row r="397">
          <cell r="AS397" t="str"/>
          <cell r="AV397" t="str"/>
        </row>
        <row r="398">
          <cell r="AS398" t="str"/>
          <cell r="AV398" t="str"/>
        </row>
        <row r="399">
          <cell r="AS399" t="str"/>
          <cell r="AV399" t="str"/>
        </row>
        <row r="400">
          <cell r="AS400" t="str"/>
          <cell r="AV400" t="str"/>
        </row>
        <row r="401">
          <cell r="AS401" t="str"/>
          <cell r="AV401" t="str"/>
        </row>
        <row r="402">
          <cell r="AS402" t="str"/>
          <cell r="AV402" t="str"/>
        </row>
        <row r="403">
          <cell r="AS403" t="str"/>
          <cell r="AV403" t="str"/>
        </row>
        <row r="404">
          <cell r="AS404" t="str"/>
          <cell r="AV404" t="str"/>
        </row>
        <row r="405">
          <cell r="AS405" t="str"/>
          <cell r="AV405" t="str"/>
        </row>
        <row r="406">
          <cell r="AS406" t="str"/>
          <cell r="AV406" t="str"/>
        </row>
        <row r="407">
          <cell r="AS407" t="str"/>
          <cell r="AV407" t="str"/>
        </row>
        <row r="408">
          <cell r="AS408" t="str"/>
          <cell r="AV408" t="str"/>
        </row>
        <row r="409">
          <cell r="AS409" t="str"/>
          <cell r="AV409" t="str"/>
        </row>
        <row r="410">
          <cell r="AS410" t="str"/>
          <cell r="AV410" t="str"/>
        </row>
        <row r="411">
          <cell r="AS411" t="str"/>
          <cell r="AV411" t="str"/>
        </row>
        <row r="412">
          <cell r="AS412" t="str"/>
          <cell r="AV412" t="str"/>
        </row>
        <row r="413">
          <cell r="AS413" t="str"/>
          <cell r="AV413" t="str"/>
        </row>
        <row r="414">
          <cell r="AS414" t="str"/>
          <cell r="AV414" t="str"/>
        </row>
        <row r="415">
          <cell r="AS415" t="str"/>
          <cell r="AV415" t="str"/>
        </row>
        <row r="416">
          <cell r="AS416" t="str"/>
          <cell r="AV416" t="str"/>
        </row>
        <row r="417">
          <cell r="AS417" t="str"/>
          <cell r="AV417" t="str"/>
        </row>
        <row r="418">
          <cell r="AS418" t="str"/>
          <cell r="AV418" t="str"/>
        </row>
        <row r="419">
          <cell r="AS419" t="str"/>
          <cell r="AV419" t="str"/>
        </row>
        <row r="420">
          <cell r="AS420" t="str"/>
          <cell r="AV420" t="str"/>
        </row>
        <row r="421">
          <cell r="AS421" t="str"/>
          <cell r="AV421" t="str"/>
        </row>
        <row r="422">
          <cell r="AS422" t="str"/>
          <cell r="AV422" t="str"/>
        </row>
        <row r="423">
          <cell r="AS423" t="str"/>
          <cell r="AV423" t="str"/>
        </row>
        <row r="424">
          <cell r="AS424" t="str"/>
          <cell r="AV424" t="str"/>
        </row>
        <row r="425">
          <cell r="AS425" t="str"/>
          <cell r="AV425" t="str"/>
        </row>
        <row r="426">
          <cell r="AS426" t="str"/>
          <cell r="AV426" t="str"/>
        </row>
        <row r="427">
          <cell r="AS427" t="str"/>
          <cell r="AV427" t="str"/>
        </row>
        <row r="428">
          <cell r="AS428" t="str"/>
          <cell r="AV428" t="str"/>
        </row>
        <row r="429">
          <cell r="AS429" t="str"/>
          <cell r="AV429" t="str"/>
        </row>
        <row r="430">
          <cell r="AS430" t="str"/>
          <cell r="AV430" t="str"/>
        </row>
        <row r="431">
          <cell r="AS431" t="str"/>
          <cell r="AV431" t="str"/>
        </row>
        <row r="432">
          <cell r="AS432" t="str"/>
          <cell r="AV432" t="str"/>
        </row>
        <row r="433">
          <cell r="AS433" t="str"/>
          <cell r="AV433" t="str"/>
        </row>
        <row r="434">
          <cell r="AS434" t="str"/>
          <cell r="AV434" t="str"/>
        </row>
      </sheetData>
      <sheetData sheetId="40" refreshError="1">
        <row r="4">
          <cell r="D4" t="str">
            <v>Licenciamento</v>
          </cell>
          <cell r="E4" t="str">
            <v>Não-Cumulativo</v>
          </cell>
          <cell r="F4">
            <v>2.9000000000000001E-2</v>
          </cell>
        </row>
        <row r="5">
          <cell r="D5" t="str">
            <v>Obra Civil - 2%</v>
          </cell>
          <cell r="E5" t="str">
            <v>Cumulativo</v>
          </cell>
          <cell r="F5">
            <v>0.02</v>
          </cell>
        </row>
        <row r="6">
          <cell r="D6" t="str">
            <v>Obra Civil - 3%</v>
          </cell>
          <cell r="E6" t="str">
            <v>Cumulativo</v>
          </cell>
          <cell r="F6">
            <v>0.03</v>
          </cell>
        </row>
        <row r="7">
          <cell r="D7" t="str">
            <v>Obra Civil - 3,12%</v>
          </cell>
          <cell r="E7" t="str">
            <v>Cumulativo</v>
          </cell>
          <cell r="F7">
            <v>3.1199999999999999E-2</v>
          </cell>
        </row>
        <row r="8">
          <cell r="D8" t="str">
            <v>Obra Civil - 5%</v>
          </cell>
          <cell r="E8" t="str">
            <v>Cumulativo</v>
          </cell>
          <cell r="F8">
            <v>0.05</v>
          </cell>
        </row>
        <row r="9">
          <cell r="D9" t="str">
            <v>Serviço de Execução de Obra</v>
          </cell>
          <cell r="E9" t="str">
            <v>Não-Cumulativo</v>
          </cell>
          <cell r="F9">
            <v>0.05</v>
          </cell>
        </row>
        <row r="10">
          <cell r="D10" t="str">
            <v>Serviço de Elaboração de Projeto</v>
          </cell>
          <cell r="E10" t="str">
            <v>Não-Cumulativo</v>
          </cell>
          <cell r="F10">
            <v>0.05</v>
          </cell>
        </row>
        <row r="11">
          <cell r="D11" t="str">
            <v>Serviço de Planejamento</v>
          </cell>
          <cell r="E11" t="str">
            <v>Não-Cumulativo</v>
          </cell>
          <cell r="F11">
            <v>0.05</v>
          </cell>
        </row>
        <row r="12">
          <cell r="D12" t="str">
            <v>Serviço de Análise e Desenvolvimento</v>
          </cell>
          <cell r="E12" t="str">
            <v>Não-Cumulativo</v>
          </cell>
          <cell r="F12">
            <v>2.9000000000000001E-2</v>
          </cell>
        </row>
        <row r="13">
          <cell r="D13" t="str">
            <v>Serviço de Consultoria em informática</v>
          </cell>
          <cell r="E13" t="str">
            <v>Não-Cumulativo</v>
          </cell>
          <cell r="F13">
            <v>2.9000000000000001E-2</v>
          </cell>
        </row>
        <row r="14">
          <cell r="D14" t="str">
            <v>Serviço de Suporte Técnico / Serviço de Configuração</v>
          </cell>
          <cell r="E14" t="str">
            <v>Não-Cumulativo</v>
          </cell>
          <cell r="F14">
            <v>2.9000000000000001E-2</v>
          </cell>
        </row>
        <row r="15">
          <cell r="D15" t="str">
            <v>Serviço de Consultoria outros de qualquer natureza</v>
          </cell>
          <cell r="E15" t="str">
            <v>Não-Cumulativo</v>
          </cell>
          <cell r="F15">
            <v>0.05</v>
          </cell>
        </row>
        <row r="16">
          <cell r="D16" t="str">
            <v>Serviço de Representação</v>
          </cell>
          <cell r="E16" t="str">
            <v>Não-Cumulativo</v>
          </cell>
          <cell r="F16">
            <v>0.05</v>
          </cell>
        </row>
        <row r="17">
          <cell r="D17" t="str">
            <v>Serviço de Fornecimento de Mão de Obra</v>
          </cell>
          <cell r="E17" t="str">
            <v>Não-Cumulativo</v>
          </cell>
          <cell r="F17">
            <v>0.02</v>
          </cell>
        </row>
        <row r="18">
          <cell r="D18" t="str">
            <v>Serviço de Instalação de equipamentos de Terceiros</v>
          </cell>
          <cell r="E18" t="str">
            <v>Não-Cumulativo</v>
          </cell>
          <cell r="F18">
            <v>0.05</v>
          </cell>
        </row>
        <row r="19">
          <cell r="D19" t="str">
            <v>Serviço de Manutenção</v>
          </cell>
          <cell r="E19" t="str">
            <v>Não-Cumulativo</v>
          </cell>
          <cell r="F19">
            <v>0.05</v>
          </cell>
        </row>
        <row r="20">
          <cell r="D20" t="str">
            <v>Serviço de Monitoramento</v>
          </cell>
          <cell r="E20" t="str">
            <v>Não-Cumulativo</v>
          </cell>
          <cell r="F20">
            <v>0.02</v>
          </cell>
        </row>
      </sheetData>
      <sheetData sheetId="41" refreshError="1"/>
      <sheetData sheetId="42" refreshError="1">
        <row r="4">
          <cell r="B4">
            <v>4</v>
          </cell>
        </row>
        <row r="9">
          <cell r="D9" t="str">
            <v>AC</v>
          </cell>
          <cell r="E9" t="str">
            <v>AL</v>
          </cell>
          <cell r="F9" t="str">
            <v>AM</v>
          </cell>
          <cell r="G9" t="str">
            <v>AP</v>
          </cell>
          <cell r="H9" t="str">
            <v>BA</v>
          </cell>
          <cell r="I9" t="str">
            <v>CE</v>
          </cell>
          <cell r="J9" t="str">
            <v>DF</v>
          </cell>
          <cell r="K9" t="str">
            <v>ES</v>
          </cell>
          <cell r="L9" t="str">
            <v>GO</v>
          </cell>
          <cell r="M9" t="str">
            <v>MA</v>
          </cell>
          <cell r="N9" t="str">
            <v>MG</v>
          </cell>
          <cell r="O9" t="str">
            <v>MS</v>
          </cell>
          <cell r="P9" t="str">
            <v>MT</v>
          </cell>
          <cell r="Q9" t="str">
            <v>PA</v>
          </cell>
          <cell r="R9" t="str">
            <v>PB</v>
          </cell>
          <cell r="S9" t="str">
            <v>PE</v>
          </cell>
          <cell r="T9" t="str">
            <v>PI</v>
          </cell>
          <cell r="U9" t="str">
            <v>PR</v>
          </cell>
          <cell r="V9" t="str">
            <v>RJ</v>
          </cell>
          <cell r="W9" t="str">
            <v>RN</v>
          </cell>
          <cell r="X9" t="str">
            <v>RO</v>
          </cell>
          <cell r="Y9" t="str">
            <v>RR</v>
          </cell>
          <cell r="Z9" t="str">
            <v>RS</v>
          </cell>
          <cell r="AA9" t="str">
            <v>SC</v>
          </cell>
          <cell r="AB9" t="str">
            <v>SE</v>
          </cell>
          <cell r="AC9" t="str">
            <v>SP</v>
          </cell>
          <cell r="AD9" t="str">
            <v>TO</v>
          </cell>
        </row>
        <row r="10">
          <cell r="C10" t="str">
            <v>AC</v>
          </cell>
          <cell r="D10">
            <v>0</v>
          </cell>
          <cell r="E10">
            <v>12</v>
          </cell>
          <cell r="F10">
            <v>12</v>
          </cell>
          <cell r="G10">
            <v>12</v>
          </cell>
          <cell r="H10">
            <v>12</v>
          </cell>
          <cell r="I10">
            <v>12</v>
          </cell>
          <cell r="J10">
            <v>12</v>
          </cell>
          <cell r="K10">
            <v>12</v>
          </cell>
          <cell r="L10">
            <v>12</v>
          </cell>
          <cell r="M10">
            <v>12</v>
          </cell>
          <cell r="N10">
            <v>12</v>
          </cell>
          <cell r="O10">
            <v>12</v>
          </cell>
          <cell r="P10">
            <v>12</v>
          </cell>
          <cell r="Q10">
            <v>12</v>
          </cell>
          <cell r="R10">
            <v>12</v>
          </cell>
          <cell r="S10">
            <v>12</v>
          </cell>
          <cell r="T10">
            <v>12</v>
          </cell>
          <cell r="U10">
            <v>12</v>
          </cell>
          <cell r="V10">
            <v>12</v>
          </cell>
          <cell r="W10">
            <v>12</v>
          </cell>
          <cell r="X10">
            <v>12</v>
          </cell>
          <cell r="Y10">
            <v>12</v>
          </cell>
          <cell r="Z10">
            <v>12</v>
          </cell>
          <cell r="AA10">
            <v>12</v>
          </cell>
          <cell r="AB10">
            <v>12</v>
          </cell>
          <cell r="AC10">
            <v>12</v>
          </cell>
          <cell r="AD10">
            <v>12</v>
          </cell>
        </row>
        <row r="11">
          <cell r="C11" t="str">
            <v>AL</v>
          </cell>
          <cell r="D11">
            <v>12</v>
          </cell>
          <cell r="E11">
            <v>0</v>
          </cell>
          <cell r="F11">
            <v>12</v>
          </cell>
          <cell r="G11">
            <v>12</v>
          </cell>
          <cell r="H11">
            <v>12</v>
          </cell>
          <cell r="I11">
            <v>12</v>
          </cell>
          <cell r="J11">
            <v>12</v>
          </cell>
          <cell r="K11">
            <v>12</v>
          </cell>
          <cell r="L11">
            <v>12</v>
          </cell>
          <cell r="M11">
            <v>12</v>
          </cell>
          <cell r="N11">
            <v>12</v>
          </cell>
          <cell r="O11">
            <v>12</v>
          </cell>
          <cell r="P11">
            <v>12</v>
          </cell>
          <cell r="Q11">
            <v>12</v>
          </cell>
          <cell r="R11">
            <v>12</v>
          </cell>
          <cell r="S11">
            <v>12</v>
          </cell>
          <cell r="T11">
            <v>12</v>
          </cell>
          <cell r="U11">
            <v>12</v>
          </cell>
          <cell r="V11">
            <v>12</v>
          </cell>
          <cell r="W11">
            <v>12</v>
          </cell>
          <cell r="X11">
            <v>12</v>
          </cell>
          <cell r="Y11">
            <v>12</v>
          </cell>
          <cell r="Z11">
            <v>12</v>
          </cell>
          <cell r="AA11">
            <v>12</v>
          </cell>
          <cell r="AB11">
            <v>12</v>
          </cell>
          <cell r="AC11">
            <v>12</v>
          </cell>
          <cell r="AD11">
            <v>12</v>
          </cell>
        </row>
        <row r="12">
          <cell r="C12" t="str">
            <v>AM</v>
          </cell>
          <cell r="D12">
            <v>12</v>
          </cell>
          <cell r="E12">
            <v>12</v>
          </cell>
          <cell r="F12">
            <v>0</v>
          </cell>
          <cell r="G12">
            <v>12</v>
          </cell>
          <cell r="H12">
            <v>12</v>
          </cell>
          <cell r="I12">
            <v>12</v>
          </cell>
          <cell r="J12">
            <v>12</v>
          </cell>
          <cell r="K12">
            <v>12</v>
          </cell>
          <cell r="L12">
            <v>12</v>
          </cell>
          <cell r="M12">
            <v>12</v>
          </cell>
          <cell r="N12">
            <v>12</v>
          </cell>
          <cell r="O12">
            <v>12</v>
          </cell>
          <cell r="P12">
            <v>12</v>
          </cell>
          <cell r="Q12">
            <v>12</v>
          </cell>
          <cell r="R12">
            <v>12</v>
          </cell>
          <cell r="S12">
            <v>12</v>
          </cell>
          <cell r="T12">
            <v>12</v>
          </cell>
          <cell r="U12">
            <v>12</v>
          </cell>
          <cell r="V12">
            <v>12</v>
          </cell>
          <cell r="W12">
            <v>12</v>
          </cell>
          <cell r="X12">
            <v>12</v>
          </cell>
          <cell r="Y12">
            <v>12</v>
          </cell>
          <cell r="Z12">
            <v>12</v>
          </cell>
          <cell r="AA12">
            <v>12</v>
          </cell>
          <cell r="AB12">
            <v>12</v>
          </cell>
          <cell r="AC12">
            <v>12</v>
          </cell>
          <cell r="AD12">
            <v>12</v>
          </cell>
        </row>
        <row r="13">
          <cell r="C13" t="str">
            <v>AP</v>
          </cell>
          <cell r="D13">
            <v>12</v>
          </cell>
          <cell r="E13">
            <v>12</v>
          </cell>
          <cell r="F13">
            <v>12</v>
          </cell>
          <cell r="G13">
            <v>0</v>
          </cell>
          <cell r="H13">
            <v>12</v>
          </cell>
          <cell r="I13">
            <v>12</v>
          </cell>
          <cell r="J13">
            <v>12</v>
          </cell>
          <cell r="K13">
            <v>12</v>
          </cell>
          <cell r="L13">
            <v>12</v>
          </cell>
          <cell r="M13">
            <v>12</v>
          </cell>
          <cell r="N13">
            <v>12</v>
          </cell>
          <cell r="O13">
            <v>12</v>
          </cell>
          <cell r="P13">
            <v>12</v>
          </cell>
          <cell r="Q13">
            <v>12</v>
          </cell>
          <cell r="R13">
            <v>12</v>
          </cell>
          <cell r="S13">
            <v>12</v>
          </cell>
          <cell r="T13">
            <v>12</v>
          </cell>
          <cell r="U13">
            <v>12</v>
          </cell>
          <cell r="V13">
            <v>12</v>
          </cell>
          <cell r="W13">
            <v>12</v>
          </cell>
          <cell r="X13">
            <v>12</v>
          </cell>
          <cell r="Y13">
            <v>12</v>
          </cell>
          <cell r="Z13">
            <v>12</v>
          </cell>
          <cell r="AA13">
            <v>12</v>
          </cell>
          <cell r="AB13">
            <v>12</v>
          </cell>
          <cell r="AC13">
            <v>12</v>
          </cell>
          <cell r="AD13">
            <v>12</v>
          </cell>
        </row>
        <row r="14">
          <cell r="C14" t="str">
            <v>BA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0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  <cell r="O14">
            <v>12</v>
          </cell>
          <cell r="P14">
            <v>12</v>
          </cell>
          <cell r="Q14">
            <v>12</v>
          </cell>
          <cell r="R14">
            <v>12</v>
          </cell>
          <cell r="S14">
            <v>12</v>
          </cell>
          <cell r="T14">
            <v>12</v>
          </cell>
          <cell r="U14">
            <v>12</v>
          </cell>
          <cell r="V14">
            <v>12</v>
          </cell>
          <cell r="W14">
            <v>12</v>
          </cell>
          <cell r="X14">
            <v>12</v>
          </cell>
          <cell r="Y14">
            <v>12</v>
          </cell>
          <cell r="Z14">
            <v>12</v>
          </cell>
          <cell r="AA14">
            <v>12</v>
          </cell>
          <cell r="AB14">
            <v>12</v>
          </cell>
          <cell r="AC14">
            <v>12</v>
          </cell>
          <cell r="AD14">
            <v>12</v>
          </cell>
        </row>
        <row r="15">
          <cell r="C15" t="str">
            <v>CE</v>
          </cell>
          <cell r="D15">
            <v>12</v>
          </cell>
          <cell r="E15">
            <v>12</v>
          </cell>
          <cell r="F15">
            <v>12</v>
          </cell>
          <cell r="G15">
            <v>12</v>
          </cell>
          <cell r="H15">
            <v>12</v>
          </cell>
          <cell r="I15">
            <v>0</v>
          </cell>
          <cell r="J15">
            <v>12</v>
          </cell>
          <cell r="K15">
            <v>12</v>
          </cell>
          <cell r="L15">
            <v>12</v>
          </cell>
          <cell r="M15">
            <v>12</v>
          </cell>
          <cell r="N15">
            <v>12</v>
          </cell>
          <cell r="O15">
            <v>12</v>
          </cell>
          <cell r="P15">
            <v>12</v>
          </cell>
          <cell r="Q15">
            <v>12</v>
          </cell>
          <cell r="R15">
            <v>12</v>
          </cell>
          <cell r="S15">
            <v>12</v>
          </cell>
          <cell r="T15">
            <v>12</v>
          </cell>
          <cell r="U15">
            <v>12</v>
          </cell>
          <cell r="V15">
            <v>12</v>
          </cell>
          <cell r="W15">
            <v>12</v>
          </cell>
          <cell r="X15">
            <v>12</v>
          </cell>
          <cell r="Y15">
            <v>12</v>
          </cell>
          <cell r="Z15">
            <v>12</v>
          </cell>
          <cell r="AA15">
            <v>12</v>
          </cell>
          <cell r="AB15">
            <v>12</v>
          </cell>
          <cell r="AC15">
            <v>12</v>
          </cell>
          <cell r="AD15">
            <v>12</v>
          </cell>
        </row>
        <row r="16">
          <cell r="C16" t="str">
            <v>DF</v>
          </cell>
          <cell r="D16">
            <v>12</v>
          </cell>
          <cell r="E16">
            <v>12</v>
          </cell>
          <cell r="F16">
            <v>12</v>
          </cell>
          <cell r="G16">
            <v>12</v>
          </cell>
          <cell r="H16">
            <v>12</v>
          </cell>
          <cell r="I16">
            <v>12</v>
          </cell>
          <cell r="J16">
            <v>0</v>
          </cell>
          <cell r="K16">
            <v>12</v>
          </cell>
          <cell r="L16">
            <v>12</v>
          </cell>
          <cell r="M16">
            <v>12</v>
          </cell>
          <cell r="N16">
            <v>12</v>
          </cell>
          <cell r="O16">
            <v>12</v>
          </cell>
          <cell r="P16">
            <v>12</v>
          </cell>
          <cell r="Q16">
            <v>12</v>
          </cell>
          <cell r="R16">
            <v>12</v>
          </cell>
          <cell r="S16">
            <v>12</v>
          </cell>
          <cell r="T16">
            <v>12</v>
          </cell>
          <cell r="U16">
            <v>12</v>
          </cell>
          <cell r="V16">
            <v>12</v>
          </cell>
          <cell r="W16">
            <v>12</v>
          </cell>
          <cell r="X16">
            <v>12</v>
          </cell>
          <cell r="Y16">
            <v>12</v>
          </cell>
          <cell r="Z16">
            <v>12</v>
          </cell>
          <cell r="AA16">
            <v>12</v>
          </cell>
          <cell r="AB16">
            <v>12</v>
          </cell>
          <cell r="AC16">
            <v>12</v>
          </cell>
          <cell r="AD16">
            <v>12</v>
          </cell>
        </row>
        <row r="17">
          <cell r="C17" t="str">
            <v>ES</v>
          </cell>
          <cell r="D17">
            <v>12</v>
          </cell>
          <cell r="E17">
            <v>12</v>
          </cell>
          <cell r="F17">
            <v>12</v>
          </cell>
          <cell r="G17">
            <v>12</v>
          </cell>
          <cell r="H17">
            <v>12</v>
          </cell>
          <cell r="I17">
            <v>12</v>
          </cell>
          <cell r="J17">
            <v>12</v>
          </cell>
          <cell r="K17">
            <v>0</v>
          </cell>
          <cell r="L17">
            <v>12</v>
          </cell>
          <cell r="M17">
            <v>12</v>
          </cell>
          <cell r="N17">
            <v>12</v>
          </cell>
          <cell r="O17">
            <v>12</v>
          </cell>
          <cell r="P17">
            <v>12</v>
          </cell>
          <cell r="Q17">
            <v>12</v>
          </cell>
          <cell r="R17">
            <v>12</v>
          </cell>
          <cell r="S17">
            <v>12</v>
          </cell>
          <cell r="T17">
            <v>12</v>
          </cell>
          <cell r="U17">
            <v>12</v>
          </cell>
          <cell r="V17">
            <v>12</v>
          </cell>
          <cell r="W17">
            <v>12</v>
          </cell>
          <cell r="X17">
            <v>12</v>
          </cell>
          <cell r="Y17">
            <v>12</v>
          </cell>
          <cell r="Z17">
            <v>12</v>
          </cell>
          <cell r="AA17">
            <v>12</v>
          </cell>
          <cell r="AB17">
            <v>12</v>
          </cell>
          <cell r="AC17">
            <v>12</v>
          </cell>
          <cell r="AD17">
            <v>12</v>
          </cell>
        </row>
        <row r="18">
          <cell r="C18" t="str">
            <v>GO</v>
          </cell>
          <cell r="D18">
            <v>12</v>
          </cell>
          <cell r="E18">
            <v>12</v>
          </cell>
          <cell r="F18">
            <v>12</v>
          </cell>
          <cell r="G18">
            <v>12</v>
          </cell>
          <cell r="H18">
            <v>12</v>
          </cell>
          <cell r="I18">
            <v>12</v>
          </cell>
          <cell r="J18">
            <v>12</v>
          </cell>
          <cell r="K18">
            <v>12</v>
          </cell>
          <cell r="L18">
            <v>0</v>
          </cell>
          <cell r="M18">
            <v>12</v>
          </cell>
          <cell r="N18">
            <v>12</v>
          </cell>
          <cell r="O18">
            <v>12</v>
          </cell>
          <cell r="P18">
            <v>12</v>
          </cell>
          <cell r="Q18">
            <v>12</v>
          </cell>
          <cell r="R18">
            <v>12</v>
          </cell>
          <cell r="S18">
            <v>12</v>
          </cell>
          <cell r="T18">
            <v>12</v>
          </cell>
          <cell r="U18">
            <v>12</v>
          </cell>
          <cell r="V18">
            <v>12</v>
          </cell>
          <cell r="W18">
            <v>12</v>
          </cell>
          <cell r="X18">
            <v>12</v>
          </cell>
          <cell r="Y18">
            <v>12</v>
          </cell>
          <cell r="Z18">
            <v>12</v>
          </cell>
          <cell r="AA18">
            <v>12</v>
          </cell>
          <cell r="AB18">
            <v>12</v>
          </cell>
          <cell r="AC18">
            <v>12</v>
          </cell>
          <cell r="AD18">
            <v>12</v>
          </cell>
        </row>
        <row r="19">
          <cell r="C19" t="str">
            <v>MA</v>
          </cell>
          <cell r="D19">
            <v>12</v>
          </cell>
          <cell r="E19">
            <v>12</v>
          </cell>
          <cell r="F19">
            <v>12</v>
          </cell>
          <cell r="G19">
            <v>12</v>
          </cell>
          <cell r="H19">
            <v>12</v>
          </cell>
          <cell r="I19">
            <v>12</v>
          </cell>
          <cell r="J19">
            <v>12</v>
          </cell>
          <cell r="K19">
            <v>12</v>
          </cell>
          <cell r="L19">
            <v>12</v>
          </cell>
          <cell r="M19">
            <v>0</v>
          </cell>
          <cell r="N19">
            <v>12</v>
          </cell>
          <cell r="O19">
            <v>12</v>
          </cell>
          <cell r="P19">
            <v>12</v>
          </cell>
          <cell r="Q19">
            <v>12</v>
          </cell>
          <cell r="R19">
            <v>12</v>
          </cell>
          <cell r="S19">
            <v>12</v>
          </cell>
          <cell r="T19">
            <v>12</v>
          </cell>
          <cell r="U19">
            <v>12</v>
          </cell>
          <cell r="V19">
            <v>12</v>
          </cell>
          <cell r="W19">
            <v>12</v>
          </cell>
          <cell r="X19">
            <v>12</v>
          </cell>
          <cell r="Y19">
            <v>12</v>
          </cell>
          <cell r="Z19">
            <v>12</v>
          </cell>
          <cell r="AA19">
            <v>12</v>
          </cell>
          <cell r="AB19">
            <v>12</v>
          </cell>
          <cell r="AC19">
            <v>12</v>
          </cell>
          <cell r="AD19">
            <v>12</v>
          </cell>
        </row>
        <row r="20">
          <cell r="C20" t="str">
            <v>MG</v>
          </cell>
          <cell r="D20">
            <v>7</v>
          </cell>
          <cell r="E20">
            <v>7</v>
          </cell>
          <cell r="F20">
            <v>7</v>
          </cell>
          <cell r="G20">
            <v>7</v>
          </cell>
          <cell r="H20">
            <v>7</v>
          </cell>
          <cell r="I20">
            <v>7</v>
          </cell>
          <cell r="J20">
            <v>7</v>
          </cell>
          <cell r="K20">
            <v>7</v>
          </cell>
          <cell r="L20">
            <v>7</v>
          </cell>
          <cell r="M20">
            <v>7</v>
          </cell>
          <cell r="N20">
            <v>0</v>
          </cell>
          <cell r="O20">
            <v>7</v>
          </cell>
          <cell r="P20">
            <v>7</v>
          </cell>
          <cell r="Q20">
            <v>7</v>
          </cell>
          <cell r="R20">
            <v>7</v>
          </cell>
          <cell r="S20">
            <v>7</v>
          </cell>
          <cell r="T20">
            <v>7</v>
          </cell>
          <cell r="U20">
            <v>12</v>
          </cell>
          <cell r="V20">
            <v>12</v>
          </cell>
          <cell r="W20">
            <v>7</v>
          </cell>
          <cell r="X20">
            <v>7</v>
          </cell>
          <cell r="Y20">
            <v>7</v>
          </cell>
          <cell r="Z20">
            <v>12</v>
          </cell>
          <cell r="AA20">
            <v>12</v>
          </cell>
          <cell r="AB20">
            <v>7</v>
          </cell>
          <cell r="AC20">
            <v>12</v>
          </cell>
          <cell r="AD20">
            <v>7</v>
          </cell>
        </row>
        <row r="21">
          <cell r="C21" t="str">
            <v>MS</v>
          </cell>
          <cell r="D21">
            <v>12</v>
          </cell>
          <cell r="E21">
            <v>12</v>
          </cell>
          <cell r="F21">
            <v>12</v>
          </cell>
          <cell r="G21">
            <v>12</v>
          </cell>
          <cell r="H21">
            <v>12</v>
          </cell>
          <cell r="I21">
            <v>12</v>
          </cell>
          <cell r="J21">
            <v>12</v>
          </cell>
          <cell r="K21">
            <v>12</v>
          </cell>
          <cell r="L21">
            <v>12</v>
          </cell>
          <cell r="M21">
            <v>12</v>
          </cell>
          <cell r="N21">
            <v>12</v>
          </cell>
          <cell r="O21">
            <v>0</v>
          </cell>
          <cell r="P21">
            <v>12</v>
          </cell>
          <cell r="Q21">
            <v>12</v>
          </cell>
          <cell r="R21">
            <v>12</v>
          </cell>
          <cell r="S21">
            <v>12</v>
          </cell>
          <cell r="T21">
            <v>12</v>
          </cell>
          <cell r="U21">
            <v>12</v>
          </cell>
          <cell r="V21">
            <v>12</v>
          </cell>
          <cell r="W21">
            <v>12</v>
          </cell>
          <cell r="X21">
            <v>12</v>
          </cell>
          <cell r="Y21">
            <v>12</v>
          </cell>
          <cell r="Z21">
            <v>12</v>
          </cell>
          <cell r="AA21">
            <v>12</v>
          </cell>
          <cell r="AB21">
            <v>12</v>
          </cell>
          <cell r="AC21">
            <v>12</v>
          </cell>
          <cell r="AD21">
            <v>12</v>
          </cell>
        </row>
        <row r="22">
          <cell r="C22" t="str">
            <v>MT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0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Z22">
            <v>12</v>
          </cell>
          <cell r="AA22">
            <v>12</v>
          </cell>
          <cell r="AB22">
            <v>12</v>
          </cell>
          <cell r="AC22">
            <v>12</v>
          </cell>
          <cell r="AD22">
            <v>12</v>
          </cell>
        </row>
        <row r="23">
          <cell r="C23" t="str">
            <v>PA</v>
          </cell>
          <cell r="D23">
            <v>12</v>
          </cell>
          <cell r="E23">
            <v>12</v>
          </cell>
          <cell r="F23">
            <v>12</v>
          </cell>
          <cell r="G23">
            <v>12</v>
          </cell>
          <cell r="H23">
            <v>12</v>
          </cell>
          <cell r="I23">
            <v>12</v>
          </cell>
          <cell r="J23">
            <v>12</v>
          </cell>
          <cell r="K23">
            <v>12</v>
          </cell>
          <cell r="L23">
            <v>12</v>
          </cell>
          <cell r="M23">
            <v>12</v>
          </cell>
          <cell r="N23">
            <v>12</v>
          </cell>
          <cell r="O23">
            <v>12</v>
          </cell>
          <cell r="P23">
            <v>12</v>
          </cell>
          <cell r="Q23">
            <v>0</v>
          </cell>
          <cell r="R23">
            <v>12</v>
          </cell>
          <cell r="S23">
            <v>12</v>
          </cell>
          <cell r="T23">
            <v>12</v>
          </cell>
          <cell r="U23">
            <v>12</v>
          </cell>
          <cell r="V23">
            <v>12</v>
          </cell>
          <cell r="W23">
            <v>12</v>
          </cell>
          <cell r="X23">
            <v>12</v>
          </cell>
          <cell r="Y23">
            <v>12</v>
          </cell>
          <cell r="Z23">
            <v>12</v>
          </cell>
          <cell r="AA23">
            <v>12</v>
          </cell>
          <cell r="AB23">
            <v>12</v>
          </cell>
          <cell r="AC23">
            <v>12</v>
          </cell>
          <cell r="AD23">
            <v>12</v>
          </cell>
        </row>
        <row r="24">
          <cell r="C24" t="str">
            <v>PB</v>
          </cell>
          <cell r="D24">
            <v>12</v>
          </cell>
          <cell r="E24">
            <v>12</v>
          </cell>
          <cell r="F24">
            <v>12</v>
          </cell>
          <cell r="G24">
            <v>12</v>
          </cell>
          <cell r="H24">
            <v>12</v>
          </cell>
          <cell r="I24">
            <v>12</v>
          </cell>
          <cell r="J24">
            <v>12</v>
          </cell>
          <cell r="K24">
            <v>12</v>
          </cell>
          <cell r="L24">
            <v>12</v>
          </cell>
          <cell r="M24">
            <v>12</v>
          </cell>
          <cell r="N24">
            <v>12</v>
          </cell>
          <cell r="O24">
            <v>12</v>
          </cell>
          <cell r="P24">
            <v>12</v>
          </cell>
          <cell r="Q24">
            <v>12</v>
          </cell>
          <cell r="R24">
            <v>0</v>
          </cell>
          <cell r="S24">
            <v>12</v>
          </cell>
          <cell r="T24">
            <v>12</v>
          </cell>
          <cell r="U24">
            <v>12</v>
          </cell>
          <cell r="V24">
            <v>12</v>
          </cell>
          <cell r="W24">
            <v>12</v>
          </cell>
          <cell r="X24">
            <v>12</v>
          </cell>
          <cell r="Y24">
            <v>12</v>
          </cell>
          <cell r="Z24">
            <v>12</v>
          </cell>
          <cell r="AA24">
            <v>12</v>
          </cell>
          <cell r="AB24">
            <v>12</v>
          </cell>
          <cell r="AC24">
            <v>12</v>
          </cell>
          <cell r="AD24">
            <v>12</v>
          </cell>
        </row>
        <row r="25">
          <cell r="C25" t="str">
            <v>PE</v>
          </cell>
          <cell r="D25">
            <v>12</v>
          </cell>
          <cell r="E25">
            <v>12</v>
          </cell>
          <cell r="F25">
            <v>12</v>
          </cell>
          <cell r="G25">
            <v>12</v>
          </cell>
          <cell r="H25">
            <v>12</v>
          </cell>
          <cell r="I25">
            <v>12</v>
          </cell>
          <cell r="J25">
            <v>12</v>
          </cell>
          <cell r="K25">
            <v>12</v>
          </cell>
          <cell r="L25">
            <v>12</v>
          </cell>
          <cell r="M25">
            <v>12</v>
          </cell>
          <cell r="N25">
            <v>12</v>
          </cell>
          <cell r="O25">
            <v>12</v>
          </cell>
          <cell r="P25">
            <v>12</v>
          </cell>
          <cell r="Q25">
            <v>12</v>
          </cell>
          <cell r="R25">
            <v>12</v>
          </cell>
          <cell r="S25">
            <v>0</v>
          </cell>
          <cell r="T25">
            <v>12</v>
          </cell>
          <cell r="U25">
            <v>12</v>
          </cell>
          <cell r="V25">
            <v>12</v>
          </cell>
          <cell r="W25">
            <v>12</v>
          </cell>
          <cell r="X25">
            <v>12</v>
          </cell>
          <cell r="Y25">
            <v>12</v>
          </cell>
          <cell r="Z25">
            <v>12</v>
          </cell>
          <cell r="AA25">
            <v>12</v>
          </cell>
          <cell r="AB25">
            <v>12</v>
          </cell>
          <cell r="AC25">
            <v>12</v>
          </cell>
          <cell r="AD25">
            <v>12</v>
          </cell>
        </row>
        <row r="26">
          <cell r="C26" t="str">
            <v>PI</v>
          </cell>
          <cell r="D26">
            <v>12</v>
          </cell>
          <cell r="E26">
            <v>12</v>
          </cell>
          <cell r="F26">
            <v>12</v>
          </cell>
          <cell r="G26">
            <v>12</v>
          </cell>
          <cell r="H26">
            <v>12</v>
          </cell>
          <cell r="I26">
            <v>12</v>
          </cell>
          <cell r="J26">
            <v>12</v>
          </cell>
          <cell r="K26">
            <v>12</v>
          </cell>
          <cell r="L26">
            <v>12</v>
          </cell>
          <cell r="M26">
            <v>12</v>
          </cell>
          <cell r="N26">
            <v>12</v>
          </cell>
          <cell r="O26">
            <v>12</v>
          </cell>
          <cell r="P26">
            <v>12</v>
          </cell>
          <cell r="Q26">
            <v>12</v>
          </cell>
          <cell r="R26">
            <v>12</v>
          </cell>
          <cell r="S26">
            <v>12</v>
          </cell>
          <cell r="T26">
            <v>0</v>
          </cell>
          <cell r="U26">
            <v>12</v>
          </cell>
          <cell r="V26">
            <v>12</v>
          </cell>
          <cell r="W26">
            <v>12</v>
          </cell>
          <cell r="X26">
            <v>12</v>
          </cell>
          <cell r="Y26">
            <v>12</v>
          </cell>
          <cell r="Z26">
            <v>12</v>
          </cell>
          <cell r="AA26">
            <v>12</v>
          </cell>
          <cell r="AB26">
            <v>12</v>
          </cell>
          <cell r="AC26">
            <v>12</v>
          </cell>
          <cell r="AD26">
            <v>12</v>
          </cell>
        </row>
        <row r="27">
          <cell r="C27" t="str">
            <v>PR</v>
          </cell>
          <cell r="D27">
            <v>7</v>
          </cell>
          <cell r="E27">
            <v>7</v>
          </cell>
          <cell r="F27">
            <v>7</v>
          </cell>
          <cell r="G27">
            <v>7</v>
          </cell>
          <cell r="H27">
            <v>7</v>
          </cell>
          <cell r="I27">
            <v>7</v>
          </cell>
          <cell r="J27">
            <v>7</v>
          </cell>
          <cell r="K27">
            <v>7</v>
          </cell>
          <cell r="L27">
            <v>7</v>
          </cell>
          <cell r="M27">
            <v>7</v>
          </cell>
          <cell r="N27">
            <v>12</v>
          </cell>
          <cell r="O27">
            <v>7</v>
          </cell>
          <cell r="P27">
            <v>7</v>
          </cell>
          <cell r="Q27">
            <v>7</v>
          </cell>
          <cell r="R27">
            <v>7</v>
          </cell>
          <cell r="S27">
            <v>7</v>
          </cell>
          <cell r="T27">
            <v>7</v>
          </cell>
          <cell r="U27">
            <v>0</v>
          </cell>
          <cell r="V27">
            <v>12</v>
          </cell>
          <cell r="W27">
            <v>7</v>
          </cell>
          <cell r="X27">
            <v>7</v>
          </cell>
          <cell r="Y27">
            <v>7</v>
          </cell>
          <cell r="Z27">
            <v>12</v>
          </cell>
          <cell r="AA27">
            <v>12</v>
          </cell>
          <cell r="AB27">
            <v>7</v>
          </cell>
          <cell r="AC27">
            <v>12</v>
          </cell>
          <cell r="AD27">
            <v>7</v>
          </cell>
        </row>
        <row r="28">
          <cell r="C28" t="str">
            <v>RJ</v>
          </cell>
          <cell r="D28">
            <v>7</v>
          </cell>
          <cell r="E28">
            <v>7</v>
          </cell>
          <cell r="F28">
            <v>7</v>
          </cell>
          <cell r="G28">
            <v>7</v>
          </cell>
          <cell r="H28">
            <v>7</v>
          </cell>
          <cell r="I28">
            <v>7</v>
          </cell>
          <cell r="J28">
            <v>7</v>
          </cell>
          <cell r="K28">
            <v>7</v>
          </cell>
          <cell r="L28">
            <v>7</v>
          </cell>
          <cell r="M28">
            <v>7</v>
          </cell>
          <cell r="N28">
            <v>12</v>
          </cell>
          <cell r="O28">
            <v>7</v>
          </cell>
          <cell r="P28">
            <v>7</v>
          </cell>
          <cell r="Q28">
            <v>7</v>
          </cell>
          <cell r="R28">
            <v>7</v>
          </cell>
          <cell r="S28">
            <v>7</v>
          </cell>
          <cell r="T28">
            <v>7</v>
          </cell>
          <cell r="U28">
            <v>12</v>
          </cell>
          <cell r="V28">
            <v>0</v>
          </cell>
          <cell r="W28">
            <v>7</v>
          </cell>
          <cell r="X28">
            <v>7</v>
          </cell>
          <cell r="Y28">
            <v>7</v>
          </cell>
          <cell r="Z28">
            <v>12</v>
          </cell>
          <cell r="AA28">
            <v>12</v>
          </cell>
          <cell r="AB28">
            <v>7</v>
          </cell>
          <cell r="AC28">
            <v>12</v>
          </cell>
          <cell r="AD28">
            <v>7</v>
          </cell>
        </row>
        <row r="29">
          <cell r="C29" t="str">
            <v>RN</v>
          </cell>
          <cell r="D29">
            <v>12</v>
          </cell>
          <cell r="E29">
            <v>12</v>
          </cell>
          <cell r="F29">
            <v>12</v>
          </cell>
          <cell r="G29">
            <v>12</v>
          </cell>
          <cell r="H29">
            <v>12</v>
          </cell>
          <cell r="I29">
            <v>12</v>
          </cell>
          <cell r="J29">
            <v>12</v>
          </cell>
          <cell r="K29">
            <v>12</v>
          </cell>
          <cell r="L29">
            <v>12</v>
          </cell>
          <cell r="M29">
            <v>12</v>
          </cell>
          <cell r="N29">
            <v>12</v>
          </cell>
          <cell r="O29">
            <v>12</v>
          </cell>
          <cell r="P29">
            <v>12</v>
          </cell>
          <cell r="Q29">
            <v>12</v>
          </cell>
          <cell r="R29">
            <v>12</v>
          </cell>
          <cell r="S29">
            <v>12</v>
          </cell>
          <cell r="T29">
            <v>12</v>
          </cell>
          <cell r="U29">
            <v>12</v>
          </cell>
          <cell r="V29">
            <v>12</v>
          </cell>
          <cell r="W29">
            <v>0</v>
          </cell>
          <cell r="X29">
            <v>12</v>
          </cell>
          <cell r="Y29">
            <v>12</v>
          </cell>
          <cell r="Z29">
            <v>12</v>
          </cell>
          <cell r="AA29">
            <v>12</v>
          </cell>
          <cell r="AB29">
            <v>12</v>
          </cell>
          <cell r="AC29">
            <v>12</v>
          </cell>
          <cell r="AD29">
            <v>12</v>
          </cell>
        </row>
        <row r="30">
          <cell r="C30" t="str">
            <v>RO</v>
          </cell>
          <cell r="D30">
            <v>12</v>
          </cell>
          <cell r="E30">
            <v>12</v>
          </cell>
          <cell r="F30">
            <v>12</v>
          </cell>
          <cell r="G30">
            <v>12</v>
          </cell>
          <cell r="H30">
            <v>12</v>
          </cell>
          <cell r="I30">
            <v>12</v>
          </cell>
          <cell r="J30">
            <v>12</v>
          </cell>
          <cell r="K30">
            <v>12</v>
          </cell>
          <cell r="L30">
            <v>12</v>
          </cell>
          <cell r="M30">
            <v>12</v>
          </cell>
          <cell r="N30">
            <v>12</v>
          </cell>
          <cell r="O30">
            <v>12</v>
          </cell>
          <cell r="P30">
            <v>12</v>
          </cell>
          <cell r="Q30">
            <v>12</v>
          </cell>
          <cell r="R30">
            <v>12</v>
          </cell>
          <cell r="S30">
            <v>12</v>
          </cell>
          <cell r="T30">
            <v>12</v>
          </cell>
          <cell r="U30">
            <v>12</v>
          </cell>
          <cell r="V30">
            <v>12</v>
          </cell>
          <cell r="W30">
            <v>12</v>
          </cell>
          <cell r="X30">
            <v>0</v>
          </cell>
          <cell r="Y30">
            <v>12</v>
          </cell>
          <cell r="Z30">
            <v>12</v>
          </cell>
          <cell r="AA30">
            <v>12</v>
          </cell>
          <cell r="AB30">
            <v>12</v>
          </cell>
          <cell r="AC30">
            <v>12</v>
          </cell>
          <cell r="AD30">
            <v>12</v>
          </cell>
        </row>
        <row r="31">
          <cell r="C31" t="str">
            <v>RR</v>
          </cell>
          <cell r="D31">
            <v>12</v>
          </cell>
          <cell r="E31">
            <v>12</v>
          </cell>
          <cell r="F31">
            <v>12</v>
          </cell>
          <cell r="G31">
            <v>12</v>
          </cell>
          <cell r="H31">
            <v>12</v>
          </cell>
          <cell r="I31">
            <v>12</v>
          </cell>
          <cell r="J31">
            <v>12</v>
          </cell>
          <cell r="K31">
            <v>12</v>
          </cell>
          <cell r="L31">
            <v>12</v>
          </cell>
          <cell r="M31">
            <v>12</v>
          </cell>
          <cell r="N31">
            <v>12</v>
          </cell>
          <cell r="O31">
            <v>12</v>
          </cell>
          <cell r="P31">
            <v>12</v>
          </cell>
          <cell r="Q31">
            <v>12</v>
          </cell>
          <cell r="R31">
            <v>12</v>
          </cell>
          <cell r="S31">
            <v>12</v>
          </cell>
          <cell r="T31">
            <v>12</v>
          </cell>
          <cell r="U31">
            <v>12</v>
          </cell>
          <cell r="V31">
            <v>12</v>
          </cell>
          <cell r="W31">
            <v>12</v>
          </cell>
          <cell r="X31">
            <v>12</v>
          </cell>
          <cell r="Y31">
            <v>0</v>
          </cell>
          <cell r="Z31">
            <v>12</v>
          </cell>
          <cell r="AA31">
            <v>12</v>
          </cell>
          <cell r="AB31">
            <v>12</v>
          </cell>
          <cell r="AC31">
            <v>12</v>
          </cell>
          <cell r="AD31">
            <v>12</v>
          </cell>
        </row>
        <row r="32">
          <cell r="C32" t="str">
            <v>RS</v>
          </cell>
          <cell r="D32">
            <v>7</v>
          </cell>
          <cell r="E32">
            <v>7</v>
          </cell>
          <cell r="F32">
            <v>7</v>
          </cell>
          <cell r="G32">
            <v>7</v>
          </cell>
          <cell r="H32">
            <v>7</v>
          </cell>
          <cell r="I32">
            <v>7</v>
          </cell>
          <cell r="J32">
            <v>7</v>
          </cell>
          <cell r="K32">
            <v>7</v>
          </cell>
          <cell r="L32">
            <v>7</v>
          </cell>
          <cell r="M32">
            <v>7</v>
          </cell>
          <cell r="N32">
            <v>12</v>
          </cell>
          <cell r="O32">
            <v>7</v>
          </cell>
          <cell r="P32">
            <v>7</v>
          </cell>
          <cell r="Q32">
            <v>7</v>
          </cell>
          <cell r="R32">
            <v>7</v>
          </cell>
          <cell r="S32">
            <v>7</v>
          </cell>
          <cell r="T32">
            <v>7</v>
          </cell>
          <cell r="U32">
            <v>12</v>
          </cell>
          <cell r="V32">
            <v>12</v>
          </cell>
          <cell r="W32">
            <v>7</v>
          </cell>
          <cell r="X32">
            <v>7</v>
          </cell>
          <cell r="Y32">
            <v>7</v>
          </cell>
          <cell r="Z32">
            <v>0</v>
          </cell>
          <cell r="AA32">
            <v>12</v>
          </cell>
          <cell r="AB32">
            <v>7</v>
          </cell>
          <cell r="AC32">
            <v>12</v>
          </cell>
          <cell r="AD32">
            <v>7</v>
          </cell>
        </row>
        <row r="33">
          <cell r="C33" t="str">
            <v>SC</v>
          </cell>
          <cell r="D33">
            <v>7</v>
          </cell>
          <cell r="E33">
            <v>7</v>
          </cell>
          <cell r="F33">
            <v>7</v>
          </cell>
          <cell r="G33">
            <v>7</v>
          </cell>
          <cell r="H33">
            <v>7</v>
          </cell>
          <cell r="I33">
            <v>7</v>
          </cell>
          <cell r="J33">
            <v>7</v>
          </cell>
          <cell r="K33">
            <v>7</v>
          </cell>
          <cell r="L33">
            <v>7</v>
          </cell>
          <cell r="M33">
            <v>7</v>
          </cell>
          <cell r="N33">
            <v>12</v>
          </cell>
          <cell r="O33">
            <v>7</v>
          </cell>
          <cell r="P33">
            <v>7</v>
          </cell>
          <cell r="Q33">
            <v>7</v>
          </cell>
          <cell r="R33">
            <v>7</v>
          </cell>
          <cell r="S33">
            <v>7</v>
          </cell>
          <cell r="T33">
            <v>7</v>
          </cell>
          <cell r="U33">
            <v>12</v>
          </cell>
          <cell r="V33">
            <v>12</v>
          </cell>
          <cell r="W33">
            <v>7</v>
          </cell>
          <cell r="X33">
            <v>7</v>
          </cell>
          <cell r="Y33">
            <v>7</v>
          </cell>
          <cell r="Z33">
            <v>12</v>
          </cell>
          <cell r="AA33">
            <v>0</v>
          </cell>
          <cell r="AB33">
            <v>7</v>
          </cell>
          <cell r="AC33">
            <v>12</v>
          </cell>
          <cell r="AD33">
            <v>7</v>
          </cell>
        </row>
        <row r="34">
          <cell r="C34" t="str">
            <v>SE</v>
          </cell>
          <cell r="D34">
            <v>12</v>
          </cell>
          <cell r="E34">
            <v>12</v>
          </cell>
          <cell r="F34">
            <v>12</v>
          </cell>
          <cell r="G34">
            <v>12</v>
          </cell>
          <cell r="H34">
            <v>12</v>
          </cell>
          <cell r="I34">
            <v>12</v>
          </cell>
          <cell r="J34">
            <v>12</v>
          </cell>
          <cell r="K34">
            <v>12</v>
          </cell>
          <cell r="L34">
            <v>12</v>
          </cell>
          <cell r="M34">
            <v>12</v>
          </cell>
          <cell r="N34">
            <v>12</v>
          </cell>
          <cell r="O34">
            <v>12</v>
          </cell>
          <cell r="P34">
            <v>12</v>
          </cell>
          <cell r="Q34">
            <v>12</v>
          </cell>
          <cell r="R34">
            <v>12</v>
          </cell>
          <cell r="S34">
            <v>12</v>
          </cell>
          <cell r="T34">
            <v>12</v>
          </cell>
          <cell r="U34">
            <v>12</v>
          </cell>
          <cell r="V34">
            <v>12</v>
          </cell>
          <cell r="W34">
            <v>12</v>
          </cell>
          <cell r="X34">
            <v>12</v>
          </cell>
          <cell r="Y34">
            <v>12</v>
          </cell>
          <cell r="Z34">
            <v>12</v>
          </cell>
          <cell r="AA34">
            <v>12</v>
          </cell>
          <cell r="AB34">
            <v>0</v>
          </cell>
          <cell r="AC34">
            <v>12</v>
          </cell>
          <cell r="AD34">
            <v>12</v>
          </cell>
        </row>
        <row r="35">
          <cell r="C35" t="str">
            <v>SP</v>
          </cell>
          <cell r="D35">
            <v>7</v>
          </cell>
          <cell r="E35">
            <v>7</v>
          </cell>
          <cell r="F35">
            <v>7</v>
          </cell>
          <cell r="G35">
            <v>7</v>
          </cell>
          <cell r="H35">
            <v>7</v>
          </cell>
          <cell r="I35">
            <v>7</v>
          </cell>
          <cell r="J35">
            <v>7</v>
          </cell>
          <cell r="K35">
            <v>7</v>
          </cell>
          <cell r="L35">
            <v>7</v>
          </cell>
          <cell r="M35">
            <v>7</v>
          </cell>
          <cell r="N35">
            <v>12</v>
          </cell>
          <cell r="O35">
            <v>7</v>
          </cell>
          <cell r="P35">
            <v>7</v>
          </cell>
          <cell r="Q35">
            <v>7</v>
          </cell>
          <cell r="R35">
            <v>7</v>
          </cell>
          <cell r="S35">
            <v>7</v>
          </cell>
          <cell r="T35">
            <v>7</v>
          </cell>
          <cell r="U35">
            <v>12</v>
          </cell>
          <cell r="V35">
            <v>12</v>
          </cell>
          <cell r="W35">
            <v>7</v>
          </cell>
          <cell r="X35">
            <v>7</v>
          </cell>
          <cell r="Y35">
            <v>7</v>
          </cell>
          <cell r="Z35">
            <v>12</v>
          </cell>
          <cell r="AA35">
            <v>12</v>
          </cell>
          <cell r="AB35">
            <v>7</v>
          </cell>
          <cell r="AC35">
            <v>0</v>
          </cell>
          <cell r="AD35">
            <v>7</v>
          </cell>
        </row>
        <row r="36">
          <cell r="C36" t="str">
            <v>TO</v>
          </cell>
          <cell r="D36">
            <v>12</v>
          </cell>
          <cell r="E36">
            <v>12</v>
          </cell>
          <cell r="F36">
            <v>12</v>
          </cell>
          <cell r="G36">
            <v>12</v>
          </cell>
          <cell r="H36">
            <v>12</v>
          </cell>
          <cell r="I36">
            <v>12</v>
          </cell>
          <cell r="J36">
            <v>12</v>
          </cell>
          <cell r="K36">
            <v>12</v>
          </cell>
          <cell r="L36">
            <v>12</v>
          </cell>
          <cell r="M36">
            <v>12</v>
          </cell>
          <cell r="N36">
            <v>12</v>
          </cell>
          <cell r="O36">
            <v>12</v>
          </cell>
          <cell r="P36">
            <v>12</v>
          </cell>
          <cell r="Q36">
            <v>12</v>
          </cell>
          <cell r="R36">
            <v>12</v>
          </cell>
          <cell r="S36">
            <v>12</v>
          </cell>
          <cell r="T36">
            <v>12</v>
          </cell>
          <cell r="U36">
            <v>12</v>
          </cell>
          <cell r="V36">
            <v>12</v>
          </cell>
          <cell r="W36">
            <v>12</v>
          </cell>
          <cell r="X36">
            <v>12</v>
          </cell>
          <cell r="Y36">
            <v>12</v>
          </cell>
          <cell r="Z36">
            <v>12</v>
          </cell>
          <cell r="AA36">
            <v>12</v>
          </cell>
          <cell r="AB36">
            <v>12</v>
          </cell>
          <cell r="AC36">
            <v>12</v>
          </cell>
          <cell r="AD36">
            <v>0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#RIF"/>
      <sheetName val="MSH51C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SH51C"/>
      <sheetName val="MSH11CP"/>
      <sheetName val="MSH11C "/>
      <sheetName val="MSH41C"/>
      <sheetName val="SMA16"/>
      <sheetName val="MSH53"/>
      <sheetName val="MSH64"/>
      <sheetName val="MSH63 "/>
      <sheetName val="MSH84"/>
      <sheetName val="MSH86"/>
      <sheetName val="mv3638"/>
      <sheetName val="em-os"/>
      <sheetName val="MSH11C_"/>
      <sheetName val="MSH63_"/>
      <sheetName val="DB CORSI"/>
      <sheetName val="Trattamenti economici"/>
      <sheetName val="COLLEGAMENTO"/>
      <sheetName val="PARAMETRI"/>
      <sheetName val="Sin Failover"/>
      <sheetName val="Palhoça"/>
      <sheetName val="Analisi Consunt+Parco Ericsson"/>
      <sheetName val="Sonstiges"/>
      <sheetName val="Pers.aufw. ohne GSMR DB  Case"/>
      <sheetName val="Valoriz. App. Test Plant"/>
      <sheetName val="Input General"/>
      <sheetName val="InputProduct4"/>
      <sheetName val="InputProduct5"/>
      <sheetName val="InputProduct6"/>
      <sheetName val="InputProduct7"/>
      <sheetName val="EurotoolsXRates"/>
      <sheetName val="Basis_für_Preise_und_Texte"/>
      <sheetName val="COSTS &amp; PART #S"/>
      <sheetName val="Margine_bdg_2007"/>
      <sheetName val="PCR_BASE"/>
      <sheetName val="Discount"/>
      <sheetName val="Summary"/>
      <sheetName val="iMSS"/>
      <sheetName val="Paradine VGW"/>
      <sheetName val="Spare"/>
      <sheetName val="Element Manager"/>
      <sheetName val="Service &amp; Support"/>
      <sheetName val="xSeries255"/>
      <sheetName val="Control"/>
      <sheetName val="invest"/>
      <sheetName val="Bass Curve Calibration"/>
      <sheetName val="Dimens"/>
      <sheetName val="listini fastweb"/>
      <sheetName val="5"/>
      <sheetName val="New Structure"/>
      <sheetName val="Catalogo OLS 400G"/>
      <sheetName val="Organismo 1"/>
    </sheetNames>
    <sheetDataSet>
      <sheetData sheetId="0" refreshError="1">
        <row r="2">
          <cell r="D2" t="str">
            <v>LISTINO PREZZI MARCONI</v>
          </cell>
        </row>
        <row r="11">
          <cell r="D11" t="str">
            <v>Telaio cablato (2200 x 600 x 300 mm)</v>
          </cell>
          <cell r="E11" t="str">
            <v>available</v>
          </cell>
          <cell r="F11">
            <v>1</v>
          </cell>
          <cell r="G11" t="str">
            <v>490-4561/01</v>
          </cell>
          <cell r="H11" t="str">
            <v>332-0224/01</v>
          </cell>
        </row>
        <row r="12">
          <cell r="D12" t="str">
            <v>Unità allarmi telaio Tipo B</v>
          </cell>
          <cell r="E12" t="str">
            <v>available</v>
          </cell>
          <cell r="F12">
            <v>1</v>
          </cell>
          <cell r="G12" t="str">
            <v>490-8225/04</v>
          </cell>
          <cell r="H12" t="str">
            <v>131-6829/02</v>
          </cell>
        </row>
        <row r="13">
          <cell r="D13" t="str">
            <v>Kit installazione telaio</v>
          </cell>
          <cell r="E13" t="str">
            <v>available</v>
          </cell>
          <cell r="F13">
            <v>1</v>
          </cell>
          <cell r="G13" t="str">
            <v>490-3261/01</v>
          </cell>
          <cell r="H13" t="str">
            <v>131-6916/01</v>
          </cell>
        </row>
        <row r="17">
          <cell r="D17" t="str">
            <v>Subtelaio assemblato</v>
          </cell>
          <cell r="E17" t="str">
            <v>available</v>
          </cell>
          <cell r="F17">
            <v>1</v>
          </cell>
          <cell r="G17" t="str">
            <v>490-9939/01</v>
          </cell>
          <cell r="H17" t="str">
            <v>133-1394/02</v>
          </cell>
        </row>
        <row r="18">
          <cell r="D18" t="str">
            <v>Kit installazione subtelaio</v>
          </cell>
          <cell r="E18" t="str">
            <v>available</v>
          </cell>
          <cell r="F18">
            <v>1</v>
          </cell>
          <cell r="G18" t="str">
            <v>490-8465/01</v>
          </cell>
          <cell r="H18" t="str">
            <v>131-6926/02</v>
          </cell>
        </row>
        <row r="19">
          <cell r="D19" t="str">
            <v>Unita` End of shelf</v>
          </cell>
          <cell r="E19" t="str">
            <v>available</v>
          </cell>
          <cell r="F19">
            <v>1</v>
          </cell>
          <cell r="G19" t="str">
            <v>490-9630/02</v>
          </cell>
          <cell r="H19" t="str">
            <v>131-8760/02</v>
          </cell>
        </row>
        <row r="20">
          <cell r="D20" t="str">
            <v>Unita` matrice</v>
          </cell>
          <cell r="E20" t="str">
            <v>available</v>
          </cell>
          <cell r="F20">
            <v>1</v>
          </cell>
          <cell r="G20" t="str">
            <v>491-0666/01</v>
          </cell>
          <cell r="H20" t="str">
            <v>131-8822/02</v>
          </cell>
        </row>
        <row r="21">
          <cell r="D21" t="str">
            <v>Unita` di controllo e comunicazione con Int.Q (tipo B)</v>
          </cell>
          <cell r="E21" t="str">
            <v>available</v>
          </cell>
          <cell r="F21">
            <v>1</v>
          </cell>
          <cell r="G21" t="str">
            <v>490-7953/02</v>
          </cell>
          <cell r="H21" t="str">
            <v>131-8679/02</v>
          </cell>
        </row>
        <row r="22">
          <cell r="D22" t="str">
            <v>Modulo I/F per POWER SUPPLY</v>
          </cell>
          <cell r="E22" t="str">
            <v>available</v>
          </cell>
          <cell r="F22">
            <v>1</v>
          </cell>
          <cell r="G22" t="str">
            <v>490-5385/01</v>
          </cell>
          <cell r="H22" t="str">
            <v>131-9072/01</v>
          </cell>
        </row>
        <row r="23">
          <cell r="D23" t="str">
            <v>Modulo I/F per allarmi e F I/f</v>
          </cell>
          <cell r="E23" t="str">
            <v>available</v>
          </cell>
          <cell r="F23">
            <v>1</v>
          </cell>
          <cell r="G23" t="str">
            <v>490-5386/01</v>
          </cell>
          <cell r="H23" t="str">
            <v>131-9071/01</v>
          </cell>
        </row>
        <row r="24">
          <cell r="D24" t="str">
            <v>Modulo I/F per POWER SUPPLY e Q (UTP ETHERNET)</v>
          </cell>
          <cell r="E24" t="str">
            <v>available</v>
          </cell>
          <cell r="F24">
            <v>1</v>
          </cell>
          <cell r="G24" t="str">
            <v>490-5743/01</v>
          </cell>
          <cell r="H24" t="str">
            <v>131-9072/04</v>
          </cell>
        </row>
        <row r="25">
          <cell r="D25" t="str">
            <v>Modulo interfaccia sincronizzazione</v>
          </cell>
          <cell r="E25" t="str">
            <v>available</v>
          </cell>
          <cell r="F25">
            <v>1</v>
          </cell>
          <cell r="G25" t="str">
            <v>490-5389/01</v>
          </cell>
          <cell r="H25" t="str">
            <v>131-9069/01</v>
          </cell>
        </row>
        <row r="26">
          <cell r="D26" t="str">
            <v>Set connettori per subtelaio</v>
          </cell>
          <cell r="E26" t="str">
            <v>available</v>
          </cell>
          <cell r="F26">
            <v>1</v>
          </cell>
          <cell r="G26" t="str">
            <v>490-8489/02</v>
          </cell>
          <cell r="H26" t="str">
            <v>131-9312/01</v>
          </cell>
        </row>
        <row r="27">
          <cell r="D27" t="str">
            <v>Copertura sostitutiva modulo interfaccia</v>
          </cell>
          <cell r="E27" t="str">
            <v>available</v>
          </cell>
          <cell r="F27">
            <v>2</v>
          </cell>
          <cell r="G27" t="str">
            <v>490-4771/01</v>
          </cell>
          <cell r="H27" t="str">
            <v>331-2300/01</v>
          </cell>
        </row>
        <row r="62">
          <cell r="D62" t="str">
            <v>Unita` 4xSTM-1 elettrica/140Mb/s</v>
          </cell>
          <cell r="E62" t="str">
            <v>available</v>
          </cell>
          <cell r="F62">
            <v>1</v>
          </cell>
          <cell r="G62" t="str">
            <v>491-0815/01</v>
          </cell>
          <cell r="H62" t="str">
            <v>131-9122/02</v>
          </cell>
        </row>
        <row r="63">
          <cell r="D63" t="str">
            <v>Modulo Interfaccia per unita` 4x140/155Mb/s</v>
          </cell>
          <cell r="E63" t="str">
            <v>available</v>
          </cell>
          <cell r="F63">
            <v>1</v>
          </cell>
          <cell r="G63" t="str">
            <v>490-5393/01</v>
          </cell>
          <cell r="H63" t="str">
            <v>131-9067/01</v>
          </cell>
        </row>
        <row r="64">
          <cell r="D64" t="str">
            <v>Set connettori per 1x140/155Mb/s</v>
          </cell>
          <cell r="E64" t="str">
            <v>available</v>
          </cell>
          <cell r="F64">
            <v>4</v>
          </cell>
          <cell r="G64" t="str">
            <v>490-3288/01</v>
          </cell>
          <cell r="H64" t="str">
            <v>131-6925/03</v>
          </cell>
        </row>
        <row r="66">
          <cell r="D66" t="str">
            <v>Unita` 4xSTM-1 elettrica/140Mb/s</v>
          </cell>
          <cell r="E66" t="str">
            <v>available</v>
          </cell>
          <cell r="F66">
            <v>1</v>
          </cell>
          <cell r="G66" t="str">
            <v>491-0815/01</v>
          </cell>
          <cell r="H66" t="str">
            <v>131-9122/02</v>
          </cell>
        </row>
        <row r="67">
          <cell r="D67" t="str">
            <v>Modulo Interfaccia per unita` 4x140/155Mb/s protegg.</v>
          </cell>
          <cell r="E67" t="str">
            <v>available</v>
          </cell>
          <cell r="F67">
            <v>1</v>
          </cell>
          <cell r="G67" t="str">
            <v>490-5745/01</v>
          </cell>
          <cell r="H67" t="str">
            <v>131-8978/01</v>
          </cell>
        </row>
        <row r="68">
          <cell r="D68" t="str">
            <v>Set connettori per 1x140/155Mb/s</v>
          </cell>
          <cell r="E68" t="str">
            <v>available</v>
          </cell>
          <cell r="F68">
            <v>4</v>
          </cell>
          <cell r="G68" t="str">
            <v>490-3288/01</v>
          </cell>
          <cell r="H68" t="str">
            <v>131-6925/03</v>
          </cell>
        </row>
        <row r="70">
          <cell r="D70" t="str">
            <v>Unita` 4xSTM-1 elettrica/140Mb/s</v>
          </cell>
          <cell r="E70" t="str">
            <v>available</v>
          </cell>
          <cell r="F70">
            <v>1</v>
          </cell>
          <cell r="G70" t="str">
            <v>491-0815/01</v>
          </cell>
          <cell r="H70" t="str">
            <v>131-9122/02</v>
          </cell>
        </row>
        <row r="71">
          <cell r="D71" t="str">
            <v>Modulo protezione 2x140/155Mb/s</v>
          </cell>
          <cell r="E71" t="str">
            <v>available</v>
          </cell>
          <cell r="F71">
            <v>2</v>
          </cell>
          <cell r="G71" t="str">
            <v>490-8538/01</v>
          </cell>
          <cell r="H71" t="str">
            <v>131-8979/01</v>
          </cell>
        </row>
        <row r="73">
          <cell r="D73" t="str">
            <v>Unita` 4xSTM-1 elettrica/140Mb/s</v>
          </cell>
          <cell r="E73" t="str">
            <v>available</v>
          </cell>
          <cell r="F73">
            <v>1</v>
          </cell>
          <cell r="G73" t="str">
            <v>491-0815/01</v>
          </cell>
          <cell r="H73" t="str">
            <v>131-9122/02</v>
          </cell>
        </row>
        <row r="74">
          <cell r="D74" t="str">
            <v>Modulo Interfaccia per unita` 2x140/155Mb/s</v>
          </cell>
          <cell r="E74" t="str">
            <v>available</v>
          </cell>
          <cell r="F74">
            <v>2</v>
          </cell>
          <cell r="G74" t="str">
            <v>490-8536/01</v>
          </cell>
          <cell r="H74" t="str">
            <v>131-9067/02</v>
          </cell>
        </row>
        <row r="75">
          <cell r="D75" t="str">
            <v>Set connettori per 1x140/155Mb/s</v>
          </cell>
          <cell r="E75" t="str">
            <v>available</v>
          </cell>
          <cell r="F75">
            <v>4</v>
          </cell>
          <cell r="G75" t="str">
            <v>490-3288/01</v>
          </cell>
          <cell r="H75" t="str">
            <v>131-6925/03</v>
          </cell>
        </row>
        <row r="92">
          <cell r="D92" t="str">
            <v>Unita' ausiliaria</v>
          </cell>
          <cell r="E92" t="str">
            <v>available</v>
          </cell>
          <cell r="F92">
            <v>1</v>
          </cell>
          <cell r="G92" t="str">
            <v>490-5021/01</v>
          </cell>
          <cell r="H92" t="str">
            <v>131-8690/01</v>
          </cell>
        </row>
        <row r="93">
          <cell r="D93" t="str">
            <v>Modulo di interfaccia ausiliaria (ty A)</v>
          </cell>
          <cell r="E93" t="str">
            <v>available</v>
          </cell>
          <cell r="F93">
            <v>1</v>
          </cell>
          <cell r="G93" t="str">
            <v>490-5390/01</v>
          </cell>
          <cell r="H93" t="str">
            <v>131-9068/01</v>
          </cell>
        </row>
        <row r="94">
          <cell r="D94" t="str">
            <v>Set connettori per unita' ausiliaria</v>
          </cell>
          <cell r="E94" t="str">
            <v>available</v>
          </cell>
          <cell r="F94">
            <v>1</v>
          </cell>
          <cell r="G94" t="str">
            <v>490-9216/01</v>
          </cell>
          <cell r="H94" t="str">
            <v>131-9313/01</v>
          </cell>
        </row>
        <row r="122">
          <cell r="D122" t="str">
            <v>Personal computer (portatile)</v>
          </cell>
          <cell r="E122" t="str">
            <v>available</v>
          </cell>
          <cell r="F122">
            <v>1</v>
          </cell>
          <cell r="G122" t="str">
            <v>491-3764/01</v>
          </cell>
          <cell r="I122" t="str">
            <v>a)</v>
          </cell>
        </row>
        <row r="123">
          <cell r="D123" t="str">
            <v>Cavo seriale e connettore</v>
          </cell>
          <cell r="E123" t="str">
            <v>available</v>
          </cell>
          <cell r="F123">
            <v>1</v>
          </cell>
          <cell r="G123" t="str">
            <v>490-4993/01</v>
          </cell>
          <cell r="I123" t="str">
            <v>b)</v>
          </cell>
        </row>
        <row r="124">
          <cell r="D124" t="str">
            <v>Sistema operativo (NT.4)</v>
          </cell>
          <cell r="E124" t="str">
            <v>available</v>
          </cell>
          <cell r="F124">
            <v>1</v>
          </cell>
          <cell r="G124" t="str">
            <v>491-0722/01</v>
          </cell>
          <cell r="I124" t="str">
            <v>c)</v>
          </cell>
        </row>
        <row r="177">
          <cell r="B177" t="str">
            <v xml:space="preserve"> NOTE</v>
          </cell>
        </row>
        <row r="178">
          <cell r="B178" t="str">
            <v>a)</v>
          </cell>
          <cell r="C178" t="str">
            <v xml:space="preserve"> Pentium 200MMX nella seguente configurazione</v>
          </cell>
        </row>
        <row r="179">
          <cell r="C179" t="str">
            <v xml:space="preserve">    -  PENTIUM (minimum 75Mhz) (produced by international manufacturer (e.g.TOSHIBA, COMPAQ, AST))</v>
          </cell>
        </row>
        <row r="180">
          <cell r="C180" t="str">
            <v xml:space="preserve">   - 10" COLOR MONITOR (resolution 800x600)</v>
          </cell>
        </row>
        <row r="181">
          <cell r="C181" t="str">
            <v xml:space="preserve">    - SVGA GRAPHICAL ADAPTER 1024x768 resolution 256 colors with external output</v>
          </cell>
        </row>
        <row r="182">
          <cell r="C182" t="str">
            <v xml:space="preserve">   - 32 MBYTES RAM (minimum)</v>
          </cell>
        </row>
        <row r="183">
          <cell r="C183" t="str">
            <v xml:space="preserve">    - 1GIGABYTES HARD DISK (minimum) </v>
          </cell>
        </row>
        <row r="184">
          <cell r="C184" t="str">
            <v xml:space="preserve">    - 3.5" FLOPPY DISK DRIVER</v>
          </cell>
        </row>
        <row r="185">
          <cell r="C185" t="str">
            <v xml:space="preserve">    - CD ROM Drive</v>
          </cell>
        </row>
        <row r="186">
          <cell r="C186" t="str">
            <v xml:space="preserve">    - n. 1 SERIAL INTERFACE RS232 (9 pin, at least 19200 bps)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MSH51C"/>
    </sheetNames>
    <sheetDataSet>
      <sheetData sheetId="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MSH11CP"/>
      <sheetName val="MSH11C "/>
      <sheetName val="MSH41C"/>
      <sheetName val="SMA16"/>
      <sheetName val="MSH51C"/>
      <sheetName val="MSH53"/>
      <sheetName val="MSH64"/>
      <sheetName val="MSH63 "/>
      <sheetName val="MSH84"/>
      <sheetName val="MSH86"/>
      <sheetName val="mv3638"/>
      <sheetName val="em-os"/>
      <sheetName val="listini fastweb ufficiali"/>
      <sheetName val="data"/>
      <sheetName val="aggregation"/>
      <sheetName val="graphs"/>
      <sheetName val="company"/>
      <sheetName val="#RIF"/>
      <sheetName val="Parametri"/>
      <sheetName val="Parametri "/>
      <sheetName val=" Listino Prezzi TDM"/>
      <sheetName val="Discount"/>
      <sheetName val="Configurazioni"/>
      <sheetName val="MSH11C_"/>
      <sheetName val="MSH63_"/>
    </sheetNames>
    <sheetDataSet>
      <sheetData sheetId="0">
        <row r="7">
          <cell r="C7" t="str">
            <v>Numero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MSH11CP"/>
      <sheetName val="MSH11C "/>
      <sheetName val="MSH41C"/>
      <sheetName val="SMA16"/>
      <sheetName val="MSH51C"/>
      <sheetName val="MSH53"/>
      <sheetName val="MSH64"/>
      <sheetName val="MSH63 "/>
      <sheetName val="MSH84"/>
      <sheetName val="MSH86"/>
      <sheetName val="mv3638"/>
      <sheetName val="em-os"/>
      <sheetName val="PCR_BASE"/>
      <sheetName val="Discount"/>
      <sheetName val="Summary"/>
      <sheetName val="iMSS"/>
      <sheetName val="Paradine VGW"/>
      <sheetName val="Spare"/>
      <sheetName val="Element Manager"/>
      <sheetName val="Service &amp; Support"/>
      <sheetName val="xSeries255"/>
      <sheetName val="Control"/>
      <sheetName val="invest"/>
      <sheetName val="Parametri"/>
      <sheetName val="CE"/>
      <sheetName val="DB CORSI"/>
      <sheetName val="Trattamenti economici"/>
      <sheetName val="COLLEGAMENTO"/>
      <sheetName val="Sin Failover"/>
      <sheetName val="Palhoça"/>
      <sheetName val="Analisi Consunt+Parco Ericsson"/>
      <sheetName val="Valoriz. App. Test Plant"/>
      <sheetName val="Sonstiges"/>
      <sheetName val="Pers.aufw. ohne GSMR DB  Case"/>
      <sheetName val="MSH11C_"/>
      <sheetName val="MSH63_"/>
      <sheetName val="Basis_für_Preise_und_Texte"/>
      <sheetName val="COSTS &amp; PART #S"/>
      <sheetName val="EurotoolsXRates"/>
      <sheetName val="Margine_bdg_2007"/>
      <sheetName val="Input General"/>
      <sheetName val="InputProduct4"/>
      <sheetName val="InputProduct5"/>
      <sheetName val="InputProduct6"/>
      <sheetName val="InputProduct7"/>
      <sheetName val="Bass Curve Calibration"/>
      <sheetName val="Dimens"/>
      <sheetName val="listini fastweb"/>
      <sheetName val="5"/>
      <sheetName val="Index"/>
      <sheetName val="New Structure"/>
      <sheetName val="Building Blocks"/>
      <sheetName val="Organismo 1"/>
      <sheetName val="Catalogo OLS 400G"/>
      <sheetName val="OLS400G"/>
      <sheetName val="Parámetros"/>
    </sheetNames>
    <sheetDataSet>
      <sheetData sheetId="0">
        <row r="2">
          <cell r="D2" t="str">
            <v>LISTINO PREZZI MARCONI</v>
          </cell>
        </row>
      </sheetData>
      <sheetData sheetId="1"/>
      <sheetData sheetId="2"/>
      <sheetData sheetId="3"/>
      <sheetData sheetId="4" refreshError="1">
        <row r="2">
          <cell r="D2" t="str">
            <v>LISTINO PREZZI MARCONI</v>
          </cell>
        </row>
        <row r="4">
          <cell r="B4" t="str">
            <v>APPARATO TIPO:</v>
          </cell>
          <cell r="D4" t="str">
            <v>MSH51C STM-16 APPARATO DOPPIO ADM/TERMINALE/RIGENERATORE</v>
          </cell>
        </row>
        <row r="5">
          <cell r="B5" t="str">
            <v>Collegamento………………………………………………………………..</v>
          </cell>
          <cell r="I5" t="str">
            <v>N</v>
          </cell>
        </row>
        <row r="6">
          <cell r="B6" t="str">
            <v>Collegamento………………………………………………………………..</v>
          </cell>
          <cell r="I6" t="str">
            <v>O</v>
          </cell>
        </row>
        <row r="7">
          <cell r="B7" t="str">
            <v>Pos.</v>
          </cell>
          <cell r="C7" t="str">
            <v>Numero</v>
          </cell>
          <cell r="D7" t="str">
            <v>DESCRIZIONE</v>
          </cell>
          <cell r="E7" t="str">
            <v>Disponibilita`</v>
          </cell>
          <cell r="F7" t="str">
            <v>Qty</v>
          </cell>
          <cell r="G7" t="str">
            <v>figli</v>
          </cell>
          <cell r="H7" t="str">
            <v>figli</v>
          </cell>
          <cell r="I7" t="str">
            <v>T</v>
          </cell>
        </row>
        <row r="8">
          <cell r="C8" t="str">
            <v>codice</v>
          </cell>
          <cell r="F8" t="str">
            <v>figli</v>
          </cell>
          <cell r="G8" t="str">
            <v>code_c</v>
          </cell>
          <cell r="H8" t="str">
            <v>code_p</v>
          </cell>
          <cell r="I8" t="str">
            <v>E</v>
          </cell>
        </row>
        <row r="9">
          <cell r="D9" t="str">
            <v>TELAIO</v>
          </cell>
          <cell r="E9">
            <v>0</v>
          </cell>
        </row>
        <row r="10">
          <cell r="B10">
            <v>1</v>
          </cell>
          <cell r="C10" t="str">
            <v>494-6593/01</v>
          </cell>
          <cell r="D10" t="str">
            <v>Telaio</v>
          </cell>
          <cell r="E10">
            <v>0</v>
          </cell>
        </row>
        <row r="11">
          <cell r="D11" t="str">
            <v>Telaio cablato (2200 x 600 x 300 mm)</v>
          </cell>
          <cell r="E11" t="str">
            <v>available</v>
          </cell>
          <cell r="F11">
            <v>1</v>
          </cell>
          <cell r="G11" t="str">
            <v>490-4561/01</v>
          </cell>
          <cell r="H11" t="str">
            <v>332-0224/01</v>
          </cell>
        </row>
        <row r="12">
          <cell r="D12" t="str">
            <v>Unità allarmi telaio Tipo B</v>
          </cell>
          <cell r="E12" t="str">
            <v>available</v>
          </cell>
          <cell r="F12">
            <v>1</v>
          </cell>
          <cell r="G12" t="str">
            <v>490-8225/04</v>
          </cell>
          <cell r="H12" t="str">
            <v>131-6829/02</v>
          </cell>
        </row>
        <row r="13">
          <cell r="D13" t="str">
            <v>Kit installazione telaio</v>
          </cell>
          <cell r="E13" t="str">
            <v>available</v>
          </cell>
          <cell r="F13">
            <v>1</v>
          </cell>
          <cell r="G13" t="str">
            <v>490-3261/01</v>
          </cell>
          <cell r="H13" t="str">
            <v>131-6916/01</v>
          </cell>
        </row>
        <row r="14">
          <cell r="E14">
            <v>0</v>
          </cell>
        </row>
        <row r="15">
          <cell r="D15" t="str">
            <v>SDH PARTI COMUNI</v>
          </cell>
          <cell r="E15">
            <v>0</v>
          </cell>
        </row>
        <row r="16">
          <cell r="B16">
            <v>2</v>
          </cell>
          <cell r="C16" t="str">
            <v>494-6544/92</v>
          </cell>
          <cell r="D16" t="str">
            <v>Complesso parti comuni ADM-16</v>
          </cell>
          <cell r="E16">
            <v>0</v>
          </cell>
        </row>
        <row r="17">
          <cell r="D17" t="str">
            <v>Subtelaio assemblato</v>
          </cell>
          <cell r="E17" t="str">
            <v>available</v>
          </cell>
          <cell r="F17">
            <v>1</v>
          </cell>
          <cell r="G17" t="str">
            <v>490-9939/01</v>
          </cell>
          <cell r="H17" t="str">
            <v>133-1394/02</v>
          </cell>
        </row>
        <row r="18">
          <cell r="D18" t="str">
            <v>Kit installazione subtelaio</v>
          </cell>
          <cell r="E18" t="str">
            <v>available</v>
          </cell>
          <cell r="F18">
            <v>1</v>
          </cell>
          <cell r="G18" t="str">
            <v>490-8465/01</v>
          </cell>
          <cell r="H18" t="str">
            <v>131-6926/02</v>
          </cell>
        </row>
        <row r="19">
          <cell r="D19" t="str">
            <v>Unita` End of shelf</v>
          </cell>
          <cell r="E19" t="str">
            <v>available</v>
          </cell>
          <cell r="F19">
            <v>1</v>
          </cell>
          <cell r="G19" t="str">
            <v>490-9630/02</v>
          </cell>
          <cell r="H19" t="str">
            <v>131-8760/02</v>
          </cell>
        </row>
        <row r="20">
          <cell r="D20" t="str">
            <v>Unita` matrice</v>
          </cell>
          <cell r="E20" t="str">
            <v>available</v>
          </cell>
          <cell r="F20">
            <v>1</v>
          </cell>
          <cell r="G20" t="str">
            <v>491-0666/01</v>
          </cell>
          <cell r="H20" t="str">
            <v>131-8822/02</v>
          </cell>
        </row>
        <row r="21">
          <cell r="D21" t="str">
            <v>Unita` di controllo e comunicazione con Int.Q (tipo B)</v>
          </cell>
          <cell r="E21" t="str">
            <v>available</v>
          </cell>
          <cell r="F21">
            <v>1</v>
          </cell>
          <cell r="G21" t="str">
            <v>490-7953/02</v>
          </cell>
          <cell r="H21" t="str">
            <v>131-8679/02</v>
          </cell>
        </row>
        <row r="22">
          <cell r="D22" t="str">
            <v>Modulo I/F per POWER SUPPLY</v>
          </cell>
          <cell r="E22" t="str">
            <v>available</v>
          </cell>
          <cell r="F22">
            <v>1</v>
          </cell>
          <cell r="G22" t="str">
            <v>490-5385/01</v>
          </cell>
          <cell r="H22" t="str">
            <v>131-9072/01</v>
          </cell>
        </row>
        <row r="23">
          <cell r="D23" t="str">
            <v>Modulo I/F per allarmi e F I/f</v>
          </cell>
          <cell r="E23" t="str">
            <v>available</v>
          </cell>
          <cell r="F23">
            <v>1</v>
          </cell>
          <cell r="G23" t="str">
            <v>490-5386/01</v>
          </cell>
          <cell r="H23" t="str">
            <v>131-9071/01</v>
          </cell>
        </row>
        <row r="24">
          <cell r="D24" t="str">
            <v>Modulo I/F per POWER SUPPLY e Q (UTP ETHERNET)</v>
          </cell>
          <cell r="E24" t="str">
            <v>available</v>
          </cell>
          <cell r="F24">
            <v>1</v>
          </cell>
          <cell r="G24" t="str">
            <v>490-5743/01</v>
          </cell>
          <cell r="H24" t="str">
            <v>131-9072/04</v>
          </cell>
        </row>
        <row r="25">
          <cell r="D25" t="str">
            <v>Modulo interfaccia sincronizzazione</v>
          </cell>
          <cell r="E25" t="str">
            <v>available</v>
          </cell>
          <cell r="F25">
            <v>1</v>
          </cell>
          <cell r="G25" t="str">
            <v>490-5389/01</v>
          </cell>
          <cell r="H25" t="str">
            <v>131-9069/01</v>
          </cell>
        </row>
        <row r="26">
          <cell r="D26" t="str">
            <v>Set connettori per subtelaio</v>
          </cell>
          <cell r="E26" t="str">
            <v>available</v>
          </cell>
          <cell r="F26">
            <v>1</v>
          </cell>
          <cell r="G26" t="str">
            <v>490-8489/02</v>
          </cell>
          <cell r="H26" t="str">
            <v>131-9312/01</v>
          </cell>
        </row>
        <row r="27">
          <cell r="D27" t="str">
            <v>Copertura sostitutiva modulo interfaccia</v>
          </cell>
          <cell r="E27" t="str">
            <v>available</v>
          </cell>
          <cell r="F27">
            <v>2</v>
          </cell>
          <cell r="G27" t="str">
            <v>490-4771/01</v>
          </cell>
          <cell r="H27" t="str">
            <v>331-2300/01</v>
          </cell>
        </row>
        <row r="28">
          <cell r="E28">
            <v>0</v>
          </cell>
        </row>
        <row r="29">
          <cell r="D29" t="str">
            <v>PROTEZIONE MATRICE</v>
          </cell>
          <cell r="E29">
            <v>0</v>
          </cell>
        </row>
        <row r="30">
          <cell r="B30">
            <v>3</v>
          </cell>
          <cell r="C30" t="str">
            <v>491-0666/01</v>
          </cell>
          <cell r="D30" t="str">
            <v>Unita` matrice</v>
          </cell>
          <cell r="E30" t="str">
            <v>available</v>
          </cell>
          <cell r="G30" t="str">
            <v>491-0666/01</v>
          </cell>
          <cell r="H30" t="str">
            <v>131-8822/02</v>
          </cell>
        </row>
        <row r="31">
          <cell r="B31">
            <v>4</v>
          </cell>
          <cell r="C31" t="str">
            <v>490-9938/01</v>
          </cell>
          <cell r="D31" t="str">
            <v>Copertura sostitutiva unita' matrice</v>
          </cell>
          <cell r="E31" t="str">
            <v>available</v>
          </cell>
          <cell r="G31" t="str">
            <v>490-9938/01</v>
          </cell>
          <cell r="H31" t="str">
            <v>331-1112/02</v>
          </cell>
        </row>
        <row r="32">
          <cell r="E32">
            <v>0</v>
          </cell>
        </row>
        <row r="33">
          <cell r="D33" t="str">
            <v>INTERFACCE DI LINEA</v>
          </cell>
          <cell r="E33">
            <v>0</v>
          </cell>
        </row>
        <row r="34">
          <cell r="B34">
            <v>5</v>
          </cell>
          <cell r="C34" t="str">
            <v>490-8482/02</v>
          </cell>
          <cell r="D34" t="str">
            <v>Unita' porta ottica STM-16 S-16.1</v>
          </cell>
          <cell r="E34" t="str">
            <v>available</v>
          </cell>
          <cell r="G34" t="str">
            <v>490-8482/02</v>
          </cell>
          <cell r="H34" t="str">
            <v>131-8828/22</v>
          </cell>
        </row>
        <row r="35">
          <cell r="B35">
            <v>6</v>
          </cell>
          <cell r="C35" t="str">
            <v>490-8483/02</v>
          </cell>
          <cell r="D35" t="str">
            <v>Unita' porta ottica STM-16 L-16.1</v>
          </cell>
          <cell r="E35" t="str">
            <v>available</v>
          </cell>
          <cell r="G35" t="str">
            <v>490-8483/02</v>
          </cell>
          <cell r="H35" t="str">
            <v>131-8828/24</v>
          </cell>
        </row>
        <row r="36">
          <cell r="B36">
            <v>7</v>
          </cell>
          <cell r="C36" t="str">
            <v>490-8484/02</v>
          </cell>
          <cell r="D36" t="str">
            <v>Unita' porta ottica STM-16 L-16.2/L-16.3</v>
          </cell>
          <cell r="E36" t="str">
            <v>available</v>
          </cell>
          <cell r="G36" t="str">
            <v>490-8484/02</v>
          </cell>
          <cell r="H36" t="str">
            <v>131-8828/21</v>
          </cell>
        </row>
        <row r="37">
          <cell r="B37">
            <v>8</v>
          </cell>
          <cell r="C37" t="str">
            <v>490-8755/02</v>
          </cell>
          <cell r="D37" t="str">
            <v>Unita' porta ottica STM-16 JE-16.2/JE-16.3</v>
          </cell>
          <cell r="E37" t="str">
            <v>available</v>
          </cell>
          <cell r="G37" t="str">
            <v>490-8755/02</v>
          </cell>
          <cell r="H37" t="str">
            <v>131-8828/23</v>
          </cell>
        </row>
        <row r="38">
          <cell r="B38">
            <v>9</v>
          </cell>
          <cell r="C38" t="str">
            <v>490-9198/02</v>
          </cell>
          <cell r="D38" t="str">
            <v>Unita' porta ottica STM-16 L-16.2 per booster.</v>
          </cell>
          <cell r="E38" t="str">
            <v>available</v>
          </cell>
          <cell r="G38" t="str">
            <v>490-9198/02</v>
          </cell>
          <cell r="H38" t="str">
            <v>131-8828/26</v>
          </cell>
        </row>
        <row r="39">
          <cell r="B39">
            <v>10</v>
          </cell>
          <cell r="C39" t="str">
            <v>491-1558/xx</v>
          </cell>
          <cell r="D39" t="str">
            <v>Unita' porta ottica STM-16 per apparato WDM esterno (50 Ghz)</v>
          </cell>
          <cell r="E39" t="str">
            <v>available</v>
          </cell>
          <cell r="G39" t="str">
            <v>491-1558/xx</v>
          </cell>
          <cell r="H39" t="str">
            <v>131-9652/xx</v>
          </cell>
        </row>
        <row r="40">
          <cell r="B40">
            <v>11</v>
          </cell>
          <cell r="C40" t="str">
            <v>491-1558/xx</v>
          </cell>
          <cell r="D40" t="str">
            <v>Unita' porta ottica STM-16 per apparato WDM esterno</v>
          </cell>
          <cell r="E40" t="str">
            <v>available</v>
          </cell>
          <cell r="G40" t="str">
            <v>491-1558/xx</v>
          </cell>
          <cell r="H40" t="str">
            <v>131-9652/xx</v>
          </cell>
        </row>
        <row r="41">
          <cell r="B41">
            <v>12</v>
          </cell>
          <cell r="C41" t="str">
            <v>490-9190/02</v>
          </cell>
          <cell r="D41" t="str">
            <v>Unita' porta ottica L-16.2 (SC) per Boosters (tipo A)</v>
          </cell>
          <cell r="E41" t="str">
            <v>available</v>
          </cell>
          <cell r="G41" t="str">
            <v>490-9190/02</v>
          </cell>
          <cell r="H41" t="str">
            <v>131-8828/25</v>
          </cell>
        </row>
        <row r="42">
          <cell r="B42">
            <v>13</v>
          </cell>
          <cell r="C42" t="str">
            <v>491-1558/09</v>
          </cell>
          <cell r="D42" t="str">
            <v>Unita' porta ottica L-16.2 (SC) per Preamplificatore (tipo B)</v>
          </cell>
          <cell r="E42" t="str">
            <v>available</v>
          </cell>
          <cell r="G42" t="str">
            <v>491-1558/09</v>
          </cell>
          <cell r="H42" t="str">
            <v>131-9652/09</v>
          </cell>
        </row>
        <row r="43">
          <cell r="B43">
            <v>14</v>
          </cell>
          <cell r="C43" t="str">
            <v>490-4769/01</v>
          </cell>
          <cell r="D43" t="str">
            <v>Copertura sostitutiva unita' linea (MSH51C)</v>
          </cell>
          <cell r="E43" t="str">
            <v>available</v>
          </cell>
          <cell r="G43" t="str">
            <v>490-4769/01</v>
          </cell>
          <cell r="H43" t="str">
            <v>331-1110/02</v>
          </cell>
        </row>
        <row r="44">
          <cell r="E44">
            <v>0</v>
          </cell>
        </row>
        <row r="45">
          <cell r="D45" t="str">
            <v>UNITA' WDM INTEGRATO</v>
          </cell>
          <cell r="E45">
            <v>0</v>
          </cell>
        </row>
        <row r="46">
          <cell r="B46">
            <v>15</v>
          </cell>
          <cell r="C46" t="str">
            <v>491-2713/02</v>
          </cell>
          <cell r="D46" t="str">
            <v>Unita' MUX/DEMUX 2 Canali WDM BIDIREZIONALE (FC) EST  (TYPE 2)</v>
          </cell>
          <cell r="E46" t="str">
            <v>available</v>
          </cell>
          <cell r="G46" t="str">
            <v>491-2713/02</v>
          </cell>
          <cell r="H46" t="str">
            <v>131-9542/02</v>
          </cell>
        </row>
        <row r="47">
          <cell r="B47">
            <v>16</v>
          </cell>
          <cell r="C47" t="str">
            <v>491-2713/04</v>
          </cell>
          <cell r="D47" t="str">
            <v>Unita' MUX/DEMUX 2 Canali WDM BIDIREZIONALE (FC) OVEST  (TYPE 2)</v>
          </cell>
          <cell r="E47" t="str">
            <v>available</v>
          </cell>
          <cell r="G47" t="str">
            <v>491-2713/04</v>
          </cell>
          <cell r="H47" t="str">
            <v>131-9543/02</v>
          </cell>
        </row>
        <row r="48">
          <cell r="B48">
            <v>17</v>
          </cell>
          <cell r="C48" t="str">
            <v xml:space="preserve">491-1593/8x </v>
          </cell>
          <cell r="D48" t="str">
            <v>L-16.2 OPTICAL/MUX UNIT PER 2-CH WDM (FC)</v>
          </cell>
          <cell r="E48" t="str">
            <v>available</v>
          </cell>
          <cell r="G48" t="str">
            <v xml:space="preserve">491-1593/8x </v>
          </cell>
          <cell r="H48" t="str">
            <v xml:space="preserve">131-8828/8x </v>
          </cell>
        </row>
        <row r="49">
          <cell r="E49">
            <v>0</v>
          </cell>
        </row>
        <row r="50">
          <cell r="D50" t="str">
            <v>PREAMPLIFICATORI</v>
          </cell>
          <cell r="E50">
            <v>0</v>
          </cell>
        </row>
        <row r="51">
          <cell r="B51">
            <v>18</v>
          </cell>
          <cell r="C51" t="str">
            <v>491-2720/02</v>
          </cell>
          <cell r="D51" t="str">
            <v>Unita' preamplificatore ottico</v>
          </cell>
          <cell r="E51" t="str">
            <v>available</v>
          </cell>
          <cell r="G51" t="str">
            <v>491-2720/02</v>
          </cell>
          <cell r="H51" t="str">
            <v>131-9705/22</v>
          </cell>
        </row>
        <row r="52">
          <cell r="E52">
            <v>0</v>
          </cell>
        </row>
        <row r="53">
          <cell r="D53" t="str">
            <v>BOOSTER</v>
          </cell>
          <cell r="E53">
            <v>0</v>
          </cell>
        </row>
        <row r="54">
          <cell r="B54">
            <v>19</v>
          </cell>
          <cell r="C54" t="str">
            <v>490-9186/02</v>
          </cell>
          <cell r="D54" t="str">
            <v>Booster +10dBm</v>
          </cell>
          <cell r="E54" t="str">
            <v>available</v>
          </cell>
          <cell r="G54" t="str">
            <v>490-9186/02</v>
          </cell>
          <cell r="H54" t="str">
            <v>131-9117/21</v>
          </cell>
        </row>
        <row r="55">
          <cell r="B55">
            <v>20</v>
          </cell>
          <cell r="C55" t="str">
            <v>490-9187/02</v>
          </cell>
          <cell r="D55" t="str">
            <v>Booster +12dBm</v>
          </cell>
          <cell r="E55" t="str">
            <v>available</v>
          </cell>
          <cell r="G55" t="str">
            <v>490-9187/02</v>
          </cell>
          <cell r="H55" t="str">
            <v>131-9117/22</v>
          </cell>
        </row>
        <row r="56">
          <cell r="B56">
            <v>21</v>
          </cell>
          <cell r="C56" t="str">
            <v>490-5488/02</v>
          </cell>
          <cell r="D56" t="str">
            <v>Booster +16dBm</v>
          </cell>
          <cell r="E56" t="str">
            <v>available</v>
          </cell>
          <cell r="G56" t="str">
            <v>490-5488/02</v>
          </cell>
          <cell r="H56" t="str">
            <v>131-9117/24</v>
          </cell>
        </row>
        <row r="57">
          <cell r="B57">
            <v>22</v>
          </cell>
          <cell r="C57" t="str">
            <v>491-2718/02</v>
          </cell>
          <cell r="D57" t="str">
            <v>Booster +17dBm</v>
          </cell>
          <cell r="E57" t="str">
            <v>available</v>
          </cell>
          <cell r="G57" t="str">
            <v>491-2718/02</v>
          </cell>
          <cell r="H57" t="str">
            <v>131-9117/25</v>
          </cell>
        </row>
        <row r="58">
          <cell r="B58">
            <v>23</v>
          </cell>
          <cell r="C58" t="str">
            <v>490-4552/01</v>
          </cell>
          <cell r="D58" t="str">
            <v>Kit cavi per booster/preamplificatore/WDM</v>
          </cell>
          <cell r="E58" t="str">
            <v>available</v>
          </cell>
          <cell r="G58" t="str">
            <v>490-4552/01</v>
          </cell>
          <cell r="H58" t="str">
            <v>131-9369/21</v>
          </cell>
        </row>
        <row r="59">
          <cell r="E59">
            <v>0</v>
          </cell>
        </row>
        <row r="60">
          <cell r="D60" t="str">
            <v>INTERFACCE DI TRIBUTARIO</v>
          </cell>
          <cell r="E60">
            <v>0</v>
          </cell>
        </row>
        <row r="61">
          <cell r="B61">
            <v>24</v>
          </cell>
          <cell r="C61" t="str">
            <v>494-5382/01</v>
          </cell>
          <cell r="D61" t="str">
            <v>Interfaccia 4x140/155Mb/s elettrica (no card protect.)</v>
          </cell>
          <cell r="E61">
            <v>0</v>
          </cell>
        </row>
        <row r="62">
          <cell r="D62" t="str">
            <v>Unita` 4xSTM-1 elettrica/140Mb/s</v>
          </cell>
          <cell r="E62" t="str">
            <v>available</v>
          </cell>
          <cell r="F62">
            <v>1</v>
          </cell>
          <cell r="G62" t="str">
            <v>491-0815/01</v>
          </cell>
          <cell r="H62" t="str">
            <v>131-9122/02</v>
          </cell>
        </row>
        <row r="63">
          <cell r="D63" t="str">
            <v>Modulo Interfaccia per unita` 4x140/155Mb/s</v>
          </cell>
          <cell r="E63" t="str">
            <v>available</v>
          </cell>
          <cell r="F63">
            <v>1</v>
          </cell>
          <cell r="G63" t="str">
            <v>490-5393/01</v>
          </cell>
          <cell r="H63" t="str">
            <v>131-9067/01</v>
          </cell>
        </row>
        <row r="64">
          <cell r="D64" t="str">
            <v>Set connettori per 1x140/155Mb/s</v>
          </cell>
          <cell r="E64" t="str">
            <v>available</v>
          </cell>
          <cell r="F64">
            <v>4</v>
          </cell>
          <cell r="G64" t="str">
            <v>490-3288/01</v>
          </cell>
          <cell r="H64" t="str">
            <v>131-6925/03</v>
          </cell>
        </row>
        <row r="65">
          <cell r="B65">
            <v>25</v>
          </cell>
          <cell r="C65" t="str">
            <v>494-5383/01</v>
          </cell>
          <cell r="D65" t="str">
            <v>Interfaccia 4x140/155Mb/s elettrica (si card protect.)</v>
          </cell>
          <cell r="E65">
            <v>0</v>
          </cell>
        </row>
        <row r="66">
          <cell r="D66" t="str">
            <v>Unita` 4xSTM-1 elettrica/140Mb/s</v>
          </cell>
          <cell r="E66" t="str">
            <v>available</v>
          </cell>
          <cell r="F66">
            <v>1</v>
          </cell>
          <cell r="G66" t="str">
            <v>491-0815/01</v>
          </cell>
          <cell r="H66" t="str">
            <v>131-9122/02</v>
          </cell>
        </row>
        <row r="67">
          <cell r="D67" t="str">
            <v>Modulo Interfaccia per unita` 4x140/155Mb/s protegg.</v>
          </cell>
          <cell r="E67" t="str">
            <v>available</v>
          </cell>
          <cell r="F67">
            <v>1</v>
          </cell>
          <cell r="G67" t="str">
            <v>490-5745/01</v>
          </cell>
          <cell r="H67" t="str">
            <v>131-8978/01</v>
          </cell>
        </row>
        <row r="68">
          <cell r="D68" t="str">
            <v>Set connettori per 1x140/155Mb/s</v>
          </cell>
          <cell r="E68" t="str">
            <v>available</v>
          </cell>
          <cell r="F68">
            <v>4</v>
          </cell>
          <cell r="G68" t="str">
            <v>490-3288/01</v>
          </cell>
          <cell r="H68" t="str">
            <v>131-6925/03</v>
          </cell>
        </row>
        <row r="69">
          <cell r="B69">
            <v>26</v>
          </cell>
          <cell r="C69" t="str">
            <v>494-5384/01</v>
          </cell>
          <cell r="D69" t="str">
            <v>Porta 4x140/155Mb/s elettrica per card protection</v>
          </cell>
          <cell r="E69">
            <v>0</v>
          </cell>
        </row>
        <row r="70">
          <cell r="D70" t="str">
            <v>Unita` 4xSTM-1 elettrica/140Mb/s</v>
          </cell>
          <cell r="E70" t="str">
            <v>available</v>
          </cell>
          <cell r="F70">
            <v>1</v>
          </cell>
          <cell r="G70" t="str">
            <v>491-0815/01</v>
          </cell>
          <cell r="H70" t="str">
            <v>131-9122/02</v>
          </cell>
        </row>
        <row r="71">
          <cell r="D71" t="str">
            <v>Modulo protezione 2x140/155Mb/s</v>
          </cell>
          <cell r="E71" t="str">
            <v>available</v>
          </cell>
          <cell r="F71">
            <v>2</v>
          </cell>
          <cell r="G71" t="str">
            <v>490-8538/01</v>
          </cell>
          <cell r="H71" t="str">
            <v>131-8979/01</v>
          </cell>
        </row>
        <row r="72">
          <cell r="B72">
            <v>27</v>
          </cell>
          <cell r="C72" t="str">
            <v>494-5402/01</v>
          </cell>
          <cell r="D72" t="str">
            <v>Porta 4x140/155Mb/s elettrica per protezione MSP 1:N (N=1..8)</v>
          </cell>
          <cell r="E72">
            <v>0</v>
          </cell>
        </row>
        <row r="73">
          <cell r="D73" t="str">
            <v>Unita` 4xSTM-1 elettrica/140Mb/s</v>
          </cell>
          <cell r="E73" t="str">
            <v>available</v>
          </cell>
          <cell r="F73">
            <v>1</v>
          </cell>
          <cell r="G73" t="str">
            <v>491-0815/01</v>
          </cell>
          <cell r="H73" t="str">
            <v>131-9122/02</v>
          </cell>
        </row>
        <row r="74">
          <cell r="D74" t="str">
            <v>Modulo Interfaccia per unita` 2x140/155Mb/s</v>
          </cell>
          <cell r="E74" t="str">
            <v>available</v>
          </cell>
          <cell r="F74">
            <v>2</v>
          </cell>
          <cell r="G74" t="str">
            <v>490-8536/01</v>
          </cell>
          <cell r="H74" t="str">
            <v>131-9067/02</v>
          </cell>
        </row>
        <row r="75">
          <cell r="D75" t="str">
            <v>Set connettori per 1x140/155Mb/s</v>
          </cell>
          <cell r="E75" t="str">
            <v>available</v>
          </cell>
          <cell r="F75">
            <v>4</v>
          </cell>
          <cell r="G75" t="str">
            <v>490-3288/01</v>
          </cell>
          <cell r="H75" t="str">
            <v>131-6925/03</v>
          </cell>
        </row>
        <row r="76">
          <cell r="B76">
            <v>28</v>
          </cell>
          <cell r="C76" t="str">
            <v>490-4771/01</v>
          </cell>
          <cell r="D76" t="str">
            <v>Copertura sostitutiva modulo interfaccia</v>
          </cell>
          <cell r="E76" t="str">
            <v>available</v>
          </cell>
          <cell r="G76" t="str">
            <v>490-4771/01</v>
          </cell>
          <cell r="H76" t="str">
            <v>331-2300/01</v>
          </cell>
        </row>
        <row r="77">
          <cell r="B77">
            <v>29</v>
          </cell>
          <cell r="C77" t="str">
            <v>490-8476/02</v>
          </cell>
          <cell r="D77" t="str">
            <v>Unita' porta ottica 2xSTM-1 S-1.1</v>
          </cell>
          <cell r="E77" t="str">
            <v>available</v>
          </cell>
          <cell r="G77" t="str">
            <v>490-8476/02</v>
          </cell>
          <cell r="H77" t="str">
            <v>131-9426/23</v>
          </cell>
        </row>
        <row r="78">
          <cell r="B78">
            <v>30</v>
          </cell>
          <cell r="C78" t="str">
            <v>490-8477/02</v>
          </cell>
          <cell r="D78" t="str">
            <v>Unita' porta ottica 2xSTM-1 L-1.1</v>
          </cell>
          <cell r="E78" t="str">
            <v>available</v>
          </cell>
          <cell r="G78" t="str">
            <v>490-8477/02</v>
          </cell>
          <cell r="H78" t="str">
            <v>131-9426/21</v>
          </cell>
        </row>
        <row r="79">
          <cell r="B79">
            <v>31</v>
          </cell>
          <cell r="C79" t="str">
            <v>490-8478/02</v>
          </cell>
          <cell r="D79" t="str">
            <v>Unita' porta ottica 2xSTM-1 L-1.2/L-1.3</v>
          </cell>
          <cell r="E79" t="str">
            <v>available</v>
          </cell>
          <cell r="G79" t="str">
            <v>490-8478/02</v>
          </cell>
          <cell r="H79" t="str">
            <v>131-9426/22</v>
          </cell>
        </row>
        <row r="80">
          <cell r="B80">
            <v>32</v>
          </cell>
          <cell r="C80" t="str">
            <v>491-4444/02</v>
          </cell>
          <cell r="D80" t="str">
            <v>Unita' porta ottica 4 x STM1 S-1.1  (SC)</v>
          </cell>
          <cell r="E80" t="str">
            <v>R5.2</v>
          </cell>
          <cell r="G80" t="str">
            <v>491-4444/02</v>
          </cell>
          <cell r="H80" t="str">
            <v>151-2302/23</v>
          </cell>
        </row>
        <row r="81">
          <cell r="B81">
            <v>33</v>
          </cell>
          <cell r="C81" t="str">
            <v>491-4446/02</v>
          </cell>
          <cell r="D81" t="str">
            <v>Unita' porta ottica 4 x STM1 L-1.1  (SC)</v>
          </cell>
          <cell r="E81" t="str">
            <v>R5.2</v>
          </cell>
          <cell r="G81" t="str">
            <v>491-4446/02</v>
          </cell>
          <cell r="H81" t="str">
            <v>151-2302/21</v>
          </cell>
        </row>
        <row r="82">
          <cell r="B82">
            <v>34</v>
          </cell>
          <cell r="C82" t="str">
            <v>491-4447/02</v>
          </cell>
          <cell r="D82" t="str">
            <v>Unita' porta ottica 4 x STM1 L-1.2/L-1.3  (SC)</v>
          </cell>
          <cell r="E82" t="str">
            <v>R5.2</v>
          </cell>
          <cell r="G82" t="str">
            <v>491-4447/02</v>
          </cell>
          <cell r="H82" t="str">
            <v>151-2302/22</v>
          </cell>
        </row>
        <row r="83">
          <cell r="B83">
            <v>35</v>
          </cell>
          <cell r="C83" t="str">
            <v xml:space="preserve"> 491-3804/02</v>
          </cell>
          <cell r="D83" t="str">
            <v>Unita' porta ottica STM-4 S-4.1</v>
          </cell>
          <cell r="E83" t="str">
            <v>available</v>
          </cell>
          <cell r="G83" t="str">
            <v xml:space="preserve"> 491-3804/02</v>
          </cell>
          <cell r="H83" t="str">
            <v>131-8681/29</v>
          </cell>
        </row>
        <row r="84">
          <cell r="B84">
            <v>36</v>
          </cell>
          <cell r="C84" t="str">
            <v xml:space="preserve"> 491-3805/02</v>
          </cell>
          <cell r="D84" t="str">
            <v>Unita' porta ottica STM-4 L-4.1</v>
          </cell>
          <cell r="E84" t="str">
            <v>available</v>
          </cell>
          <cell r="G84" t="str">
            <v xml:space="preserve"> 491-3805/02</v>
          </cell>
          <cell r="H84" t="str">
            <v>131-8681/28</v>
          </cell>
        </row>
        <row r="85">
          <cell r="B85">
            <v>37</v>
          </cell>
          <cell r="C85" t="str">
            <v>490-8481/02</v>
          </cell>
          <cell r="D85" t="str">
            <v>Unita' porta ottica STM-4 L-4.2/L-4.3</v>
          </cell>
          <cell r="E85" t="str">
            <v>available</v>
          </cell>
          <cell r="G85" t="str">
            <v>490-8481/02</v>
          </cell>
          <cell r="H85" t="str">
            <v>131-8681/24</v>
          </cell>
        </row>
        <row r="86">
          <cell r="B86">
            <v>38</v>
          </cell>
          <cell r="C86" t="str">
            <v>490-9202/02</v>
          </cell>
          <cell r="D86" t="str">
            <v>Unita' porta ottica STM-4 JE-4.2/JE-4.3</v>
          </cell>
          <cell r="E86" t="str">
            <v>available</v>
          </cell>
          <cell r="G86" t="str">
            <v>490-9202/02</v>
          </cell>
          <cell r="H86" t="str">
            <v>131-8681/25</v>
          </cell>
        </row>
        <row r="87">
          <cell r="B87">
            <v>39</v>
          </cell>
          <cell r="C87" t="str">
            <v>490-9203/02</v>
          </cell>
          <cell r="D87" t="str">
            <v>Unita' porta ottica STM-4 L-4.2 per booster</v>
          </cell>
          <cell r="E87" t="str">
            <v>available</v>
          </cell>
          <cell r="G87" t="str">
            <v>490-9203/02</v>
          </cell>
          <cell r="H87" t="str">
            <v>131-8681/26</v>
          </cell>
        </row>
        <row r="88">
          <cell r="B88">
            <v>40</v>
          </cell>
          <cell r="C88" t="str">
            <v>490-4556/01</v>
          </cell>
          <cell r="D88" t="str">
            <v>Copertura sostitutiva unita' tributario/booster (MSH51C)</v>
          </cell>
          <cell r="E88" t="str">
            <v>available</v>
          </cell>
          <cell r="G88" t="str">
            <v>490-4556/01</v>
          </cell>
          <cell r="H88" t="str">
            <v>331-1918/01</v>
          </cell>
        </row>
        <row r="89">
          <cell r="E89">
            <v>0</v>
          </cell>
        </row>
        <row r="90">
          <cell r="D90" t="str">
            <v>CANALI AUSILIARI</v>
          </cell>
          <cell r="E90">
            <v>0</v>
          </cell>
        </row>
        <row r="91">
          <cell r="B91">
            <v>41</v>
          </cell>
          <cell r="C91" t="str">
            <v>494-5386/01</v>
          </cell>
          <cell r="D91" t="str">
            <v>Unità ausiliari EOW/DATI MSH51C</v>
          </cell>
          <cell r="E91">
            <v>0</v>
          </cell>
        </row>
        <row r="92">
          <cell r="D92" t="str">
            <v>Unita' ausiliaria</v>
          </cell>
          <cell r="E92" t="str">
            <v>available</v>
          </cell>
          <cell r="F92">
            <v>1</v>
          </cell>
          <cell r="G92" t="str">
            <v>490-5021/01</v>
          </cell>
          <cell r="H92" t="str">
            <v>131-8690/01</v>
          </cell>
        </row>
        <row r="93">
          <cell r="D93" t="str">
            <v>Modulo di interfaccia ausiliaria (ty A)</v>
          </cell>
          <cell r="E93" t="str">
            <v>available</v>
          </cell>
          <cell r="F93">
            <v>1</v>
          </cell>
          <cell r="G93" t="str">
            <v>490-5390/01</v>
          </cell>
          <cell r="H93" t="str">
            <v>131-9068/01</v>
          </cell>
        </row>
        <row r="94">
          <cell r="D94" t="str">
            <v>Set connettori per unita' ausiliaria</v>
          </cell>
          <cell r="E94" t="str">
            <v>available</v>
          </cell>
          <cell r="F94">
            <v>1</v>
          </cell>
          <cell r="G94" t="str">
            <v>490-9216/01</v>
          </cell>
          <cell r="H94" t="str">
            <v>131-9313/01</v>
          </cell>
        </row>
        <row r="95">
          <cell r="B95">
            <v>42</v>
          </cell>
          <cell r="C95" t="str">
            <v>490-2002/01</v>
          </cell>
          <cell r="D95" t="str">
            <v>Copertura sostitutiva unita' ausiliaria</v>
          </cell>
          <cell r="E95" t="str">
            <v>available</v>
          </cell>
          <cell r="G95" t="str">
            <v>490-2002/01</v>
          </cell>
          <cell r="H95" t="str">
            <v>331-0826/02</v>
          </cell>
        </row>
        <row r="96">
          <cell r="B96">
            <v>43</v>
          </cell>
          <cell r="C96" t="str">
            <v>490-4771/01</v>
          </cell>
          <cell r="D96" t="str">
            <v>Copertura sostitutiva modulo i/f per aux MSH51C</v>
          </cell>
          <cell r="E96" t="str">
            <v>available</v>
          </cell>
          <cell r="G96" t="str">
            <v>490-4771/01</v>
          </cell>
          <cell r="H96" t="str">
            <v>331-2300/01</v>
          </cell>
        </row>
        <row r="97">
          <cell r="E97">
            <v>0</v>
          </cell>
        </row>
        <row r="98">
          <cell r="D98" t="str">
            <v>ACCESSORI</v>
          </cell>
          <cell r="E98">
            <v>0</v>
          </cell>
        </row>
        <row r="99">
          <cell r="B99">
            <v>44</v>
          </cell>
          <cell r="C99" t="str">
            <v>490-5385/01</v>
          </cell>
          <cell r="D99" t="str">
            <v>Modulo I/F per POWER SUPPLY</v>
          </cell>
          <cell r="E99" t="str">
            <v>available</v>
          </cell>
          <cell r="G99" t="str">
            <v>490-5385/01</v>
          </cell>
          <cell r="H99" t="str">
            <v>131-9072/01</v>
          </cell>
        </row>
        <row r="100">
          <cell r="B100">
            <v>45</v>
          </cell>
          <cell r="C100" t="str">
            <v>490-5386/01</v>
          </cell>
          <cell r="D100" t="str">
            <v>Modulo I/F per allarmi e F I/f</v>
          </cell>
          <cell r="E100" t="str">
            <v>available</v>
          </cell>
          <cell r="G100" t="str">
            <v>490-5386/01</v>
          </cell>
          <cell r="H100" t="str">
            <v>131-9071/01</v>
          </cell>
        </row>
        <row r="101">
          <cell r="B101">
            <v>46</v>
          </cell>
          <cell r="C101" t="str">
            <v>490-5743/01</v>
          </cell>
          <cell r="D101" t="str">
            <v>Modulo I/F per POWER SUPPLY e Q (UTP ETHERNET)</v>
          </cell>
          <cell r="E101" t="str">
            <v>available</v>
          </cell>
          <cell r="G101" t="str">
            <v>490-5743/01</v>
          </cell>
          <cell r="H101" t="str">
            <v>131-9072/04</v>
          </cell>
        </row>
        <row r="102">
          <cell r="B102">
            <v>47</v>
          </cell>
          <cell r="C102" t="str">
            <v>490-5389/01</v>
          </cell>
          <cell r="D102" t="str">
            <v>Modulo interfaccia sincronizzazione</v>
          </cell>
          <cell r="E102" t="str">
            <v>available</v>
          </cell>
          <cell r="G102" t="str">
            <v>490-5389/01</v>
          </cell>
          <cell r="H102" t="str">
            <v>131-9069/01</v>
          </cell>
        </row>
        <row r="103">
          <cell r="B103">
            <v>48</v>
          </cell>
          <cell r="C103" t="str">
            <v>490-5393/01</v>
          </cell>
          <cell r="D103" t="str">
            <v>Modulo Interfaccia per unita` 4x140/155Mb/s</v>
          </cell>
          <cell r="E103" t="str">
            <v>available</v>
          </cell>
          <cell r="G103" t="str">
            <v>490-5393/01</v>
          </cell>
          <cell r="H103" t="str">
            <v>131-9067/01</v>
          </cell>
        </row>
        <row r="104">
          <cell r="B104">
            <v>49</v>
          </cell>
          <cell r="C104" t="str">
            <v>490-5745/01</v>
          </cell>
          <cell r="D104" t="str">
            <v>Modulo Interfaccia per unita` 4x140/155Mb/s protegg.</v>
          </cell>
          <cell r="E104" t="str">
            <v>available</v>
          </cell>
          <cell r="G104" t="str">
            <v>490-5745/01</v>
          </cell>
          <cell r="H104" t="str">
            <v>131-8978/01</v>
          </cell>
        </row>
        <row r="105">
          <cell r="B105">
            <v>50</v>
          </cell>
          <cell r="C105" t="str">
            <v>490-8538/01</v>
          </cell>
          <cell r="D105" t="str">
            <v>Modulo protezione 2x140/155Mb/s</v>
          </cell>
          <cell r="E105" t="str">
            <v>available</v>
          </cell>
          <cell r="G105" t="str">
            <v>490-8538/01</v>
          </cell>
          <cell r="H105" t="str">
            <v>131-8979/01</v>
          </cell>
        </row>
        <row r="106">
          <cell r="B106">
            <v>51</v>
          </cell>
          <cell r="C106" t="str">
            <v>490-8536/01</v>
          </cell>
          <cell r="D106" t="str">
            <v>Modulo Interfaccia per unita` 2x140/155Mb/s</v>
          </cell>
          <cell r="E106" t="str">
            <v>available</v>
          </cell>
          <cell r="G106" t="str">
            <v>490-8536/01</v>
          </cell>
          <cell r="H106" t="str">
            <v>131-9067/02</v>
          </cell>
        </row>
        <row r="107">
          <cell r="B107">
            <v>52</v>
          </cell>
          <cell r="C107" t="str">
            <v>490-5390/01</v>
          </cell>
          <cell r="D107" t="str">
            <v>Modulo di interfaccia ausiliaria (ty A)</v>
          </cell>
          <cell r="E107" t="str">
            <v>available</v>
          </cell>
          <cell r="G107" t="str">
            <v>490-5390/01</v>
          </cell>
          <cell r="H107" t="str">
            <v>131-9068/01</v>
          </cell>
        </row>
        <row r="108">
          <cell r="B108">
            <v>53</v>
          </cell>
          <cell r="C108" t="str">
            <v>490-3359/01</v>
          </cell>
          <cell r="D108" t="str">
            <v>Microtelefono</v>
          </cell>
          <cell r="E108" t="str">
            <v>available</v>
          </cell>
          <cell r="G108" t="str">
            <v>490-3359/01</v>
          </cell>
          <cell r="H108" t="str">
            <v>68653-42/003</v>
          </cell>
        </row>
        <row r="109">
          <cell r="B109">
            <v>54</v>
          </cell>
          <cell r="C109" t="str">
            <v>490-8492/01</v>
          </cell>
          <cell r="D109" t="str">
            <v>Set cavetti di test MSH51C</v>
          </cell>
          <cell r="E109" t="str">
            <v>available</v>
          </cell>
          <cell r="G109" t="str">
            <v>490-8492/01</v>
          </cell>
          <cell r="H109" t="str">
            <v>131-6940/01</v>
          </cell>
        </row>
        <row r="110">
          <cell r="B110">
            <v>55</v>
          </cell>
          <cell r="C110" t="str">
            <v>490-7952/05</v>
          </cell>
          <cell r="D110" t="str">
            <v>Kit supporto canalina fibre ottiche</v>
          </cell>
          <cell r="E110" t="str">
            <v>available</v>
          </cell>
          <cell r="G110" t="str">
            <v>490-7952/05</v>
          </cell>
          <cell r="H110" t="str">
            <v>131-6870/05</v>
          </cell>
        </row>
        <row r="111">
          <cell r="B111">
            <v>56</v>
          </cell>
          <cell r="C111" t="str">
            <v>490-5222/31</v>
          </cell>
          <cell r="D111" t="str">
            <v>Copertura protezione fibra ottica</v>
          </cell>
          <cell r="E111" t="str">
            <v>available</v>
          </cell>
          <cell r="G111" t="str">
            <v>490-5222/31</v>
          </cell>
          <cell r="H111" t="str">
            <v>131-7503/04</v>
          </cell>
        </row>
        <row r="112">
          <cell r="B112">
            <v>57</v>
          </cell>
          <cell r="C112" t="str">
            <v>139-2007/52</v>
          </cell>
          <cell r="D112" t="str">
            <v>Manuale Base MSH51C Rel 5.1 (italiano)</v>
          </cell>
          <cell r="E112">
            <v>0</v>
          </cell>
          <cell r="H112" t="str">
            <v>139-2007/52</v>
          </cell>
        </row>
        <row r="113">
          <cell r="B113">
            <v>58</v>
          </cell>
          <cell r="C113" t="str">
            <v>139-3007/52</v>
          </cell>
          <cell r="D113" t="str">
            <v>CD-Manuale Base MSH51C Rel 5.1 (italiano)</v>
          </cell>
          <cell r="E113">
            <v>0</v>
          </cell>
          <cell r="H113" t="str">
            <v>139-3007/52</v>
          </cell>
        </row>
        <row r="114">
          <cell r="B114">
            <v>59</v>
          </cell>
          <cell r="C114" t="str">
            <v>139-9048/52</v>
          </cell>
          <cell r="D114" t="str">
            <v>Documentazione Estesa MSH51C Rel 5.1 (italiano)</v>
          </cell>
          <cell r="E114">
            <v>0</v>
          </cell>
          <cell r="H114" t="str">
            <v>139-9048/52</v>
          </cell>
        </row>
        <row r="115">
          <cell r="B115">
            <v>60</v>
          </cell>
          <cell r="C115" t="str">
            <v>491-3732/01</v>
          </cell>
          <cell r="D115" t="str">
            <v>Attenuatore fisso da 10dB per preamplificatore</v>
          </cell>
          <cell r="E115" t="str">
            <v>available</v>
          </cell>
          <cell r="G115" t="str">
            <v>491-3732/01</v>
          </cell>
          <cell r="H115" t="str">
            <v>131-9808/22</v>
          </cell>
        </row>
        <row r="116">
          <cell r="B116">
            <v>61</v>
          </cell>
          <cell r="C116" t="str">
            <v>491-3040/01</v>
          </cell>
          <cell r="D116" t="str">
            <v>Copertura protezione fibra ottica (doppio canale con safety label)</v>
          </cell>
          <cell r="E116" t="str">
            <v>available</v>
          </cell>
          <cell r="G116" t="str">
            <v>491-3040/01</v>
          </cell>
          <cell r="H116" t="str">
            <v>131-9548/03</v>
          </cell>
        </row>
        <row r="117">
          <cell r="B117">
            <v>62</v>
          </cell>
          <cell r="C117" t="str">
            <v>491-3040/02</v>
          </cell>
          <cell r="D117" t="str">
            <v>Copertura protezione fibra ottica (doppio canale senza safety label)</v>
          </cell>
          <cell r="E117" t="str">
            <v>available</v>
          </cell>
          <cell r="G117" t="str">
            <v>491-3040/02</v>
          </cell>
          <cell r="H117" t="str">
            <v>131-9548/04</v>
          </cell>
        </row>
        <row r="118">
          <cell r="B118">
            <v>63</v>
          </cell>
          <cell r="C118" t="str">
            <v>490-4993/01</v>
          </cell>
          <cell r="D118" t="str">
            <v>Cavo seriale e connettore</v>
          </cell>
          <cell r="E118" t="str">
            <v>available</v>
          </cell>
          <cell r="G118" t="str">
            <v>490-4993/01</v>
          </cell>
        </row>
        <row r="119">
          <cell r="E119">
            <v>0</v>
          </cell>
        </row>
        <row r="120">
          <cell r="D120" t="str">
            <v>TERMINALE ACCESSO LOCALE PER APPARATI SDH</v>
          </cell>
          <cell r="E120">
            <v>0</v>
          </cell>
        </row>
        <row r="121">
          <cell r="B121">
            <v>64</v>
          </cell>
          <cell r="C121" t="str">
            <v>494-7737/02</v>
          </cell>
          <cell r="D121" t="str">
            <v>Piattaforma per TAL SDH (portatile)</v>
          </cell>
          <cell r="E121">
            <v>0</v>
          </cell>
        </row>
        <row r="122">
          <cell r="D122" t="str">
            <v>Personal computer (portatile)</v>
          </cell>
          <cell r="E122" t="str">
            <v>available</v>
          </cell>
          <cell r="F122">
            <v>1</v>
          </cell>
          <cell r="G122" t="str">
            <v>491-3764/01</v>
          </cell>
          <cell r="I122" t="str">
            <v>a)</v>
          </cell>
        </row>
        <row r="123">
          <cell r="D123" t="str">
            <v>Cavo seriale e connettore</v>
          </cell>
          <cell r="E123" t="str">
            <v>available</v>
          </cell>
          <cell r="F123">
            <v>1</v>
          </cell>
          <cell r="G123" t="str">
            <v>490-4993/01</v>
          </cell>
          <cell r="I123" t="str">
            <v>b)</v>
          </cell>
        </row>
        <row r="124">
          <cell r="D124" t="str">
            <v>Sistema operativo (NT.4)</v>
          </cell>
          <cell r="E124" t="str">
            <v>available</v>
          </cell>
          <cell r="F124">
            <v>1</v>
          </cell>
          <cell r="G124" t="str">
            <v>491-0722/01</v>
          </cell>
          <cell r="I124" t="str">
            <v>c)</v>
          </cell>
        </row>
        <row r="125">
          <cell r="E125">
            <v>0</v>
          </cell>
        </row>
        <row r="126">
          <cell r="D126" t="str">
            <v>Software applicativo Marconi LCT SDH (basato su MS Windows)</v>
          </cell>
          <cell r="E126">
            <v>0</v>
          </cell>
        </row>
        <row r="127">
          <cell r="B127">
            <v>65</v>
          </cell>
          <cell r="C127" t="str">
            <v>490-9796/09</v>
          </cell>
          <cell r="D127" t="str">
            <v>APPL. SW Marconi per Apparati STM16</v>
          </cell>
          <cell r="E127" t="str">
            <v>available</v>
          </cell>
          <cell r="G127" t="str">
            <v>490-9796/09</v>
          </cell>
        </row>
        <row r="128">
          <cell r="E128">
            <v>0</v>
          </cell>
        </row>
        <row r="129">
          <cell r="D129" t="str">
            <v>SW applicativo Licenze NE per operare (1 per ogni apparato)</v>
          </cell>
          <cell r="E129">
            <v>0</v>
          </cell>
        </row>
        <row r="130">
          <cell r="B130">
            <v>66</v>
          </cell>
          <cell r="C130" t="str">
            <v>NJ21D</v>
          </cell>
          <cell r="D130" t="str">
            <v>MSH51C-STM16 Apparato Add-Drop</v>
          </cell>
          <cell r="E130" t="str">
            <v>available</v>
          </cell>
          <cell r="G130" t="str">
            <v>NJ21D</v>
          </cell>
        </row>
        <row r="131">
          <cell r="E131">
            <v>0</v>
          </cell>
        </row>
        <row r="132">
          <cell r="D132" t="str">
            <v>Licenza di connessione al SW applicativo EM (MV36) (1 per ogni apparato)</v>
          </cell>
          <cell r="E132">
            <v>0</v>
          </cell>
        </row>
        <row r="133">
          <cell r="B133">
            <v>67</v>
          </cell>
          <cell r="C133" t="str">
            <v>NJ22D</v>
          </cell>
          <cell r="D133" t="str">
            <v>MSH51C - STM-16 Apparato Add-Drop</v>
          </cell>
          <cell r="E133" t="str">
            <v>available</v>
          </cell>
          <cell r="G133" t="str">
            <v>NJ22D</v>
          </cell>
        </row>
        <row r="134">
          <cell r="E134">
            <v>0</v>
          </cell>
        </row>
        <row r="135">
          <cell r="D135" t="str">
            <v>Licenza di connessione al SW applicativo EM (MV38) (1 per ogni apparato)</v>
          </cell>
          <cell r="E135">
            <v>0</v>
          </cell>
        </row>
        <row r="136">
          <cell r="B136">
            <v>68</v>
          </cell>
          <cell r="C136" t="str">
            <v>491-1344/03</v>
          </cell>
          <cell r="D136" t="str">
            <v>MSH51C - STM-16 Apparato Add-Drop</v>
          </cell>
          <cell r="E136" t="str">
            <v>available</v>
          </cell>
          <cell r="G136" t="str">
            <v>491-1344/03</v>
          </cell>
        </row>
        <row r="137">
          <cell r="E137">
            <v>0</v>
          </cell>
        </row>
        <row r="138">
          <cell r="D138" t="str">
            <v>SCORTE</v>
          </cell>
          <cell r="E138">
            <v>0</v>
          </cell>
        </row>
        <row r="139">
          <cell r="B139">
            <v>69</v>
          </cell>
          <cell r="C139" t="str">
            <v>490-9630/02</v>
          </cell>
          <cell r="D139" t="str">
            <v>Unita` End of shelf</v>
          </cell>
          <cell r="E139" t="str">
            <v>available</v>
          </cell>
          <cell r="G139" t="str">
            <v>490-9630/02</v>
          </cell>
          <cell r="H139" t="str">
            <v>131-8760/02</v>
          </cell>
        </row>
        <row r="140">
          <cell r="B140">
            <v>70</v>
          </cell>
          <cell r="C140" t="str">
            <v>491-0666/01</v>
          </cell>
          <cell r="D140" t="str">
            <v>Unita` matrice</v>
          </cell>
          <cell r="E140" t="str">
            <v>available</v>
          </cell>
          <cell r="G140" t="str">
            <v>491-0666/01</v>
          </cell>
          <cell r="H140" t="str">
            <v>131-8822/02</v>
          </cell>
        </row>
        <row r="141">
          <cell r="B141">
            <v>71</v>
          </cell>
          <cell r="C141" t="str">
            <v>490-7953/02</v>
          </cell>
          <cell r="D141" t="str">
            <v>Unita` di controllo e comunicazione con Int.Q (tipo B)</v>
          </cell>
          <cell r="E141" t="str">
            <v>available</v>
          </cell>
          <cell r="G141" t="str">
            <v>490-7953/02</v>
          </cell>
          <cell r="H141" t="str">
            <v>131-8679/02</v>
          </cell>
        </row>
        <row r="142">
          <cell r="B142">
            <v>72</v>
          </cell>
          <cell r="C142" t="str">
            <v>490-8482/02</v>
          </cell>
          <cell r="D142" t="str">
            <v>Unita' porta ottica STM-16 S-16.1</v>
          </cell>
          <cell r="E142" t="str">
            <v>available</v>
          </cell>
          <cell r="G142" t="str">
            <v>490-8482/02</v>
          </cell>
          <cell r="H142" t="str">
            <v>131-8828/22</v>
          </cell>
        </row>
        <row r="143">
          <cell r="B143">
            <v>73</v>
          </cell>
          <cell r="C143" t="str">
            <v>490-8483/02</v>
          </cell>
          <cell r="D143" t="str">
            <v>Unita' porta ottica STM-16 L-16.1</v>
          </cell>
          <cell r="E143" t="str">
            <v>available</v>
          </cell>
          <cell r="G143" t="str">
            <v>490-8483/02</v>
          </cell>
          <cell r="H143" t="str">
            <v>131-8828/24</v>
          </cell>
        </row>
        <row r="144">
          <cell r="B144">
            <v>74</v>
          </cell>
          <cell r="C144" t="str">
            <v>490-8484/02</v>
          </cell>
          <cell r="D144" t="str">
            <v>Unita' porta ottica STM-16 L-16.2/L-16.3</v>
          </cell>
          <cell r="E144" t="str">
            <v>available</v>
          </cell>
          <cell r="G144" t="str">
            <v>490-8484/02</v>
          </cell>
          <cell r="H144" t="str">
            <v>131-8828/21</v>
          </cell>
        </row>
        <row r="145">
          <cell r="B145">
            <v>75</v>
          </cell>
          <cell r="C145" t="str">
            <v>490-8755/02</v>
          </cell>
          <cell r="D145" t="str">
            <v>Unita' porta ottica STM-16 JE-16.2/JE-16.3</v>
          </cell>
          <cell r="E145" t="str">
            <v>available</v>
          </cell>
          <cell r="G145" t="str">
            <v>490-8755/02</v>
          </cell>
          <cell r="H145" t="str">
            <v>131-8828/23</v>
          </cell>
        </row>
        <row r="146">
          <cell r="B146">
            <v>76</v>
          </cell>
          <cell r="C146" t="str">
            <v>490-9198/02</v>
          </cell>
          <cell r="D146" t="str">
            <v>Unita' porta ottica STM-16 L-16.2 per booster. (max disp. 4800 ps/nm)</v>
          </cell>
          <cell r="E146" t="str">
            <v>available</v>
          </cell>
          <cell r="G146" t="str">
            <v>490-9198/02</v>
          </cell>
          <cell r="H146" t="str">
            <v>131-8828/26</v>
          </cell>
        </row>
        <row r="147">
          <cell r="B147">
            <v>77</v>
          </cell>
          <cell r="C147" t="str">
            <v>491-1558/xx</v>
          </cell>
          <cell r="D147" t="str">
            <v>Unita' porta ottica STM-16 per apparato WDM esterno (50 Ghz)</v>
          </cell>
          <cell r="E147" t="str">
            <v>available</v>
          </cell>
          <cell r="G147" t="str">
            <v>491-1558/xx</v>
          </cell>
          <cell r="H147" t="str">
            <v>131-9652/xx</v>
          </cell>
        </row>
        <row r="148">
          <cell r="B148">
            <v>78</v>
          </cell>
          <cell r="C148" t="str">
            <v>491-1558/xx</v>
          </cell>
          <cell r="D148" t="str">
            <v>Unita' porta ottica STM-16 per apparato WDM esterno</v>
          </cell>
          <cell r="E148" t="str">
            <v>available</v>
          </cell>
          <cell r="G148" t="str">
            <v>491-1558/xx</v>
          </cell>
          <cell r="H148" t="str">
            <v>131-9652/xx</v>
          </cell>
        </row>
        <row r="149">
          <cell r="B149">
            <v>79</v>
          </cell>
          <cell r="C149" t="str">
            <v>490-9190/02</v>
          </cell>
          <cell r="D149" t="str">
            <v>Unita' porta ottica L-16.2 (SC) per Boosters (max disp. 3300 ps/nm)</v>
          </cell>
          <cell r="E149" t="str">
            <v>available</v>
          </cell>
          <cell r="G149" t="str">
            <v>490-9190/02</v>
          </cell>
          <cell r="H149" t="str">
            <v>131-8828/25</v>
          </cell>
        </row>
        <row r="150">
          <cell r="B150">
            <v>80</v>
          </cell>
          <cell r="C150" t="str">
            <v>491-1558/09</v>
          </cell>
          <cell r="D150" t="str">
            <v>Unita' porta ottica L-16.2 (SC) per Preamplificatore (tipo B)</v>
          </cell>
          <cell r="E150" t="str">
            <v>available</v>
          </cell>
          <cell r="G150" t="str">
            <v>491-1558/09</v>
          </cell>
          <cell r="H150" t="str">
            <v>131-9652/09</v>
          </cell>
        </row>
        <row r="151">
          <cell r="B151">
            <v>81</v>
          </cell>
          <cell r="C151" t="str">
            <v>491-2720/02</v>
          </cell>
          <cell r="D151" t="str">
            <v>Unita' preamplificatore ottico</v>
          </cell>
          <cell r="E151" t="str">
            <v>available</v>
          </cell>
          <cell r="G151" t="str">
            <v>491-2720/02</v>
          </cell>
          <cell r="H151" t="str">
            <v>131-9705/22</v>
          </cell>
        </row>
        <row r="152">
          <cell r="B152">
            <v>82</v>
          </cell>
          <cell r="C152" t="str">
            <v>490-9186/02</v>
          </cell>
          <cell r="D152" t="str">
            <v>Booster +10dBm</v>
          </cell>
          <cell r="E152" t="str">
            <v>available</v>
          </cell>
          <cell r="G152" t="str">
            <v>490-9186/02</v>
          </cell>
          <cell r="H152" t="str">
            <v>131-9117/21</v>
          </cell>
        </row>
        <row r="153">
          <cell r="B153">
            <v>83</v>
          </cell>
          <cell r="C153" t="str">
            <v>490-9187/02</v>
          </cell>
          <cell r="D153" t="str">
            <v>Booster +12dBm</v>
          </cell>
          <cell r="E153" t="str">
            <v>available</v>
          </cell>
          <cell r="G153" t="str">
            <v>490-9187/02</v>
          </cell>
          <cell r="H153" t="str">
            <v>131-9117/22</v>
          </cell>
        </row>
        <row r="154">
          <cell r="B154">
            <v>84</v>
          </cell>
          <cell r="C154" t="str">
            <v>490-5488/02</v>
          </cell>
          <cell r="D154" t="str">
            <v>Booster +16dBm</v>
          </cell>
          <cell r="E154" t="str">
            <v>available</v>
          </cell>
          <cell r="G154" t="str">
            <v>490-5488/02</v>
          </cell>
          <cell r="H154" t="str">
            <v>131-9117/24</v>
          </cell>
        </row>
        <row r="155">
          <cell r="B155">
            <v>85</v>
          </cell>
          <cell r="C155" t="str">
            <v>491-2718/02</v>
          </cell>
          <cell r="D155" t="str">
            <v>Booster +17dBm</v>
          </cell>
          <cell r="E155" t="str">
            <v>available</v>
          </cell>
          <cell r="G155" t="str">
            <v>491-2718/02</v>
          </cell>
          <cell r="H155" t="str">
            <v>131-9117/25</v>
          </cell>
        </row>
        <row r="156">
          <cell r="B156">
            <v>86</v>
          </cell>
          <cell r="C156" t="str">
            <v>491-0815/01</v>
          </cell>
          <cell r="D156" t="str">
            <v>Unita` 4xSTM-1 elettrica/140Mb/s</v>
          </cell>
          <cell r="E156" t="str">
            <v>available</v>
          </cell>
          <cell r="G156" t="str">
            <v>491-0815/01</v>
          </cell>
          <cell r="H156" t="str">
            <v>131-9122/02</v>
          </cell>
        </row>
        <row r="157">
          <cell r="B157">
            <v>87</v>
          </cell>
          <cell r="C157" t="str">
            <v>490-8476/02</v>
          </cell>
          <cell r="D157" t="str">
            <v>Unita' porta ottica 2xSTM-1 S-1.1</v>
          </cell>
          <cell r="E157" t="str">
            <v>available</v>
          </cell>
          <cell r="G157" t="str">
            <v>490-8476/02</v>
          </cell>
          <cell r="H157" t="str">
            <v>131-9426/23</v>
          </cell>
        </row>
        <row r="158">
          <cell r="B158">
            <v>88</v>
          </cell>
          <cell r="C158" t="str">
            <v>490-8477/02</v>
          </cell>
          <cell r="D158" t="str">
            <v>Unita' porta ottica 2xSTM-1 L-1.1</v>
          </cell>
          <cell r="E158" t="str">
            <v>available</v>
          </cell>
          <cell r="G158" t="str">
            <v>490-8477/02</v>
          </cell>
          <cell r="H158" t="str">
            <v>131-9426/21</v>
          </cell>
        </row>
        <row r="159">
          <cell r="B159">
            <v>89</v>
          </cell>
          <cell r="C159" t="str">
            <v>490-8478/02</v>
          </cell>
          <cell r="D159" t="str">
            <v>Unita' porta ottica 2xSTM-1 L-1.2/L-1.3</v>
          </cell>
          <cell r="E159" t="str">
            <v>available</v>
          </cell>
          <cell r="G159" t="str">
            <v>490-8478/02</v>
          </cell>
          <cell r="H159" t="str">
            <v>131-9426/22</v>
          </cell>
        </row>
        <row r="160">
          <cell r="B160">
            <v>90</v>
          </cell>
          <cell r="C160" t="str">
            <v>491-4444/02</v>
          </cell>
          <cell r="D160" t="str">
            <v>Unita' porta ottica 4 x STM1 S-1.1  (SC)</v>
          </cell>
          <cell r="E160" t="str">
            <v>R5.2</v>
          </cell>
          <cell r="G160" t="str">
            <v>491-4444/02</v>
          </cell>
          <cell r="H160" t="str">
            <v>151-2302/23</v>
          </cell>
        </row>
        <row r="161">
          <cell r="B161">
            <v>91</v>
          </cell>
          <cell r="C161" t="str">
            <v>491-4446/02</v>
          </cell>
          <cell r="D161" t="str">
            <v>Unita' porta ottica 4 x STM1 L-1.1  (SC)</v>
          </cell>
          <cell r="E161" t="str">
            <v>R5.2</v>
          </cell>
          <cell r="G161" t="str">
            <v>491-4446/02</v>
          </cell>
          <cell r="H161" t="str">
            <v>151-2302/21</v>
          </cell>
        </row>
        <row r="162">
          <cell r="B162">
            <v>92</v>
          </cell>
          <cell r="C162" t="str">
            <v>491-4447/02</v>
          </cell>
          <cell r="D162" t="str">
            <v>Unita' porta ottica 4 x STM1 L-1.2/L-1.3  (SC)</v>
          </cell>
          <cell r="E162" t="str">
            <v>R5.2</v>
          </cell>
          <cell r="G162" t="str">
            <v>491-4447/02</v>
          </cell>
          <cell r="H162" t="str">
            <v>151-2302/22</v>
          </cell>
        </row>
        <row r="163">
          <cell r="B163">
            <v>93</v>
          </cell>
          <cell r="C163" t="str">
            <v xml:space="preserve"> 491-3804/02</v>
          </cell>
          <cell r="D163" t="str">
            <v>Unita' porta ottica STM-4 S-4.1</v>
          </cell>
          <cell r="E163" t="str">
            <v>available</v>
          </cell>
          <cell r="G163" t="str">
            <v xml:space="preserve"> 491-3804/02</v>
          </cell>
          <cell r="H163" t="str">
            <v>131-8681/29</v>
          </cell>
        </row>
        <row r="164">
          <cell r="B164">
            <v>94</v>
          </cell>
          <cell r="C164" t="str">
            <v xml:space="preserve"> 491-3805/02</v>
          </cell>
          <cell r="D164" t="str">
            <v>Unita' porta ottica STM-4 L-4.1</v>
          </cell>
          <cell r="E164" t="str">
            <v>available</v>
          </cell>
          <cell r="G164" t="str">
            <v xml:space="preserve"> 491-3805/02</v>
          </cell>
          <cell r="H164" t="str">
            <v>131-8681/28</v>
          </cell>
        </row>
        <row r="165">
          <cell r="B165">
            <v>95</v>
          </cell>
          <cell r="C165" t="str">
            <v>490-8481/02</v>
          </cell>
          <cell r="D165" t="str">
            <v>Unita' porta ottica STM-4 L-4.2/L-4.3</v>
          </cell>
          <cell r="E165" t="str">
            <v>available</v>
          </cell>
          <cell r="G165" t="str">
            <v>490-8481/02</v>
          </cell>
          <cell r="H165" t="str">
            <v>131-8681/24</v>
          </cell>
        </row>
        <row r="166">
          <cell r="B166">
            <v>96</v>
          </cell>
          <cell r="C166" t="str">
            <v>490-9202/02</v>
          </cell>
          <cell r="D166" t="str">
            <v>Unita' porta ottica STM-4 JE-4.2/JE-4.3</v>
          </cell>
          <cell r="E166" t="str">
            <v>available</v>
          </cell>
          <cell r="G166" t="str">
            <v>490-9202/02</v>
          </cell>
          <cell r="H166" t="str">
            <v>131-8681/25</v>
          </cell>
        </row>
        <row r="167">
          <cell r="B167">
            <v>97</v>
          </cell>
          <cell r="C167" t="str">
            <v>490-9203/02</v>
          </cell>
          <cell r="D167" t="str">
            <v>Unita' porta ottica STM-4 L-4.2 per booster</v>
          </cell>
          <cell r="E167" t="str">
            <v>available</v>
          </cell>
          <cell r="G167" t="str">
            <v>490-9203/02</v>
          </cell>
          <cell r="H167" t="str">
            <v>131-8681/26</v>
          </cell>
        </row>
        <row r="168">
          <cell r="B168">
            <v>98</v>
          </cell>
          <cell r="C168" t="str">
            <v>490-5021/01</v>
          </cell>
          <cell r="D168" t="str">
            <v>Unita' ausiliaria</v>
          </cell>
          <cell r="E168" t="str">
            <v>available</v>
          </cell>
          <cell r="G168" t="str">
            <v>490-5021/01</v>
          </cell>
          <cell r="H168" t="str">
            <v>131-8690/01</v>
          </cell>
        </row>
        <row r="169">
          <cell r="B169">
            <v>99</v>
          </cell>
          <cell r="C169" t="str">
            <v>490-5385/01</v>
          </cell>
          <cell r="D169" t="str">
            <v>Modulo I/F per POWER SUPPLY</v>
          </cell>
          <cell r="E169" t="str">
            <v>available</v>
          </cell>
          <cell r="G169" t="str">
            <v>490-5385/01</v>
          </cell>
          <cell r="H169" t="str">
            <v>131-9072/01</v>
          </cell>
        </row>
        <row r="170">
          <cell r="B170">
            <v>100</v>
          </cell>
          <cell r="C170" t="str">
            <v>491-5743/01</v>
          </cell>
          <cell r="D170" t="str">
            <v>Modulo I/F per POWER SUPPLY e Q (UTP ETHERNET)</v>
          </cell>
          <cell r="E170" t="str">
            <v>available</v>
          </cell>
          <cell r="G170" t="str">
            <v>491-5743/01</v>
          </cell>
          <cell r="H170" t="str">
            <v>131-9072/04</v>
          </cell>
        </row>
        <row r="171">
          <cell r="B171">
            <v>101</v>
          </cell>
          <cell r="C171" t="str">
            <v>490-5745/01</v>
          </cell>
          <cell r="D171" t="str">
            <v>Modulo Interfaccia per unita` 4x140/155Mb/s protegg.</v>
          </cell>
          <cell r="E171" t="str">
            <v>available</v>
          </cell>
          <cell r="G171" t="str">
            <v>490-5745/01</v>
          </cell>
          <cell r="H171" t="str">
            <v>131-8978/01</v>
          </cell>
        </row>
        <row r="172">
          <cell r="B172">
            <v>102</v>
          </cell>
          <cell r="C172" t="str">
            <v>491-2713/02</v>
          </cell>
          <cell r="D172" t="str">
            <v>Unita' MUX/DEMUX 2 Canali WDM BIDIREZIONALE (FC) EST  (TYPE 2)</v>
          </cell>
          <cell r="E172" t="str">
            <v>available</v>
          </cell>
          <cell r="G172" t="str">
            <v>491-2713/02</v>
          </cell>
          <cell r="H172" t="str">
            <v>131-9542/02</v>
          </cell>
        </row>
        <row r="173">
          <cell r="B173">
            <v>103</v>
          </cell>
          <cell r="C173" t="str">
            <v>491-2713/04</v>
          </cell>
          <cell r="D173" t="str">
            <v>Unita' MUX/DEMUX 2 Canali WDM BIDIREZIONALE (FC) OVEST  (TYPE 2)</v>
          </cell>
          <cell r="E173" t="str">
            <v>available</v>
          </cell>
          <cell r="G173" t="str">
            <v>491-2713/04</v>
          </cell>
          <cell r="H173" t="str">
            <v>131-9543/02</v>
          </cell>
        </row>
        <row r="174">
          <cell r="B174">
            <v>104</v>
          </cell>
          <cell r="C174" t="str">
            <v xml:space="preserve">491-1593/8x </v>
          </cell>
          <cell r="D174" t="str">
            <v>L-16.2 OPTICAL/MUX UNIT PER 2-CH WDM (FC)</v>
          </cell>
          <cell r="E174" t="str">
            <v>available</v>
          </cell>
          <cell r="G174" t="str">
            <v xml:space="preserve">491-1593/8x </v>
          </cell>
          <cell r="H174" t="str">
            <v xml:space="preserve">131-8828/8x </v>
          </cell>
        </row>
        <row r="175">
          <cell r="E175">
            <v>0</v>
          </cell>
        </row>
        <row r="177">
          <cell r="B177" t="str">
            <v xml:space="preserve"> NOTE</v>
          </cell>
        </row>
        <row r="178">
          <cell r="B178" t="str">
            <v>a)</v>
          </cell>
          <cell r="C178" t="str">
            <v xml:space="preserve"> Pentium 200MMX nella seguente configurazione</v>
          </cell>
        </row>
        <row r="179">
          <cell r="C179" t="str">
            <v xml:space="preserve">    -  PENTIUM (minimum 75Mhz) (produced by international manufacturer (e.g.TOSHIBA, COMPAQ, AST))</v>
          </cell>
        </row>
        <row r="180">
          <cell r="C180" t="str">
            <v xml:space="preserve">   - 10" COLOR MONITOR (resolution 800x600)</v>
          </cell>
        </row>
        <row r="181">
          <cell r="C181" t="str">
            <v xml:space="preserve">    - SVGA GRAPHICAL ADAPTER 1024x768 resolution 256 colors with external output</v>
          </cell>
        </row>
        <row r="182">
          <cell r="C182" t="str">
            <v xml:space="preserve">   - 32 MBYTES RAM (minimum)</v>
          </cell>
        </row>
        <row r="183">
          <cell r="C183" t="str">
            <v xml:space="preserve">    - 1GIGABYTES HARD DISK (minimum) </v>
          </cell>
        </row>
        <row r="184">
          <cell r="C184" t="str">
            <v xml:space="preserve">    - 3.5" FLOPPY DISK DRIVER</v>
          </cell>
        </row>
        <row r="185">
          <cell r="C185" t="str">
            <v xml:space="preserve">    - CD ROM Drive</v>
          </cell>
        </row>
        <row r="186">
          <cell r="C186" t="str">
            <v xml:space="preserve">    - n. 1 SERIAL INTERFACE RS232 (9 pin, at least 19200 bps)</v>
          </cell>
        </row>
        <row r="187">
          <cell r="C187" t="str">
            <v xml:space="preserve">    - n. 1 PARALLEL INTERFACE</v>
          </cell>
        </row>
        <row r="188">
          <cell r="C188" t="str">
            <v xml:space="preserve">    - TRACKBALL (OR MICROSOFT MOUSE)</v>
          </cell>
        </row>
        <row r="189">
          <cell r="C189" t="str">
            <v xml:space="preserve">    - US/GB KEYBOARD</v>
          </cell>
        </row>
        <row r="190">
          <cell r="C190" t="str">
            <v xml:space="preserve">In the previous configuration 3,5" floppy disk driver and cd-rom driver could not be installed simultaneously because of the lack of phisical space </v>
          </cell>
        </row>
        <row r="191">
          <cell r="B191" t="str">
            <v>b)</v>
          </cell>
          <cell r="C191" t="str">
            <v>comprendente:</v>
          </cell>
        </row>
        <row r="192">
          <cell r="C192" t="str">
            <v xml:space="preserve"> - 1 connectore 9 pins (maschio)</v>
          </cell>
        </row>
        <row r="193">
          <cell r="C193" t="str">
            <v xml:space="preserve"> - 3 cavi da 10 metri</v>
          </cell>
        </row>
        <row r="194">
          <cell r="C194" t="str">
            <v xml:space="preserve"> - 1 connectore 9 pins (femmina)</v>
          </cell>
        </row>
        <row r="195">
          <cell r="B195" t="str">
            <v>c)</v>
          </cell>
          <cell r="C195" t="str">
            <v>comprendente:</v>
          </cell>
        </row>
        <row r="196">
          <cell r="C196" t="str">
            <v>- Windows NT 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Parâmetros"/>
      <sheetName val="Ref. Incidêntes"/>
      <sheetName val="Atividades"/>
      <sheetName val="Serviços One Shot"/>
      <sheetName val="P.S. - Base Catálogo"/>
      <sheetName val="Field &amp; RMA"/>
      <sheetName val="NOC &amp; Service Desk"/>
      <sheetName val="RFP OBSOLESCÊNCIA"/>
      <sheetName val="Adicionais"/>
      <sheetName val="Resumo do Projeto"/>
      <sheetName val="Operação@TIS"/>
      <sheetName val="Base Renovação"/>
      <sheetName val="Geral_Equiptos"/>
      <sheetName val="Sem Serial Number"/>
      <sheetName val="Equiptos com Garantia"/>
      <sheetName val="Equiptos sem Garantia"/>
      <sheetName val="Resumo"/>
      <sheetName val="D_Eqtos com Garantia"/>
      <sheetName val="Eqtos com Garantia"/>
      <sheetName val="Eqtos sem Garantia"/>
      <sheetName val="D_Eqtos sem Garantia"/>
      <sheetName val="Tipo"/>
      <sheetName val="Planilha1"/>
    </sheetNames>
    <sheetDataSet>
      <sheetData sheetId="0">
        <row r="3">
          <cell r="M3" t="str">
            <v>Assistente - Junior</v>
          </cell>
          <cell r="AM3" t="str">
            <v>Ader Felicio Pedro</v>
          </cell>
        </row>
        <row r="4">
          <cell r="M4" t="str">
            <v>Assistente - Pleno</v>
          </cell>
          <cell r="AM4" t="str">
            <v>Bruno Da Silva Marques</v>
          </cell>
        </row>
        <row r="5">
          <cell r="M5" t="str">
            <v>Assistente - Senior</v>
          </cell>
          <cell r="AM5" t="str">
            <v>Celso Jun Tsukase</v>
          </cell>
        </row>
        <row r="6">
          <cell r="M6" t="str">
            <v>Analista - Junior</v>
          </cell>
          <cell r="AM6" t="str">
            <v>Flavio Correia Rodrigues</v>
          </cell>
        </row>
        <row r="7">
          <cell r="M7" t="str">
            <v>Analista - Pleno</v>
          </cell>
          <cell r="AM7" t="str">
            <v>Igor Jose Santos Trigueirinho</v>
          </cell>
        </row>
        <row r="8">
          <cell r="M8" t="str">
            <v>Analista - Senior</v>
          </cell>
          <cell r="AM8" t="str">
            <v>Iomar Jonathas Alexandre</v>
          </cell>
        </row>
        <row r="9">
          <cell r="M9" t="str">
            <v>Consultor - Junior</v>
          </cell>
          <cell r="AM9" t="str">
            <v>Kelli Elizabete Botelho Duarte</v>
          </cell>
        </row>
        <row r="10">
          <cell r="M10" t="str">
            <v>Consultor - Pleno</v>
          </cell>
          <cell r="AM10" t="str">
            <v>Luiz Carlos Gouveia De Oliveira</v>
          </cell>
        </row>
        <row r="11">
          <cell r="M11" t="str">
            <v>Consultor - Senior</v>
          </cell>
          <cell r="AM11" t="str">
            <v>Paulo Henrique Rocha</v>
          </cell>
        </row>
        <row r="12">
          <cell r="M12" t="str">
            <v>Gerente de Projetos - Junior</v>
          </cell>
          <cell r="AM12" t="str">
            <v>Sanderson Barboza</v>
          </cell>
        </row>
        <row r="13">
          <cell r="M13" t="str">
            <v>Gerente de Projetos - Pleno</v>
          </cell>
          <cell r="AM13" t="str">
            <v>Wagner Luiz Alves Da Penha</v>
          </cell>
        </row>
        <row r="14">
          <cell r="M14" t="str">
            <v>Gerente de Projetos - Senior</v>
          </cell>
        </row>
        <row r="15">
          <cell r="M15" t="str">
            <v>Lider Técnico - Junior</v>
          </cell>
        </row>
        <row r="16">
          <cell r="M16" t="str">
            <v>Lider Técnico - Pleno</v>
          </cell>
        </row>
        <row r="17">
          <cell r="M17" t="str">
            <v>Lider Técnico - Senior</v>
          </cell>
        </row>
        <row r="18">
          <cell r="M18" t="str">
            <v>Técnico - Junior</v>
          </cell>
        </row>
        <row r="19">
          <cell r="M19" t="str">
            <v>Técnico - Pleno</v>
          </cell>
        </row>
        <row r="20">
          <cell r="M20" t="str">
            <v>Técnico - Senior</v>
          </cell>
        </row>
        <row r="21">
          <cell r="M21" t="str">
            <v>Especialista - Junior</v>
          </cell>
        </row>
        <row r="22">
          <cell r="M22" t="str">
            <v>Coordenador - Pleno</v>
          </cell>
        </row>
        <row r="23">
          <cell r="M23" t="str">
            <v>Gerente - Senior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L5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 t="str">
            <v>AIR-AP3802I-Z-K9</v>
          </cell>
        </row>
      </sheetData>
      <sheetData sheetId="22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SH51C"/>
      <sheetName val="MSH11CP"/>
      <sheetName val="MSH11C "/>
      <sheetName val="MSH41C"/>
      <sheetName val="SMA16"/>
      <sheetName val="MSH53"/>
      <sheetName val="MSH64"/>
      <sheetName val="MSH63 "/>
      <sheetName val="MSH84"/>
      <sheetName val="MSH86"/>
      <sheetName val="mv3638"/>
      <sheetName val="em-os"/>
      <sheetName val="MSH11C_"/>
      <sheetName val="MSH63_"/>
      <sheetName val="Parametri"/>
      <sheetName val="Parametri "/>
      <sheetName val=" Listino Prezzi TDM"/>
      <sheetName val="#RIF"/>
      <sheetName val="Discount"/>
      <sheetName val="Configurazioni"/>
      <sheetName val="listini fastweb ufficiali"/>
      <sheetName val="BC9902 (2)"/>
      <sheetName val="MSH11C SE's"/>
      <sheetName val="MultiIn"/>
      <sheetName val="C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EurotoolsXRates"/>
      <sheetName val="Restbestände"/>
      <sheetName val="Hoja1"/>
      <sheetName val="Hoja2"/>
      <sheetName val="Hoja3"/>
      <sheetName val="2-Summary of Changes"/>
      <sheetName val="MTBF_CISCO_SISIFOLAMDA"/>
      <sheetName val="Parameters"/>
      <sheetName val="Definitions"/>
      <sheetName val="Traffic Model Entry"/>
      <sheetName val="Sheet1"/>
      <sheetName val="RIFERIMENTO PER SLIDE"/>
      <sheetName val="Società"/>
      <sheetName val="Peer"/>
      <sheetName val="DIFF_BUS"/>
      <sheetName val="MSH51C"/>
      <sheetName val="Costs"/>
      <sheetName val="List"/>
      <sheetName val="MSH64"/>
      <sheetName val="Planner"/>
      <sheetName val="ELEMENTO"/>
      <sheetName val="Familias Parametros"/>
      <sheetName val="Listas"/>
      <sheetName val="Dropdown"/>
      <sheetName val="Template"/>
      <sheetName val="CRL"/>
      <sheetName val="WI"/>
      <sheetName val="2-Summary_of_Changes"/>
      <sheetName val="RIFERIMENTO_PER_SLIDE"/>
      <sheetName val="ORÇAMENTO-Antigo"/>
      <sheetName val="Precios Unitarios"/>
      <sheetName val="Ericsson"/>
      <sheetName val="Nokia"/>
      <sheetName val="Huawei"/>
      <sheetName val="ZTE"/>
      <sheetName val="Cisco"/>
      <sheetName val="Infinera"/>
      <sheetName val="Padtec "/>
      <sheetName val="Consolidado MD"/>
      <sheetName val="Consolidado PB"/>
      <sheetName val="SFP"/>
      <sheetName val="Ecuador "/>
      <sheetName val="Sumário por Modelo"/>
      <sheetName val="OL Attivati Evolution Week"/>
      <sheetName val="I_Product_Demand"/>
      <sheetName val="Traffic_Model_Entry"/>
      <sheetName val="TB"/>
      <sheetName val="EVA"/>
      <sheetName val="HW"/>
    </sheetNames>
    <sheetDataSet>
      <sheetData sheetId="0" refreshError="1">
        <row r="7">
          <cell r="B7">
            <v>0.51129188119621849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LAYOUT"/>
      <sheetName val="DASH-DESC"/>
      <sheetName val="ORIENTAÇÕES"/>
      <sheetName val="TOPOLOGIA"/>
      <sheetName val="ACRONIMOS"/>
      <sheetName val="IP-PLAN-MGMT"/>
      <sheetName val="GUIA-TEMP"/>
      <sheetName val="NOC"/>
      <sheetName val="INFOS"/>
      <sheetName val="IP-PLAN-LAN"/>
      <sheetName val="SCRIPT STAGING"/>
      <sheetName val="SCRIPT"/>
      <sheetName val="SCRIPT HUB1_SMIT"/>
      <sheetName val="SCRIPT HUB2_SMIT"/>
      <sheetName val="IP_PLAN_WAN"/>
      <sheetName val="FORTCLOUD"/>
      <sheetName val="TABELA-NOC"/>
      <sheetName val="DEV-VALIDAÇÔES"/>
      <sheetName val="FMG"/>
      <sheetName val="FA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L3" t="str">
            <v>G</v>
          </cell>
          <cell r="M3" t="str">
            <v>SD-LAN</v>
          </cell>
        </row>
        <row r="4">
          <cell r="L4" t="str">
            <v>M</v>
          </cell>
          <cell r="M4" t="str">
            <v>SD-WiFi</v>
          </cell>
        </row>
        <row r="5">
          <cell r="L5" t="str">
            <v>P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Base CDT"/>
      <sheetName val="OPEX CDT"/>
      <sheetName val="PMO Faturamento"/>
      <sheetName val="PMO Entregas HWSW"/>
      <sheetName val="SF - HW"/>
      <sheetName val="SF - SW"/>
      <sheetName val="SF - SV MENSAL"/>
      <sheetName val="SF - SV À VISTA"/>
      <sheetName val="PMO-DIFAL"/>
      <sheetName val="RC"/>
      <sheetName val="Carga Materiais"/>
      <sheetName val="Carga Serviços"/>
      <sheetName val="CdG"/>
      <sheetName val="CP x Margin"/>
      <sheetName val="CP x Markup"/>
      <sheetName val="NCM"/>
      <sheetName val="Estrutura da Planilha"/>
      <sheetName val="Instruções"/>
      <sheetName val="Resumo Custos"/>
      <sheetName val="Controle"/>
      <sheetName val="Máscara Fornecedor"/>
      <sheetName val="UIT"/>
      <sheetName val="INGRAM"/>
      <sheetName val="Precificador Hardware"/>
      <sheetName val="ByCisco"/>
      <sheetName val="FC Venda Outros"/>
      <sheetName val="RA VENDA Outros"/>
      <sheetName val="Resumo Anual VENDA Outros"/>
      <sheetName val="Precificador Software"/>
      <sheetName val="FC Software Outros"/>
      <sheetName val="RA Software Outros"/>
      <sheetName val="Resumo Anual Software Outros"/>
      <sheetName val="Precificador Serviços"/>
      <sheetName val="FC Serviços"/>
      <sheetName val="RA Serviços"/>
      <sheetName val="Resumo Anual Serviços"/>
      <sheetName val="FC Serviços TIS"/>
      <sheetName val="RA Serviços TIS"/>
      <sheetName val="Resumo Anual Serviços TIS"/>
      <sheetName val="Tabela de Preços"/>
      <sheetName val="Tabela de Preços Agrupada"/>
      <sheetName val="Tabela Fixa de Preços"/>
      <sheetName val="Parâmetros da Proposta"/>
      <sheetName val="Proposta"/>
      <sheetName val="FC UNIFICADO"/>
      <sheetName val="RA UNIFICADO"/>
      <sheetName val="Resumo Anual UNIFICADO"/>
      <sheetName val="Itens a Cadastrar"/>
      <sheetName val="Log"/>
      <sheetName val="PARÂMETROS"/>
      <sheetName val="TABELA 2016"/>
      <sheetName val="LISTAS"/>
      <sheetName val="Conceitos Faturáveis"/>
      <sheetName val="INTERESTADUAL"/>
      <sheetName val="Controle de Versões"/>
    </sheetNames>
    <sheetDataSet>
      <sheetData sheetId="0"/>
      <sheetData sheetId="1">
        <row r="8">
          <cell r="C8">
            <v>0</v>
          </cell>
        </row>
      </sheetData>
      <sheetData sheetId="2">
        <row r="8">
          <cell r="C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C6" t="str">
            <v>Sim</v>
          </cell>
        </row>
      </sheetData>
      <sheetData sheetId="20">
        <row r="8">
          <cell r="CN8" t="str">
            <v>Union IT</v>
          </cell>
        </row>
      </sheetData>
      <sheetData sheetId="21"/>
      <sheetData sheetId="22"/>
      <sheetData sheetId="23">
        <row r="4">
          <cell r="H4" t="str">
            <v>Sim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5">
          <cell r="O25">
            <v>5319077.41</v>
          </cell>
        </row>
      </sheetData>
      <sheetData sheetId="42"/>
      <sheetData sheetId="43">
        <row r="856">
          <cell r="W856">
            <v>0</v>
          </cell>
        </row>
      </sheetData>
      <sheetData sheetId="44"/>
      <sheetData sheetId="45"/>
      <sheetData sheetId="46"/>
      <sheetData sheetId="47"/>
      <sheetData sheetId="48"/>
      <sheetData sheetId="49">
        <row r="8">
          <cell r="H8">
            <v>0.25</v>
          </cell>
        </row>
      </sheetData>
      <sheetData sheetId="50">
        <row r="6">
          <cell r="C6" t="str">
            <v>AC</v>
          </cell>
        </row>
      </sheetData>
      <sheetData sheetId="51">
        <row r="3">
          <cell r="B3" t="str">
            <v>Equip. Subst. Tributária</v>
          </cell>
        </row>
      </sheetData>
      <sheetData sheetId="52">
        <row r="10">
          <cell r="B10" t="str">
            <v>CHAVE</v>
          </cell>
        </row>
      </sheetData>
      <sheetData sheetId="53">
        <row r="4">
          <cell r="B4">
            <v>4</v>
          </cell>
        </row>
      </sheetData>
      <sheetData sheetId="54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Atividades"/>
      <sheetName val="P.S. Knowledge Base"/>
      <sheetName val="Parâmetros"/>
      <sheetName val="Calatog"/>
      <sheetName val="Planilha1"/>
      <sheetName val="Resumo dos custos"/>
      <sheetName val="Suporte RMA SDWAN"/>
      <sheetName val="Suporte  RMA Access Point"/>
      <sheetName val="Operação"/>
      <sheetName val="Adicionais"/>
      <sheetName val="Localidades"/>
      <sheetName val="BOM"/>
      <sheetName val="Custos de viagem"/>
      <sheetName val="Etiqueta Patrimonial"/>
      <sheetName val="Inform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">
          <cell r="K9">
            <v>41.4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XXXX"/>
      <sheetName val="B"/>
      <sheetName val="F&amp;F"/>
      <sheetName val="CS"/>
      <sheetName val="LI"/>
      <sheetName val="OE"/>
      <sheetName val="CH"/>
      <sheetName val="TIS and TAS-Dimensioning"/>
      <sheetName val="Discount"/>
      <sheetName val="QUOTE"/>
      <sheetName val="PCR Sito1"/>
      <sheetName val="Margine_bdg_2008"/>
      <sheetName val="Trattamenti economici"/>
      <sheetName val="PCR sizing low-range"/>
      <sheetName val="List for customer"/>
      <sheetName val="PCR Sito3"/>
      <sheetName val="PCR Sito4"/>
      <sheetName val="PCR Sito5"/>
      <sheetName val="PCR Sito6"/>
      <sheetName val="PCR Sito7"/>
      <sheetName val="PCR Sito8"/>
      <sheetName val="Foglio2"/>
      <sheetName val="Total GSM  Mark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CADERNO DE TESTES"/>
      <sheetName val="LISTAS"/>
    </sheetNames>
    <sheetDataSet>
      <sheetData sheetId="0"/>
      <sheetData sheetId="1">
        <row r="2">
          <cell r="E2" t="str">
            <v>✔</v>
          </cell>
        </row>
        <row r="3">
          <cell r="E3" t="str">
            <v>❗</v>
          </cell>
        </row>
        <row r="4">
          <cell r="E4" t="str">
            <v>❌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Ordenes Chile"/>
      <sheetName val="RESUMEN ORDENES CHILE"/>
      <sheetName val="Equip Dim"/>
      <sheetName val="PRE"/>
      <sheetName val="Sheet2"/>
      <sheetName val="Cunsumo e dissipação"/>
      <sheetName val="Gerência 36140 Software"/>
      <sheetName val="Changes"/>
      <sheetName val="nsalas.tn1xmod"/>
      <sheetName val="#BEZUG"/>
    </sheetNames>
    <sheetDataSet>
      <sheetData sheetId="0" refreshError="1">
        <row r="1">
          <cell r="D1" t="str">
            <v>SEGUIMIENTO DE ORDENES A CISCO</v>
          </cell>
        </row>
        <row r="3">
          <cell r="A3" t="str">
            <v>RM</v>
          </cell>
          <cell r="B3" t="str">
            <v>FECHA RM</v>
          </cell>
          <cell r="C3" t="str">
            <v>N° de Practica</v>
          </cell>
          <cell r="D3" t="str">
            <v>REF. NRO DE CONTRATO DEL CLIENTE</v>
          </cell>
          <cell r="E3" t="str">
            <v>MP</v>
          </cell>
          <cell r="F3" t="str">
            <v xml:space="preserve">SO </v>
          </cell>
          <cell r="G3" t="str">
            <v>PO</v>
          </cell>
          <cell r="H3" t="str">
            <v>FECHA DE ENTRADA EN CISCO DEL PO</v>
          </cell>
          <cell r="I3" t="str">
            <v>Descuento Cisco</v>
          </cell>
          <cell r="J3" t="str">
            <v>Ship set</v>
          </cell>
          <cell r="K3" t="str">
            <v>Linea</v>
          </cell>
          <cell r="L3" t="str">
            <v>Codigo Horloge / Stock</v>
          </cell>
          <cell r="M3" t="str">
            <v xml:space="preserve"> Product Number      </v>
          </cell>
          <cell r="N3" t="str">
            <v xml:space="preserve"> Description  </v>
          </cell>
          <cell r="O3" t="str">
            <v>Unitary List Price u$s</v>
          </cell>
          <cell r="P3" t="str">
            <v>Unitary Discount Price u$s</v>
          </cell>
          <cell r="Q3" t="str">
            <v>Qty.</v>
          </cell>
          <cell r="R3" t="str">
            <v>Total Order cost u$s</v>
          </cell>
          <cell r="S3" t="str">
            <v>ENTREGA FCA DE CISCO (prevista)</v>
          </cell>
          <cell r="T3" t="str">
            <v>SALIDA DE ADUANA (prevista)</v>
          </cell>
          <cell r="U3" t="str">
            <v>EXPEDITE PEDIDO</v>
          </cell>
          <cell r="V3" t="str">
            <v>EXPEDITE OTORGADO</v>
          </cell>
          <cell r="W3" t="str">
            <v>NRO. FACTURA CISCO</v>
          </cell>
          <cell r="X3" t="str">
            <v>MONTO FACTURA CISCO</v>
          </cell>
          <cell r="Y3" t="str">
            <v>FECHA BENESTARE FACTURA CISCO OTORGADO</v>
          </cell>
          <cell r="Z3" t="str">
            <v>NRO. FACTURA ITALTEL</v>
          </cell>
          <cell r="AA3" t="str">
            <v>MONTO FACTURA ITALTEL</v>
          </cell>
          <cell r="AB3" t="str">
            <v>FECHA RECEPCION  FACTURA ITALTEL</v>
          </cell>
          <cell r="AC3" t="str">
            <v>DOC. DE ENTREGA AL CLIENTE</v>
          </cell>
          <cell r="AD3" t="str">
            <v>FECHA ENTREGA AL CLIENTE</v>
          </cell>
          <cell r="AE3" t="str">
            <v>Benestare Fee</v>
          </cell>
          <cell r="AF3" t="str">
            <v>Mantenance Fee Category</v>
          </cell>
          <cell r="AG3" t="str">
            <v>Costo Mant. Fee</v>
          </cell>
          <cell r="AH3" t="str">
            <v>ITEM CONTRACTUAL</v>
          </cell>
          <cell r="AI3" t="str">
            <v>PRECIO UNITARIO VENTA U$S</v>
          </cell>
          <cell r="AJ3" t="str">
            <v>PRECIO TOTAL VENTA U$S</v>
          </cell>
        </row>
        <row r="4">
          <cell r="A4">
            <v>168944</v>
          </cell>
          <cell r="B4">
            <v>37575</v>
          </cell>
          <cell r="D4" t="str">
            <v>ENTEL CHILE - 1600001704</v>
          </cell>
          <cell r="E4">
            <v>3261326</v>
          </cell>
          <cell r="F4">
            <v>8013938</v>
          </cell>
          <cell r="G4">
            <v>2605624</v>
          </cell>
          <cell r="H4">
            <v>37581</v>
          </cell>
          <cell r="I4">
            <v>0.5</v>
          </cell>
          <cell r="J4">
            <v>1</v>
          </cell>
          <cell r="K4" t="str">
            <v>1.0</v>
          </cell>
          <cell r="M4" t="str">
            <v>NM-8AM</v>
          </cell>
          <cell r="N4" t="str">
            <v>8 PORT ANALOG MODEM NETWORK MODULE, SPARE /</v>
          </cell>
          <cell r="O4">
            <v>2200</v>
          </cell>
          <cell r="P4">
            <v>1100</v>
          </cell>
          <cell r="Q4">
            <v>4</v>
          </cell>
          <cell r="R4">
            <v>4400</v>
          </cell>
          <cell r="S4">
            <v>37602</v>
          </cell>
          <cell r="T4" t="str">
            <v>---</v>
          </cell>
          <cell r="AF4" t="str">
            <v>C</v>
          </cell>
          <cell r="AG4">
            <v>330</v>
          </cell>
          <cell r="AH4">
            <v>2</v>
          </cell>
          <cell r="AI4">
            <v>1254</v>
          </cell>
          <cell r="AJ4">
            <v>5016</v>
          </cell>
        </row>
        <row r="5">
          <cell r="A5">
            <v>168944</v>
          </cell>
          <cell r="B5">
            <v>37575</v>
          </cell>
          <cell r="D5" t="str">
            <v>ENTEL CHILE - 1600001704</v>
          </cell>
          <cell r="E5">
            <v>3261326</v>
          </cell>
          <cell r="F5">
            <v>8013938</v>
          </cell>
          <cell r="G5">
            <v>2605624</v>
          </cell>
          <cell r="H5">
            <v>37581</v>
          </cell>
          <cell r="I5">
            <v>0.5</v>
          </cell>
          <cell r="J5">
            <v>3</v>
          </cell>
          <cell r="K5" t="str">
            <v>2.0</v>
          </cell>
          <cell r="M5" t="str">
            <v>WS-C3550-24-EMI</v>
          </cell>
          <cell r="N5" t="str">
            <v>24-10/100 AND 2 GBIC PORTS: ENHANCED MULTILAYER SW IMAGE /</v>
          </cell>
          <cell r="O5">
            <v>4990</v>
          </cell>
          <cell r="P5">
            <v>2495</v>
          </cell>
          <cell r="Q5">
            <v>2</v>
          </cell>
          <cell r="R5">
            <v>4990</v>
          </cell>
          <cell r="S5">
            <v>37602</v>
          </cell>
          <cell r="T5" t="str">
            <v>---</v>
          </cell>
          <cell r="W5" t="str">
            <v>3750611</v>
          </cell>
          <cell r="X5">
            <v>4990</v>
          </cell>
          <cell r="Z5" t="str">
            <v>2030000002</v>
          </cell>
          <cell r="AA5">
            <v>5688.6</v>
          </cell>
          <cell r="AE5">
            <v>37739</v>
          </cell>
          <cell r="AF5" t="str">
            <v>D</v>
          </cell>
          <cell r="AG5">
            <v>99.8</v>
          </cell>
          <cell r="AH5">
            <v>1</v>
          </cell>
          <cell r="AI5">
            <v>2844.3</v>
          </cell>
          <cell r="AJ5">
            <v>5688.6</v>
          </cell>
        </row>
        <row r="6">
          <cell r="A6">
            <v>168944</v>
          </cell>
          <cell r="B6">
            <v>37575</v>
          </cell>
          <cell r="D6" t="str">
            <v>ENTEL CHILE - 1600001704</v>
          </cell>
          <cell r="E6">
            <v>3261326</v>
          </cell>
          <cell r="F6">
            <v>8013938</v>
          </cell>
          <cell r="G6">
            <v>2605624</v>
          </cell>
          <cell r="H6">
            <v>37581</v>
          </cell>
          <cell r="I6">
            <v>0.5</v>
          </cell>
          <cell r="J6">
            <v>3</v>
          </cell>
          <cell r="K6" t="str">
            <v>2.1</v>
          </cell>
          <cell r="M6" t="str">
            <v>CAB-ACI</v>
          </cell>
          <cell r="N6" t="str">
            <v>POWER CORD-ITALIAN</v>
          </cell>
          <cell r="O6">
            <v>0</v>
          </cell>
          <cell r="P6">
            <v>0</v>
          </cell>
          <cell r="Q6">
            <v>2</v>
          </cell>
          <cell r="R6">
            <v>0</v>
          </cell>
          <cell r="S6">
            <v>37602</v>
          </cell>
          <cell r="T6" t="str">
            <v>---</v>
          </cell>
          <cell r="W6" t="str">
            <v>3750611</v>
          </cell>
          <cell r="X6">
            <v>0</v>
          </cell>
          <cell r="Z6" t="str">
            <v>2030000002</v>
          </cell>
          <cell r="AA6">
            <v>0</v>
          </cell>
          <cell r="AE6">
            <v>37739</v>
          </cell>
          <cell r="AF6" t="str">
            <v>-</v>
          </cell>
          <cell r="AG6">
            <v>0</v>
          </cell>
          <cell r="AH6">
            <v>1</v>
          </cell>
          <cell r="AI6">
            <v>0</v>
          </cell>
          <cell r="AJ6">
            <v>0</v>
          </cell>
        </row>
        <row r="7">
          <cell r="A7">
            <v>168944</v>
          </cell>
          <cell r="B7">
            <v>37575</v>
          </cell>
          <cell r="D7" t="str">
            <v>ENTEL CHILE - 1600001704</v>
          </cell>
          <cell r="E7">
            <v>3261326</v>
          </cell>
          <cell r="F7">
            <v>8013938</v>
          </cell>
          <cell r="G7">
            <v>2605624</v>
          </cell>
          <cell r="H7">
            <v>37581</v>
          </cell>
          <cell r="I7">
            <v>0.5</v>
          </cell>
          <cell r="J7">
            <v>3</v>
          </cell>
          <cell r="K7" t="str">
            <v>3.0</v>
          </cell>
          <cell r="M7" t="str">
            <v>WS-C2950G-48-EI</v>
          </cell>
          <cell r="N7" t="str">
            <v>CATALYST 2950, 48 10/100 WITH 2 GBIC SLOTS, ENHANCED IMAGE /</v>
          </cell>
          <cell r="O7">
            <v>4495</v>
          </cell>
          <cell r="P7">
            <v>2247.5</v>
          </cell>
          <cell r="Q7">
            <v>2</v>
          </cell>
          <cell r="R7">
            <v>4495</v>
          </cell>
          <cell r="S7">
            <v>37602</v>
          </cell>
          <cell r="T7" t="str">
            <v>---</v>
          </cell>
          <cell r="W7" t="str">
            <v>3750611</v>
          </cell>
          <cell r="X7">
            <v>4495</v>
          </cell>
          <cell r="Z7" t="str">
            <v>2030000002</v>
          </cell>
          <cell r="AA7">
            <v>5124.3</v>
          </cell>
          <cell r="AE7">
            <v>37739</v>
          </cell>
          <cell r="AF7" t="str">
            <v>D</v>
          </cell>
          <cell r="AG7">
            <v>89.9</v>
          </cell>
          <cell r="AH7">
            <v>3</v>
          </cell>
          <cell r="AI7">
            <v>2562.15</v>
          </cell>
          <cell r="AJ7">
            <v>5124.3</v>
          </cell>
        </row>
        <row r="8">
          <cell r="A8">
            <v>168944</v>
          </cell>
          <cell r="B8">
            <v>37575</v>
          </cell>
          <cell r="D8" t="str">
            <v>ENTEL CHILE - 1600001704</v>
          </cell>
          <cell r="E8">
            <v>3261326</v>
          </cell>
          <cell r="F8">
            <v>8013938</v>
          </cell>
          <cell r="G8">
            <v>2605624</v>
          </cell>
          <cell r="H8">
            <v>37581</v>
          </cell>
          <cell r="I8">
            <v>0.5</v>
          </cell>
          <cell r="J8">
            <v>3</v>
          </cell>
          <cell r="K8" t="str">
            <v>3.1</v>
          </cell>
          <cell r="M8" t="str">
            <v>CAB-ACI</v>
          </cell>
          <cell r="N8" t="str">
            <v>POWER CORD-ITALIAN</v>
          </cell>
          <cell r="O8">
            <v>0</v>
          </cell>
          <cell r="P8">
            <v>0</v>
          </cell>
          <cell r="Q8">
            <v>2</v>
          </cell>
          <cell r="R8">
            <v>0</v>
          </cell>
          <cell r="S8">
            <v>37602</v>
          </cell>
          <cell r="T8" t="str">
            <v>---</v>
          </cell>
          <cell r="W8" t="str">
            <v>3750611</v>
          </cell>
          <cell r="X8">
            <v>0</v>
          </cell>
          <cell r="Z8" t="str">
            <v>2030000002</v>
          </cell>
          <cell r="AA8">
            <v>0</v>
          </cell>
          <cell r="AE8">
            <v>37739</v>
          </cell>
          <cell r="AF8" t="str">
            <v>-</v>
          </cell>
          <cell r="AG8">
            <v>0</v>
          </cell>
          <cell r="AH8">
            <v>3</v>
          </cell>
          <cell r="AI8">
            <v>0</v>
          </cell>
          <cell r="AJ8">
            <v>0</v>
          </cell>
        </row>
        <row r="9">
          <cell r="A9">
            <v>168944</v>
          </cell>
          <cell r="B9">
            <v>37575</v>
          </cell>
          <cell r="D9" t="str">
            <v>ENTEL CHILE - 1600001704</v>
          </cell>
          <cell r="E9">
            <v>3261326</v>
          </cell>
          <cell r="F9">
            <v>8013938</v>
          </cell>
          <cell r="G9">
            <v>2605624</v>
          </cell>
          <cell r="H9">
            <v>37581</v>
          </cell>
          <cell r="I9">
            <v>0.5</v>
          </cell>
          <cell r="J9">
            <v>1</v>
          </cell>
          <cell r="K9" t="str">
            <v>4.0</v>
          </cell>
          <cell r="M9" t="str">
            <v>WS-G5486</v>
          </cell>
          <cell r="N9" t="str">
            <v>1000BASE-LX/LH/</v>
          </cell>
          <cell r="O9">
            <v>995</v>
          </cell>
          <cell r="P9">
            <v>497.5</v>
          </cell>
          <cell r="Q9">
            <v>12</v>
          </cell>
          <cell r="R9">
            <v>5970</v>
          </cell>
          <cell r="S9">
            <v>37602</v>
          </cell>
          <cell r="T9" t="str">
            <v>---</v>
          </cell>
          <cell r="AF9" t="str">
            <v>D</v>
          </cell>
          <cell r="AG9">
            <v>119.4</v>
          </cell>
          <cell r="AH9">
            <v>4</v>
          </cell>
          <cell r="AI9">
            <v>567.15</v>
          </cell>
          <cell r="AJ9">
            <v>6805.7999999999993</v>
          </cell>
        </row>
        <row r="10">
          <cell r="A10">
            <v>168944</v>
          </cell>
          <cell r="B10">
            <v>37575</v>
          </cell>
          <cell r="D10" t="str">
            <v>ENTEL CHILE - 1600001704</v>
          </cell>
          <cell r="E10">
            <v>3261326</v>
          </cell>
          <cell r="F10">
            <v>8013938</v>
          </cell>
          <cell r="G10">
            <v>2605624</v>
          </cell>
          <cell r="H10">
            <v>37581</v>
          </cell>
          <cell r="I10">
            <v>0.5</v>
          </cell>
          <cell r="J10">
            <v>2</v>
          </cell>
          <cell r="K10" t="str">
            <v>6.0</v>
          </cell>
          <cell r="M10" t="str">
            <v>WIC-1T</v>
          </cell>
          <cell r="N10" t="str">
            <v>1-PORT SERIAL WAN INTERFACE CARD</v>
          </cell>
          <cell r="O10">
            <v>400</v>
          </cell>
          <cell r="P10">
            <v>200</v>
          </cell>
          <cell r="Q10">
            <v>4</v>
          </cell>
          <cell r="R10">
            <v>800</v>
          </cell>
          <cell r="S10">
            <v>37623</v>
          </cell>
          <cell r="T10" t="str">
            <v>---</v>
          </cell>
          <cell r="W10" t="str">
            <v>3744131</v>
          </cell>
          <cell r="X10">
            <v>800</v>
          </cell>
          <cell r="Z10" t="str">
            <v>2020000430</v>
          </cell>
          <cell r="AA10">
            <v>912</v>
          </cell>
          <cell r="AB10">
            <v>37630</v>
          </cell>
          <cell r="AF10" t="str">
            <v>D</v>
          </cell>
          <cell r="AG10">
            <v>16</v>
          </cell>
          <cell r="AH10">
            <v>6</v>
          </cell>
          <cell r="AI10">
            <v>228</v>
          </cell>
          <cell r="AJ10">
            <v>912</v>
          </cell>
        </row>
        <row r="11">
          <cell r="A11">
            <v>168944</v>
          </cell>
          <cell r="B11">
            <v>37575</v>
          </cell>
          <cell r="D11" t="str">
            <v>ENTEL CHILE - 1600001704</v>
          </cell>
          <cell r="E11">
            <v>3261326</v>
          </cell>
          <cell r="F11">
            <v>8013938</v>
          </cell>
          <cell r="G11">
            <v>2605624</v>
          </cell>
          <cell r="H11">
            <v>37581</v>
          </cell>
          <cell r="I11">
            <v>0.5</v>
          </cell>
          <cell r="J11">
            <v>3</v>
          </cell>
          <cell r="K11" t="str">
            <v>8.0</v>
          </cell>
          <cell r="M11" t="str">
            <v>WS-C2950-12</v>
          </cell>
          <cell r="N11" t="str">
            <v>12 PORT, 10/100 CATALYST SWITCH, STANDARD IMAGE ONLY</v>
          </cell>
          <cell r="O11">
            <v>895</v>
          </cell>
          <cell r="P11">
            <v>447.5</v>
          </cell>
          <cell r="Q11">
            <v>4</v>
          </cell>
          <cell r="R11">
            <v>1790</v>
          </cell>
          <cell r="S11">
            <v>37602</v>
          </cell>
          <cell r="T11" t="str">
            <v>---</v>
          </cell>
          <cell r="W11" t="str">
            <v>3750611</v>
          </cell>
          <cell r="X11">
            <v>1790</v>
          </cell>
          <cell r="Z11" t="str">
            <v>2030000002</v>
          </cell>
          <cell r="AA11">
            <v>2040.6</v>
          </cell>
          <cell r="AE11">
            <v>37739</v>
          </cell>
          <cell r="AF11" t="str">
            <v>D</v>
          </cell>
          <cell r="AG11">
            <v>35.800000000000004</v>
          </cell>
          <cell r="AH11">
            <v>8</v>
          </cell>
          <cell r="AI11">
            <v>510.15</v>
          </cell>
          <cell r="AJ11">
            <v>2040.6</v>
          </cell>
        </row>
        <row r="12">
          <cell r="A12">
            <v>168944</v>
          </cell>
          <cell r="B12">
            <v>37575</v>
          </cell>
          <cell r="D12" t="str">
            <v>ENTEL CHILE - 1600001704</v>
          </cell>
          <cell r="E12">
            <v>3261326</v>
          </cell>
          <cell r="F12">
            <v>8013938</v>
          </cell>
          <cell r="G12">
            <v>2605624</v>
          </cell>
          <cell r="H12">
            <v>37581</v>
          </cell>
          <cell r="I12">
            <v>0.5</v>
          </cell>
          <cell r="J12">
            <v>3</v>
          </cell>
          <cell r="K12" t="str">
            <v>8.1</v>
          </cell>
          <cell r="M12" t="str">
            <v>CAB-ACI</v>
          </cell>
          <cell r="N12" t="str">
            <v>POWER CORD-ITALIAN</v>
          </cell>
          <cell r="O12">
            <v>0</v>
          </cell>
          <cell r="P12">
            <v>0</v>
          </cell>
          <cell r="Q12">
            <v>2</v>
          </cell>
          <cell r="R12">
            <v>0</v>
          </cell>
          <cell r="S12">
            <v>37602</v>
          </cell>
          <cell r="T12" t="str">
            <v>---</v>
          </cell>
          <cell r="W12" t="str">
            <v>3750611</v>
          </cell>
          <cell r="X12">
            <v>0</v>
          </cell>
          <cell r="Z12" t="str">
            <v>2030000002</v>
          </cell>
          <cell r="AA12">
            <v>0</v>
          </cell>
          <cell r="AE12">
            <v>37739</v>
          </cell>
          <cell r="AF12" t="str">
            <v>-</v>
          </cell>
          <cell r="AG12">
            <v>0</v>
          </cell>
          <cell r="AH12">
            <v>8</v>
          </cell>
          <cell r="AI12">
            <v>0</v>
          </cell>
          <cell r="AJ12">
            <v>0</v>
          </cell>
        </row>
        <row r="13">
          <cell r="A13">
            <v>168944</v>
          </cell>
          <cell r="B13">
            <v>37575</v>
          </cell>
          <cell r="D13" t="str">
            <v>ENTEL CHILE - 1600001704</v>
          </cell>
          <cell r="E13">
            <v>3261326</v>
          </cell>
          <cell r="F13">
            <v>8013938</v>
          </cell>
          <cell r="G13">
            <v>2605624</v>
          </cell>
          <cell r="H13">
            <v>37581</v>
          </cell>
          <cell r="I13">
            <v>0.5</v>
          </cell>
          <cell r="J13">
            <v>3</v>
          </cell>
          <cell r="K13" t="str">
            <v>9.0</v>
          </cell>
          <cell r="M13" t="str">
            <v>WS-C2950G-24-EI</v>
          </cell>
          <cell r="N13" t="str">
            <v>CATALYST 2950, 24 10/100 WITH 2 GBIC SLOTS, ENHANCED IMAGE /</v>
          </cell>
          <cell r="O13">
            <v>2495</v>
          </cell>
          <cell r="P13">
            <v>1247.5</v>
          </cell>
          <cell r="Q13">
            <v>2</v>
          </cell>
          <cell r="R13">
            <v>2495</v>
          </cell>
          <cell r="S13">
            <v>37602</v>
          </cell>
          <cell r="T13" t="str">
            <v>---</v>
          </cell>
          <cell r="W13" t="str">
            <v>3750611</v>
          </cell>
          <cell r="X13">
            <v>2495</v>
          </cell>
          <cell r="Z13" t="str">
            <v>2030000002</v>
          </cell>
          <cell r="AA13">
            <v>2844.3</v>
          </cell>
          <cell r="AE13">
            <v>37739</v>
          </cell>
          <cell r="AF13" t="str">
            <v>D</v>
          </cell>
          <cell r="AG13">
            <v>49.9</v>
          </cell>
          <cell r="AH13">
            <v>9</v>
          </cell>
          <cell r="AI13">
            <v>1422.15</v>
          </cell>
          <cell r="AJ13">
            <v>2844.3</v>
          </cell>
        </row>
        <row r="14">
          <cell r="A14">
            <v>168944</v>
          </cell>
          <cell r="B14">
            <v>37575</v>
          </cell>
          <cell r="D14" t="str">
            <v>ENTEL CHILE - 1600001704</v>
          </cell>
          <cell r="E14">
            <v>3261326</v>
          </cell>
          <cell r="F14">
            <v>8013938</v>
          </cell>
          <cell r="G14">
            <v>2605624</v>
          </cell>
          <cell r="H14">
            <v>37581</v>
          </cell>
          <cell r="I14">
            <v>0.5</v>
          </cell>
          <cell r="J14">
            <v>3</v>
          </cell>
          <cell r="K14" t="str">
            <v>9.1</v>
          </cell>
          <cell r="M14" t="str">
            <v>CAB-ACI</v>
          </cell>
          <cell r="N14" t="str">
            <v>POWER CORD-ITALIAN</v>
          </cell>
          <cell r="O14">
            <v>0</v>
          </cell>
          <cell r="P14">
            <v>0</v>
          </cell>
          <cell r="Q14">
            <v>2</v>
          </cell>
          <cell r="R14">
            <v>0</v>
          </cell>
          <cell r="S14">
            <v>37602</v>
          </cell>
          <cell r="T14" t="str">
            <v>---</v>
          </cell>
          <cell r="W14" t="str">
            <v>3750611</v>
          </cell>
          <cell r="X14">
            <v>0</v>
          </cell>
          <cell r="Z14" t="str">
            <v>2030000002</v>
          </cell>
          <cell r="AA14">
            <v>0</v>
          </cell>
          <cell r="AE14">
            <v>37739</v>
          </cell>
          <cell r="AF14" t="str">
            <v>-</v>
          </cell>
          <cell r="AG14">
            <v>0</v>
          </cell>
          <cell r="AH14">
            <v>9</v>
          </cell>
          <cell r="AI14">
            <v>0</v>
          </cell>
          <cell r="AJ14">
            <v>0</v>
          </cell>
        </row>
        <row r="15">
          <cell r="A15">
            <v>168944</v>
          </cell>
          <cell r="B15">
            <v>37575</v>
          </cell>
          <cell r="D15" t="str">
            <v>ENTEL CHILE - 1600001704</v>
          </cell>
          <cell r="E15">
            <v>3261326</v>
          </cell>
          <cell r="F15">
            <v>8013938</v>
          </cell>
          <cell r="G15">
            <v>2605624</v>
          </cell>
          <cell r="H15">
            <v>37581</v>
          </cell>
          <cell r="I15">
            <v>0.5</v>
          </cell>
          <cell r="J15">
            <v>2</v>
          </cell>
          <cell r="K15" t="str">
            <v>10.0</v>
          </cell>
          <cell r="M15" t="str">
            <v>CISCO3662-AC</v>
          </cell>
          <cell r="N15" t="str">
            <v xml:space="preserve">DUAL 10/100 E CISCO 3660 6-SLOT MODULAR ROUTER </v>
          </cell>
          <cell r="O15">
            <v>11700</v>
          </cell>
          <cell r="P15">
            <v>5850</v>
          </cell>
          <cell r="Q15">
            <v>2</v>
          </cell>
          <cell r="R15">
            <v>11700</v>
          </cell>
          <cell r="S15">
            <v>37623</v>
          </cell>
          <cell r="T15" t="str">
            <v>---</v>
          </cell>
          <cell r="W15" t="str">
            <v>3744131</v>
          </cell>
          <cell r="X15">
            <v>11700</v>
          </cell>
          <cell r="Z15" t="str">
            <v>2020000430</v>
          </cell>
          <cell r="AA15">
            <v>13338</v>
          </cell>
          <cell r="AB15">
            <v>37630</v>
          </cell>
          <cell r="AF15" t="str">
            <v>C</v>
          </cell>
          <cell r="AG15">
            <v>877.5</v>
          </cell>
          <cell r="AH15">
            <v>11</v>
          </cell>
          <cell r="AI15">
            <v>6669</v>
          </cell>
          <cell r="AJ15">
            <v>13338</v>
          </cell>
        </row>
        <row r="16">
          <cell r="A16">
            <v>168944</v>
          </cell>
          <cell r="B16">
            <v>37575</v>
          </cell>
          <cell r="D16" t="str">
            <v>ENTEL CHILE - 1600001704</v>
          </cell>
          <cell r="E16">
            <v>3261326</v>
          </cell>
          <cell r="F16">
            <v>8013938</v>
          </cell>
          <cell r="G16">
            <v>2605624</v>
          </cell>
          <cell r="H16">
            <v>37581</v>
          </cell>
          <cell r="I16">
            <v>0.5</v>
          </cell>
          <cell r="J16">
            <v>2</v>
          </cell>
          <cell r="K16" t="str">
            <v>10.1</v>
          </cell>
          <cell r="M16" t="str">
            <v>CAB-ACI</v>
          </cell>
          <cell r="N16" t="str">
            <v>POWER CORD-ITALIAN</v>
          </cell>
          <cell r="O16">
            <v>0</v>
          </cell>
          <cell r="P16">
            <v>0</v>
          </cell>
          <cell r="Q16">
            <v>4</v>
          </cell>
          <cell r="R16">
            <v>0</v>
          </cell>
          <cell r="S16">
            <v>37623</v>
          </cell>
          <cell r="T16" t="str">
            <v>---</v>
          </cell>
          <cell r="W16" t="str">
            <v>3744131</v>
          </cell>
          <cell r="X16">
            <v>0</v>
          </cell>
          <cell r="Z16" t="str">
            <v>2020000430</v>
          </cell>
          <cell r="AA16">
            <v>0</v>
          </cell>
          <cell r="AB16">
            <v>37630</v>
          </cell>
          <cell r="AF16" t="str">
            <v>-</v>
          </cell>
          <cell r="AG16">
            <v>0</v>
          </cell>
          <cell r="AH16">
            <v>11</v>
          </cell>
          <cell r="AI16">
            <v>0</v>
          </cell>
          <cell r="AJ16">
            <v>0</v>
          </cell>
        </row>
        <row r="17">
          <cell r="A17">
            <v>168944</v>
          </cell>
          <cell r="B17">
            <v>37575</v>
          </cell>
          <cell r="D17" t="str">
            <v>ENTEL CHILE - 1600001704</v>
          </cell>
          <cell r="E17">
            <v>3261326</v>
          </cell>
          <cell r="F17">
            <v>8013938</v>
          </cell>
          <cell r="G17">
            <v>2605624</v>
          </cell>
          <cell r="H17">
            <v>37581</v>
          </cell>
          <cell r="I17">
            <v>0.5</v>
          </cell>
          <cell r="J17">
            <v>2</v>
          </cell>
          <cell r="K17" t="str">
            <v>10.2</v>
          </cell>
          <cell r="M17" t="str">
            <v>S366C-12101T</v>
          </cell>
          <cell r="N17" t="str">
            <v>CISCO 3660 SERIES IOS IP</v>
          </cell>
          <cell r="O17">
            <v>0</v>
          </cell>
          <cell r="P17">
            <v>0</v>
          </cell>
          <cell r="Q17">
            <v>2</v>
          </cell>
          <cell r="R17">
            <v>0</v>
          </cell>
          <cell r="S17">
            <v>37623</v>
          </cell>
          <cell r="T17" t="str">
            <v>---</v>
          </cell>
          <cell r="W17" t="str">
            <v>3744131</v>
          </cell>
          <cell r="X17">
            <v>0</v>
          </cell>
          <cell r="Z17" t="str">
            <v>2020000430</v>
          </cell>
          <cell r="AA17">
            <v>0</v>
          </cell>
          <cell r="AB17">
            <v>37630</v>
          </cell>
          <cell r="AF17" t="str">
            <v>C</v>
          </cell>
          <cell r="AG17">
            <v>0</v>
          </cell>
          <cell r="AH17">
            <v>11</v>
          </cell>
          <cell r="AI17">
            <v>0</v>
          </cell>
          <cell r="AJ17">
            <v>0</v>
          </cell>
        </row>
        <row r="18">
          <cell r="A18">
            <v>168944</v>
          </cell>
          <cell r="B18">
            <v>37575</v>
          </cell>
          <cell r="D18" t="str">
            <v>ENTEL CHILE - 1600001704</v>
          </cell>
          <cell r="E18">
            <v>3261326</v>
          </cell>
          <cell r="F18">
            <v>8013938</v>
          </cell>
          <cell r="G18">
            <v>2605624</v>
          </cell>
          <cell r="H18">
            <v>37581</v>
          </cell>
          <cell r="I18">
            <v>0.5</v>
          </cell>
          <cell r="J18">
            <v>2</v>
          </cell>
          <cell r="K18" t="str">
            <v>10.3</v>
          </cell>
          <cell r="M18" t="str">
            <v>NM-1FE1CE1B</v>
          </cell>
          <cell r="N18" t="str">
            <v>1 PORT F ETHERNET 1 PORT CHANNELIZED E1/ISDN-PRI BALANCED NM</v>
          </cell>
          <cell r="O18">
            <v>4450</v>
          </cell>
          <cell r="P18">
            <v>2225</v>
          </cell>
          <cell r="Q18">
            <v>2</v>
          </cell>
          <cell r="R18">
            <v>4450</v>
          </cell>
          <cell r="S18">
            <v>37623</v>
          </cell>
          <cell r="T18" t="str">
            <v>---</v>
          </cell>
          <cell r="W18" t="str">
            <v>3744131</v>
          </cell>
          <cell r="X18">
            <v>4450</v>
          </cell>
          <cell r="Z18" t="str">
            <v>2020000430</v>
          </cell>
          <cell r="AA18">
            <v>5073</v>
          </cell>
          <cell r="AB18">
            <v>37630</v>
          </cell>
          <cell r="AF18" t="str">
            <v>C</v>
          </cell>
          <cell r="AG18">
            <v>333.75</v>
          </cell>
          <cell r="AH18">
            <v>13</v>
          </cell>
          <cell r="AI18">
            <v>2536.5</v>
          </cell>
          <cell r="AJ18">
            <v>5073</v>
          </cell>
        </row>
        <row r="19">
          <cell r="A19">
            <v>168944</v>
          </cell>
          <cell r="B19">
            <v>37575</v>
          </cell>
          <cell r="D19" t="str">
            <v>ENTEL CHILE - 1600001704</v>
          </cell>
          <cell r="E19">
            <v>3261326</v>
          </cell>
          <cell r="F19">
            <v>8013938</v>
          </cell>
          <cell r="G19">
            <v>2605624</v>
          </cell>
          <cell r="H19">
            <v>37581</v>
          </cell>
          <cell r="I19">
            <v>0.5</v>
          </cell>
          <cell r="J19">
            <v>2</v>
          </cell>
          <cell r="K19" t="str">
            <v>10.4</v>
          </cell>
          <cell r="M19" t="str">
            <v>NM-4T</v>
          </cell>
          <cell r="N19" t="str">
            <v>4 PORT SERIAL NETWORK MODULE</v>
          </cell>
          <cell r="O19">
            <v>3000</v>
          </cell>
          <cell r="P19">
            <v>1500</v>
          </cell>
          <cell r="Q19">
            <v>2</v>
          </cell>
          <cell r="R19">
            <v>3000</v>
          </cell>
          <cell r="S19">
            <v>37623</v>
          </cell>
          <cell r="T19" t="str">
            <v>---</v>
          </cell>
          <cell r="W19" t="str">
            <v>3744131</v>
          </cell>
          <cell r="X19">
            <v>3000</v>
          </cell>
          <cell r="Z19" t="str">
            <v>2020000430</v>
          </cell>
          <cell r="AA19">
            <v>3420</v>
          </cell>
          <cell r="AB19">
            <v>37630</v>
          </cell>
          <cell r="AF19" t="str">
            <v>C</v>
          </cell>
          <cell r="AG19">
            <v>225</v>
          </cell>
          <cell r="AH19">
            <v>5</v>
          </cell>
          <cell r="AI19">
            <v>1710</v>
          </cell>
          <cell r="AJ19">
            <v>3420</v>
          </cell>
        </row>
        <row r="20">
          <cell r="A20">
            <v>168944</v>
          </cell>
          <cell r="B20">
            <v>37575</v>
          </cell>
          <cell r="D20" t="str">
            <v>ENTEL CHILE - 1600001704</v>
          </cell>
          <cell r="E20">
            <v>3261326</v>
          </cell>
          <cell r="F20">
            <v>8013938</v>
          </cell>
          <cell r="G20">
            <v>2605624</v>
          </cell>
          <cell r="H20">
            <v>37581</v>
          </cell>
          <cell r="I20">
            <v>0.5</v>
          </cell>
          <cell r="J20">
            <v>2</v>
          </cell>
          <cell r="K20" t="str">
            <v>10.5</v>
          </cell>
          <cell r="M20" t="str">
            <v>PWR-3660-AC</v>
          </cell>
          <cell r="N20" t="str">
            <v>AC POWER SUPPLY FOR CISCO 3660</v>
          </cell>
          <cell r="O20">
            <v>500</v>
          </cell>
          <cell r="P20">
            <v>250</v>
          </cell>
          <cell r="Q20">
            <v>2</v>
          </cell>
          <cell r="R20">
            <v>500</v>
          </cell>
          <cell r="S20">
            <v>37623</v>
          </cell>
          <cell r="T20" t="str">
            <v>---</v>
          </cell>
          <cell r="W20" t="str">
            <v>3744131</v>
          </cell>
          <cell r="X20">
            <v>500</v>
          </cell>
          <cell r="Z20" t="str">
            <v>2020000430</v>
          </cell>
          <cell r="AA20">
            <v>570</v>
          </cell>
          <cell r="AB20">
            <v>37630</v>
          </cell>
          <cell r="AF20" t="str">
            <v>C</v>
          </cell>
          <cell r="AG20">
            <v>37.5</v>
          </cell>
          <cell r="AH20">
            <v>7</v>
          </cell>
          <cell r="AI20">
            <v>285</v>
          </cell>
          <cell r="AJ20">
            <v>570</v>
          </cell>
        </row>
        <row r="21">
          <cell r="A21">
            <v>168944</v>
          </cell>
          <cell r="B21">
            <v>37575</v>
          </cell>
          <cell r="D21" t="str">
            <v>ENTEL CHILE - 1600001704</v>
          </cell>
          <cell r="E21">
            <v>3261326</v>
          </cell>
          <cell r="F21">
            <v>8013938</v>
          </cell>
          <cell r="G21">
            <v>2605624</v>
          </cell>
          <cell r="H21">
            <v>37581</v>
          </cell>
          <cell r="I21">
            <v>0.5</v>
          </cell>
          <cell r="J21">
            <v>2</v>
          </cell>
          <cell r="K21" t="str">
            <v>10.6</v>
          </cell>
          <cell r="M21" t="str">
            <v>CAB-V35MT</v>
          </cell>
          <cell r="N21" t="str">
            <v>V.35 CABLE, DTE, MALE, 10 FEET</v>
          </cell>
          <cell r="O21">
            <v>100</v>
          </cell>
          <cell r="P21">
            <v>50</v>
          </cell>
          <cell r="Q21">
            <v>6</v>
          </cell>
          <cell r="R21">
            <v>300</v>
          </cell>
          <cell r="S21">
            <v>37623</v>
          </cell>
          <cell r="T21" t="str">
            <v>---</v>
          </cell>
          <cell r="W21" t="str">
            <v>3744131</v>
          </cell>
          <cell r="X21">
            <v>300</v>
          </cell>
          <cell r="Z21" t="str">
            <v>2020000430</v>
          </cell>
          <cell r="AA21">
            <v>342</v>
          </cell>
          <cell r="AB21">
            <v>37630</v>
          </cell>
          <cell r="AF21" t="str">
            <v>-</v>
          </cell>
          <cell r="AG21">
            <v>0</v>
          </cell>
          <cell r="AH21">
            <v>10</v>
          </cell>
          <cell r="AI21">
            <v>57</v>
          </cell>
          <cell r="AJ21">
            <v>342</v>
          </cell>
        </row>
        <row r="22">
          <cell r="A22">
            <v>168944</v>
          </cell>
          <cell r="B22">
            <v>37575</v>
          </cell>
          <cell r="D22" t="str">
            <v>ENTEL CHILE - 1600001704</v>
          </cell>
          <cell r="E22">
            <v>3261326</v>
          </cell>
          <cell r="F22">
            <v>8013938</v>
          </cell>
          <cell r="G22">
            <v>2605624</v>
          </cell>
          <cell r="H22">
            <v>37581</v>
          </cell>
          <cell r="I22">
            <v>0.5</v>
          </cell>
          <cell r="J22">
            <v>2</v>
          </cell>
          <cell r="K22" t="str">
            <v>10.7</v>
          </cell>
          <cell r="M22" t="str">
            <v>PWR-3660-AC</v>
          </cell>
          <cell r="N22" t="str">
            <v>AC POWER SUPPLY FOR CISCO 3660</v>
          </cell>
          <cell r="O22">
            <v>0</v>
          </cell>
          <cell r="P22">
            <v>0</v>
          </cell>
          <cell r="Q22">
            <v>2</v>
          </cell>
          <cell r="R22">
            <v>0</v>
          </cell>
          <cell r="S22">
            <v>37623</v>
          </cell>
          <cell r="T22" t="str">
            <v>---</v>
          </cell>
          <cell r="W22" t="str">
            <v>3744131</v>
          </cell>
          <cell r="X22">
            <v>0</v>
          </cell>
          <cell r="Z22" t="str">
            <v>2020000430</v>
          </cell>
          <cell r="AA22">
            <v>0</v>
          </cell>
          <cell r="AB22">
            <v>37630</v>
          </cell>
          <cell r="AF22" t="str">
            <v>C</v>
          </cell>
          <cell r="AG22">
            <v>0</v>
          </cell>
          <cell r="AH22">
            <v>11</v>
          </cell>
          <cell r="AI22">
            <v>0</v>
          </cell>
          <cell r="AJ22">
            <v>0</v>
          </cell>
        </row>
        <row r="23">
          <cell r="A23">
            <v>168944</v>
          </cell>
          <cell r="B23">
            <v>37575</v>
          </cell>
          <cell r="D23" t="str">
            <v>ENTEL CHILE - 1600001704</v>
          </cell>
          <cell r="E23">
            <v>3261326</v>
          </cell>
          <cell r="F23">
            <v>8013938</v>
          </cell>
          <cell r="G23">
            <v>2605624</v>
          </cell>
          <cell r="H23">
            <v>37581</v>
          </cell>
          <cell r="I23">
            <v>0.5</v>
          </cell>
          <cell r="J23">
            <v>1</v>
          </cell>
          <cell r="K23" t="str">
            <v>11.0</v>
          </cell>
          <cell r="M23" t="str">
            <v>CAB-V35MT</v>
          </cell>
          <cell r="N23" t="str">
            <v>V.35 CABLE, DTE, MALE, 10 FEET</v>
          </cell>
          <cell r="O23">
            <v>100</v>
          </cell>
          <cell r="P23">
            <v>50</v>
          </cell>
          <cell r="Q23">
            <v>7</v>
          </cell>
          <cell r="R23">
            <v>350</v>
          </cell>
          <cell r="S23">
            <v>37602</v>
          </cell>
          <cell r="T23" t="str">
            <v>---</v>
          </cell>
          <cell r="W23" t="str">
            <v>3744131</v>
          </cell>
          <cell r="X23">
            <v>350</v>
          </cell>
          <cell r="Z23" t="str">
            <v>2020000430</v>
          </cell>
          <cell r="AA23">
            <v>399</v>
          </cell>
          <cell r="AB23">
            <v>37630</v>
          </cell>
          <cell r="AF23" t="str">
            <v>-</v>
          </cell>
          <cell r="AG23">
            <v>0</v>
          </cell>
          <cell r="AH23">
            <v>10</v>
          </cell>
          <cell r="AI23">
            <v>57</v>
          </cell>
          <cell r="AJ23">
            <v>399</v>
          </cell>
        </row>
        <row r="24">
          <cell r="A24">
            <v>168944</v>
          </cell>
          <cell r="B24">
            <v>37575</v>
          </cell>
          <cell r="D24" t="str">
            <v>ENTEL CHILE - 1600001704</v>
          </cell>
          <cell r="E24">
            <v>3261326</v>
          </cell>
          <cell r="F24">
            <v>8013938</v>
          </cell>
          <cell r="G24">
            <v>2605624</v>
          </cell>
          <cell r="H24">
            <v>37581</v>
          </cell>
          <cell r="I24">
            <v>0.5</v>
          </cell>
          <cell r="J24">
            <v>2</v>
          </cell>
          <cell r="K24" t="str">
            <v>12.0</v>
          </cell>
          <cell r="M24" t="str">
            <v>CISCO2610</v>
          </cell>
          <cell r="N24" t="str">
            <v>ETHERNET MODULAR ROUTER W/CISCO IOS IP SOFTWARE/</v>
          </cell>
          <cell r="O24">
            <v>1995</v>
          </cell>
          <cell r="P24">
            <v>997.5</v>
          </cell>
          <cell r="Q24">
            <v>4</v>
          </cell>
          <cell r="R24">
            <v>3990</v>
          </cell>
          <cell r="S24">
            <v>37623</v>
          </cell>
          <cell r="T24" t="str">
            <v>---</v>
          </cell>
          <cell r="W24" t="str">
            <v>3744131</v>
          </cell>
          <cell r="X24">
            <v>3990</v>
          </cell>
          <cell r="Z24" t="str">
            <v>2020000430</v>
          </cell>
          <cell r="AA24">
            <v>4548.6000000000004</v>
          </cell>
          <cell r="AB24">
            <v>37630</v>
          </cell>
          <cell r="AF24" t="str">
            <v>C</v>
          </cell>
          <cell r="AG24">
            <v>299.25</v>
          </cell>
          <cell r="AH24">
            <v>12</v>
          </cell>
          <cell r="AI24">
            <v>1137.1500000000001</v>
          </cell>
          <cell r="AJ24">
            <v>4548.6000000000004</v>
          </cell>
        </row>
        <row r="25">
          <cell r="A25">
            <v>168944</v>
          </cell>
          <cell r="B25">
            <v>37575</v>
          </cell>
          <cell r="D25" t="str">
            <v>ENTEL CHILE - 1600001704</v>
          </cell>
          <cell r="E25">
            <v>3261326</v>
          </cell>
          <cell r="F25">
            <v>8013938</v>
          </cell>
          <cell r="G25">
            <v>2605624</v>
          </cell>
          <cell r="H25">
            <v>37581</v>
          </cell>
          <cell r="I25">
            <v>0.5</v>
          </cell>
          <cell r="J25">
            <v>2</v>
          </cell>
          <cell r="K25" t="str">
            <v>12.1</v>
          </cell>
          <cell r="M25" t="str">
            <v>CAB-ACI</v>
          </cell>
          <cell r="N25" t="str">
            <v>POWER CORD-ITALIAN</v>
          </cell>
          <cell r="O25">
            <v>0</v>
          </cell>
          <cell r="P25">
            <v>0</v>
          </cell>
          <cell r="Q25">
            <v>4</v>
          </cell>
          <cell r="R25">
            <v>0</v>
          </cell>
          <cell r="S25">
            <v>37623</v>
          </cell>
          <cell r="T25" t="str">
            <v>---</v>
          </cell>
          <cell r="W25" t="str">
            <v>3744131</v>
          </cell>
          <cell r="X25">
            <v>0</v>
          </cell>
          <cell r="Z25" t="str">
            <v>2020000430</v>
          </cell>
          <cell r="AA25">
            <v>0</v>
          </cell>
          <cell r="AB25">
            <v>37630</v>
          </cell>
          <cell r="AF25" t="str">
            <v>-</v>
          </cell>
          <cell r="AG25">
            <v>0</v>
          </cell>
          <cell r="AH25">
            <v>12</v>
          </cell>
          <cell r="AI25">
            <v>0</v>
          </cell>
          <cell r="AJ25">
            <v>0</v>
          </cell>
        </row>
        <row r="26">
          <cell r="A26">
            <v>168944</v>
          </cell>
          <cell r="B26">
            <v>37575</v>
          </cell>
          <cell r="D26" t="str">
            <v>ENTEL CHILE - 1600001704</v>
          </cell>
          <cell r="E26">
            <v>3261326</v>
          </cell>
          <cell r="F26">
            <v>8013938</v>
          </cell>
          <cell r="G26">
            <v>2605624</v>
          </cell>
          <cell r="H26">
            <v>37581</v>
          </cell>
          <cell r="I26">
            <v>0.5</v>
          </cell>
          <cell r="J26">
            <v>2</v>
          </cell>
          <cell r="K26" t="str">
            <v>12.2</v>
          </cell>
          <cell r="M26" t="str">
            <v>S26C-12205</v>
          </cell>
          <cell r="N26" t="str">
            <v>CISCO 2600 SERIES IOS IP</v>
          </cell>
          <cell r="O26">
            <v>0</v>
          </cell>
          <cell r="P26">
            <v>0</v>
          </cell>
          <cell r="Q26">
            <v>4</v>
          </cell>
          <cell r="R26">
            <v>0</v>
          </cell>
          <cell r="S26">
            <v>37623</v>
          </cell>
          <cell r="T26" t="str">
            <v>---</v>
          </cell>
          <cell r="W26" t="str">
            <v>3744131</v>
          </cell>
          <cell r="X26">
            <v>0</v>
          </cell>
          <cell r="Z26" t="str">
            <v>2020000430</v>
          </cell>
          <cell r="AA26">
            <v>0</v>
          </cell>
          <cell r="AB26">
            <v>37630</v>
          </cell>
          <cell r="AF26" t="str">
            <v>C</v>
          </cell>
          <cell r="AG26">
            <v>0</v>
          </cell>
          <cell r="AH26">
            <v>12</v>
          </cell>
          <cell r="AI26">
            <v>0</v>
          </cell>
          <cell r="AJ26">
            <v>0</v>
          </cell>
        </row>
        <row r="27">
          <cell r="A27">
            <v>168945</v>
          </cell>
          <cell r="B27">
            <v>37575</v>
          </cell>
          <cell r="D27" t="str">
            <v>ENTEL CHILE - 1600001705</v>
          </cell>
          <cell r="E27">
            <v>3244628</v>
          </cell>
          <cell r="F27">
            <v>8014072</v>
          </cell>
          <cell r="G27">
            <v>2605653</v>
          </cell>
          <cell r="H27">
            <v>37581</v>
          </cell>
          <cell r="I27">
            <v>0.5</v>
          </cell>
          <cell r="J27">
            <v>2</v>
          </cell>
          <cell r="K27">
            <v>1</v>
          </cell>
          <cell r="M27" t="str">
            <v>NM-4T</v>
          </cell>
          <cell r="N27" t="str">
            <v>4-PORT SYNC SERIAL NETWORK MODULE /</v>
          </cell>
          <cell r="O27">
            <v>3000</v>
          </cell>
          <cell r="P27">
            <v>1500</v>
          </cell>
          <cell r="Q27">
            <v>1</v>
          </cell>
          <cell r="R27">
            <v>1500</v>
          </cell>
          <cell r="S27">
            <v>37616</v>
          </cell>
          <cell r="T27" t="str">
            <v>---</v>
          </cell>
          <cell r="W27" t="str">
            <v>3741895</v>
          </cell>
          <cell r="X27">
            <v>1500</v>
          </cell>
          <cell r="Z27" t="str">
            <v>2020000432</v>
          </cell>
          <cell r="AA27">
            <v>1710</v>
          </cell>
          <cell r="AF27" t="str">
            <v>C</v>
          </cell>
          <cell r="AG27">
            <v>112.5</v>
          </cell>
          <cell r="AH27">
            <v>3</v>
          </cell>
          <cell r="AI27">
            <v>1710</v>
          </cell>
          <cell r="AJ27">
            <v>1710</v>
          </cell>
        </row>
        <row r="28">
          <cell r="A28">
            <v>168945</v>
          </cell>
          <cell r="B28">
            <v>37575</v>
          </cell>
          <cell r="D28" t="str">
            <v>ENTEL CHILE - 1600001705</v>
          </cell>
          <cell r="E28">
            <v>3244628</v>
          </cell>
          <cell r="F28">
            <v>8014072</v>
          </cell>
          <cell r="G28">
            <v>2605653</v>
          </cell>
          <cell r="H28">
            <v>37581</v>
          </cell>
          <cell r="I28">
            <v>0.5</v>
          </cell>
          <cell r="J28">
            <v>2</v>
          </cell>
          <cell r="K28">
            <v>2</v>
          </cell>
          <cell r="M28" t="str">
            <v>CISCO3662-AC</v>
          </cell>
          <cell r="N28" t="str">
            <v xml:space="preserve">DUAL 10/100 E CISCO 3660 6-SLOT MODULAR ROUTER </v>
          </cell>
          <cell r="O28">
            <v>11700</v>
          </cell>
          <cell r="P28">
            <v>5850</v>
          </cell>
          <cell r="Q28">
            <v>1</v>
          </cell>
          <cell r="R28">
            <v>5850</v>
          </cell>
          <cell r="S28">
            <v>37616</v>
          </cell>
          <cell r="T28" t="str">
            <v>---</v>
          </cell>
          <cell r="W28" t="str">
            <v>3741895</v>
          </cell>
          <cell r="X28">
            <v>5850</v>
          </cell>
          <cell r="Z28" t="str">
            <v>2020000432</v>
          </cell>
          <cell r="AA28">
            <v>6669</v>
          </cell>
          <cell r="AF28" t="str">
            <v>C</v>
          </cell>
          <cell r="AG28">
            <v>438.75</v>
          </cell>
          <cell r="AH28">
            <v>4</v>
          </cell>
          <cell r="AI28">
            <v>6669</v>
          </cell>
          <cell r="AJ28">
            <v>6669</v>
          </cell>
        </row>
        <row r="29">
          <cell r="A29">
            <v>168945</v>
          </cell>
          <cell r="B29">
            <v>37575</v>
          </cell>
          <cell r="D29" t="str">
            <v>ENTEL CHILE - 1600001705</v>
          </cell>
          <cell r="E29">
            <v>3244628</v>
          </cell>
          <cell r="F29">
            <v>8014072</v>
          </cell>
          <cell r="G29">
            <v>2605653</v>
          </cell>
          <cell r="H29">
            <v>37581</v>
          </cell>
          <cell r="I29">
            <v>0.5</v>
          </cell>
          <cell r="J29">
            <v>2</v>
          </cell>
          <cell r="K29">
            <v>2.1</v>
          </cell>
          <cell r="M29" t="str">
            <v>CAB-ACI</v>
          </cell>
          <cell r="N29" t="str">
            <v>POWER CORD-ITALIAN</v>
          </cell>
          <cell r="O29">
            <v>0</v>
          </cell>
          <cell r="P29">
            <v>0</v>
          </cell>
          <cell r="Q29">
            <v>1</v>
          </cell>
          <cell r="R29">
            <v>0</v>
          </cell>
          <cell r="S29">
            <v>37616</v>
          </cell>
          <cell r="T29" t="str">
            <v>---</v>
          </cell>
          <cell r="W29" t="str">
            <v>3741895</v>
          </cell>
          <cell r="X29">
            <v>0</v>
          </cell>
          <cell r="Z29" t="str">
            <v>2020000432</v>
          </cell>
          <cell r="AA29">
            <v>0</v>
          </cell>
          <cell r="AF29" t="str">
            <v>-</v>
          </cell>
          <cell r="AG29">
            <v>0</v>
          </cell>
          <cell r="AH29">
            <v>4</v>
          </cell>
          <cell r="AI29">
            <v>0</v>
          </cell>
          <cell r="AJ29">
            <v>0</v>
          </cell>
        </row>
        <row r="30">
          <cell r="A30">
            <v>168945</v>
          </cell>
          <cell r="B30">
            <v>37575</v>
          </cell>
          <cell r="D30" t="str">
            <v>ENTEL CHILE - 1600001705</v>
          </cell>
          <cell r="E30">
            <v>3244628</v>
          </cell>
          <cell r="F30">
            <v>8014072</v>
          </cell>
          <cell r="G30">
            <v>2605653</v>
          </cell>
          <cell r="H30">
            <v>37581</v>
          </cell>
          <cell r="I30">
            <v>0.5</v>
          </cell>
          <cell r="J30">
            <v>2</v>
          </cell>
          <cell r="K30">
            <v>2.2000000000000002</v>
          </cell>
          <cell r="M30" t="str">
            <v>S366C-12105</v>
          </cell>
          <cell r="N30" t="str">
            <v>CISCO 3660 SERIES IOS IP</v>
          </cell>
          <cell r="O30">
            <v>0</v>
          </cell>
          <cell r="P30">
            <v>0</v>
          </cell>
          <cell r="Q30">
            <v>1</v>
          </cell>
          <cell r="R30">
            <v>0</v>
          </cell>
          <cell r="S30">
            <v>37616</v>
          </cell>
          <cell r="T30" t="str">
            <v>---</v>
          </cell>
          <cell r="W30" t="str">
            <v>3741895</v>
          </cell>
          <cell r="X30">
            <v>0</v>
          </cell>
          <cell r="Z30" t="str">
            <v>2020000432</v>
          </cell>
          <cell r="AA30">
            <v>0</v>
          </cell>
          <cell r="AF30" t="str">
            <v>C</v>
          </cell>
          <cell r="AG30">
            <v>0</v>
          </cell>
          <cell r="AH30">
            <v>4</v>
          </cell>
          <cell r="AI30">
            <v>0</v>
          </cell>
          <cell r="AJ30">
            <v>0</v>
          </cell>
        </row>
        <row r="31">
          <cell r="A31">
            <v>168945</v>
          </cell>
          <cell r="B31">
            <v>37575</v>
          </cell>
          <cell r="D31" t="str">
            <v>ENTEL CHILE - 1600001705</v>
          </cell>
          <cell r="E31">
            <v>3244628</v>
          </cell>
          <cell r="F31">
            <v>8014072</v>
          </cell>
          <cell r="G31">
            <v>2605653</v>
          </cell>
          <cell r="H31">
            <v>37581</v>
          </cell>
          <cell r="I31">
            <v>0.5</v>
          </cell>
          <cell r="J31">
            <v>2</v>
          </cell>
          <cell r="K31">
            <v>2.2999999999999998</v>
          </cell>
          <cell r="M31" t="str">
            <v>PWR-3660-AC</v>
          </cell>
          <cell r="N31" t="str">
            <v>AC POWER SUPPLY FOR CISCO 3660</v>
          </cell>
          <cell r="O31">
            <v>0</v>
          </cell>
          <cell r="P31">
            <v>0</v>
          </cell>
          <cell r="Q31">
            <v>1</v>
          </cell>
          <cell r="R31">
            <v>0</v>
          </cell>
          <cell r="S31">
            <v>37616</v>
          </cell>
          <cell r="T31" t="str">
            <v>---</v>
          </cell>
          <cell r="W31" t="str">
            <v>3741895</v>
          </cell>
          <cell r="X31">
            <v>0</v>
          </cell>
          <cell r="Z31" t="str">
            <v>2020000432</v>
          </cell>
          <cell r="AA31">
            <v>0</v>
          </cell>
          <cell r="AF31" t="str">
            <v>C</v>
          </cell>
          <cell r="AG31">
            <v>0</v>
          </cell>
          <cell r="AH31">
            <v>4</v>
          </cell>
          <cell r="AI31">
            <v>0</v>
          </cell>
          <cell r="AJ31">
            <v>0</v>
          </cell>
        </row>
        <row r="32">
          <cell r="A32">
            <v>168945</v>
          </cell>
          <cell r="B32">
            <v>37575</v>
          </cell>
          <cell r="D32" t="str">
            <v>ENTEL CHILE - 1600001705</v>
          </cell>
          <cell r="E32">
            <v>3244628</v>
          </cell>
          <cell r="F32">
            <v>8014072</v>
          </cell>
          <cell r="G32">
            <v>2605653</v>
          </cell>
          <cell r="H32">
            <v>37581</v>
          </cell>
          <cell r="I32">
            <v>0.5</v>
          </cell>
          <cell r="J32">
            <v>2</v>
          </cell>
          <cell r="K32">
            <v>3</v>
          </cell>
          <cell r="M32" t="str">
            <v>NM-1FE2W</v>
          </cell>
          <cell r="N32" t="str">
            <v>10/100 ETHERNET 2 WAN CARD SLOT NETWORK MODULE</v>
          </cell>
          <cell r="O32">
            <v>2300</v>
          </cell>
          <cell r="P32">
            <v>1150</v>
          </cell>
          <cell r="Q32">
            <v>2</v>
          </cell>
          <cell r="R32">
            <v>2300</v>
          </cell>
          <cell r="S32">
            <v>37616</v>
          </cell>
          <cell r="T32" t="str">
            <v>---</v>
          </cell>
          <cell r="W32" t="str">
            <v>3741895</v>
          </cell>
          <cell r="X32">
            <v>2300</v>
          </cell>
          <cell r="Z32" t="str">
            <v>2020000432</v>
          </cell>
          <cell r="AA32">
            <v>2622</v>
          </cell>
          <cell r="AF32" t="str">
            <v>C</v>
          </cell>
          <cell r="AG32">
            <v>172.5</v>
          </cell>
          <cell r="AH32">
            <v>9</v>
          </cell>
          <cell r="AI32">
            <v>1311</v>
          </cell>
          <cell r="AJ32">
            <v>2622</v>
          </cell>
        </row>
        <row r="33">
          <cell r="A33">
            <v>168945</v>
          </cell>
          <cell r="B33">
            <v>37575</v>
          </cell>
          <cell r="D33" t="str">
            <v>ENTEL CHILE - 1600001705</v>
          </cell>
          <cell r="E33">
            <v>3244628</v>
          </cell>
          <cell r="F33">
            <v>8014072</v>
          </cell>
          <cell r="G33">
            <v>2605653</v>
          </cell>
          <cell r="H33">
            <v>37581</v>
          </cell>
          <cell r="I33">
            <v>0.5</v>
          </cell>
          <cell r="J33">
            <v>3</v>
          </cell>
          <cell r="K33">
            <v>4</v>
          </cell>
          <cell r="M33" t="str">
            <v>WS-C2950-24</v>
          </cell>
          <cell r="N33" t="str">
            <v>24 PORT, 10/100 CATALYST SWITCH, STANDARD IMAGE ONLY /</v>
          </cell>
          <cell r="O33">
            <v>995</v>
          </cell>
          <cell r="P33">
            <v>497.5</v>
          </cell>
          <cell r="Q33">
            <v>10</v>
          </cell>
          <cell r="R33">
            <v>4975</v>
          </cell>
          <cell r="S33">
            <v>37616</v>
          </cell>
          <cell r="T33" t="str">
            <v>---</v>
          </cell>
          <cell r="W33" t="str">
            <v>3741895</v>
          </cell>
          <cell r="X33">
            <v>4975</v>
          </cell>
          <cell r="Z33" t="str">
            <v>2020000432</v>
          </cell>
          <cell r="AA33">
            <v>5671.5</v>
          </cell>
          <cell r="AF33" t="str">
            <v>D</v>
          </cell>
          <cell r="AG33">
            <v>99.5</v>
          </cell>
          <cell r="AH33">
            <v>13</v>
          </cell>
          <cell r="AI33">
            <v>567.15</v>
          </cell>
          <cell r="AJ33">
            <v>5671.5</v>
          </cell>
        </row>
        <row r="34">
          <cell r="A34">
            <v>168945</v>
          </cell>
          <cell r="B34">
            <v>37575</v>
          </cell>
          <cell r="D34" t="str">
            <v>ENTEL CHILE - 1600001705</v>
          </cell>
          <cell r="E34">
            <v>3244628</v>
          </cell>
          <cell r="F34">
            <v>8014072</v>
          </cell>
          <cell r="G34">
            <v>2605653</v>
          </cell>
          <cell r="H34">
            <v>37581</v>
          </cell>
          <cell r="I34">
            <v>0.5</v>
          </cell>
          <cell r="J34">
            <v>3</v>
          </cell>
          <cell r="K34">
            <v>4.0999999999999996</v>
          </cell>
          <cell r="M34" t="str">
            <v>CAB-ACI</v>
          </cell>
          <cell r="N34" t="str">
            <v>POWER CORD-ITALIAN</v>
          </cell>
          <cell r="O34">
            <v>0</v>
          </cell>
          <cell r="P34">
            <v>0</v>
          </cell>
          <cell r="Q34">
            <v>10</v>
          </cell>
          <cell r="R34">
            <v>0</v>
          </cell>
          <cell r="S34">
            <v>37616</v>
          </cell>
          <cell r="T34" t="str">
            <v>---</v>
          </cell>
          <cell r="W34" t="str">
            <v>3741895</v>
          </cell>
          <cell r="X34">
            <v>0</v>
          </cell>
          <cell r="Z34" t="str">
            <v>2020000432</v>
          </cell>
          <cell r="AA34">
            <v>0</v>
          </cell>
          <cell r="AF34" t="str">
            <v>-</v>
          </cell>
          <cell r="AG34">
            <v>0</v>
          </cell>
          <cell r="AH34">
            <v>13</v>
          </cell>
          <cell r="AI34">
            <v>0</v>
          </cell>
          <cell r="AJ34">
            <v>0</v>
          </cell>
        </row>
        <row r="35">
          <cell r="A35">
            <v>168945</v>
          </cell>
          <cell r="B35">
            <v>37575</v>
          </cell>
          <cell r="D35" t="str">
            <v>ENTEL CHILE - 1600001705</v>
          </cell>
          <cell r="E35">
            <v>3244628</v>
          </cell>
          <cell r="F35">
            <v>8014072</v>
          </cell>
          <cell r="G35">
            <v>2605653</v>
          </cell>
          <cell r="H35">
            <v>37581</v>
          </cell>
          <cell r="I35">
            <v>0.5</v>
          </cell>
          <cell r="J35">
            <v>4</v>
          </cell>
          <cell r="K35">
            <v>5</v>
          </cell>
          <cell r="M35" t="str">
            <v>WS-C2924M-XL-EN</v>
          </cell>
          <cell r="N35" t="str">
            <v xml:space="preserve">24-PORT 10/100 SWITCH W/TWO MODULE SLOTS (ENTERPRISE EDITION / </v>
          </cell>
          <cell r="O35">
            <v>2495</v>
          </cell>
          <cell r="P35">
            <v>1247.5</v>
          </cell>
          <cell r="Q35">
            <v>3</v>
          </cell>
          <cell r="R35">
            <v>3742.5</v>
          </cell>
          <cell r="S35">
            <v>37616</v>
          </cell>
          <cell r="T35" t="str">
            <v>---</v>
          </cell>
          <cell r="W35" t="str">
            <v>3741895</v>
          </cell>
          <cell r="X35">
            <v>3742.5</v>
          </cell>
          <cell r="Z35" t="str">
            <v>2020000432</v>
          </cell>
          <cell r="AA35">
            <v>4266.4500000000007</v>
          </cell>
          <cell r="AF35" t="str">
            <v>D</v>
          </cell>
          <cell r="AG35">
            <v>74.850000000000009</v>
          </cell>
          <cell r="AH35">
            <v>6</v>
          </cell>
          <cell r="AI35">
            <v>1422.15</v>
          </cell>
          <cell r="AJ35">
            <v>4266.4500000000007</v>
          </cell>
        </row>
        <row r="36">
          <cell r="A36">
            <v>168945</v>
          </cell>
          <cell r="B36">
            <v>37575</v>
          </cell>
          <cell r="D36" t="str">
            <v>ENTEL CHILE - 1600001705</v>
          </cell>
          <cell r="E36">
            <v>3244628</v>
          </cell>
          <cell r="F36">
            <v>8014072</v>
          </cell>
          <cell r="G36">
            <v>2605653</v>
          </cell>
          <cell r="H36">
            <v>37581</v>
          </cell>
          <cell r="I36">
            <v>0.5</v>
          </cell>
          <cell r="J36">
            <v>4</v>
          </cell>
          <cell r="K36">
            <v>5.0999999999999996</v>
          </cell>
          <cell r="M36" t="str">
            <v>CAB-ACI</v>
          </cell>
          <cell r="N36" t="str">
            <v>POWER CORD-ITALIAN</v>
          </cell>
          <cell r="O36">
            <v>0</v>
          </cell>
          <cell r="P36">
            <v>0</v>
          </cell>
          <cell r="Q36">
            <v>3</v>
          </cell>
          <cell r="R36">
            <v>0</v>
          </cell>
          <cell r="S36">
            <v>37616</v>
          </cell>
          <cell r="T36" t="str">
            <v>---</v>
          </cell>
          <cell r="W36" t="str">
            <v>3741895</v>
          </cell>
          <cell r="X36">
            <v>0</v>
          </cell>
          <cell r="Z36" t="str">
            <v>2020000432</v>
          </cell>
          <cell r="AA36">
            <v>0</v>
          </cell>
          <cell r="AF36" t="str">
            <v>-</v>
          </cell>
          <cell r="AG36">
            <v>0</v>
          </cell>
          <cell r="AH36">
            <v>6</v>
          </cell>
          <cell r="AI36">
            <v>0</v>
          </cell>
          <cell r="AJ36">
            <v>0</v>
          </cell>
        </row>
        <row r="37">
          <cell r="A37">
            <v>168945</v>
          </cell>
          <cell r="B37">
            <v>37575</v>
          </cell>
          <cell r="D37" t="str">
            <v>ENTEL CHILE - 1600001705</v>
          </cell>
          <cell r="E37">
            <v>3244628</v>
          </cell>
          <cell r="F37">
            <v>8014072</v>
          </cell>
          <cell r="G37">
            <v>2605653</v>
          </cell>
          <cell r="H37">
            <v>37581</v>
          </cell>
          <cell r="I37">
            <v>0.5</v>
          </cell>
          <cell r="J37">
            <v>2</v>
          </cell>
          <cell r="K37">
            <v>6</v>
          </cell>
          <cell r="M37" t="str">
            <v>NM-1E2W</v>
          </cell>
          <cell r="N37" t="str">
            <v>ETHERNET 2 WAN CARD SLOT NETWORK MODULE</v>
          </cell>
          <cell r="O37">
            <v>1500</v>
          </cell>
          <cell r="P37">
            <v>750</v>
          </cell>
          <cell r="Q37">
            <v>10</v>
          </cell>
          <cell r="R37">
            <v>7500</v>
          </cell>
          <cell r="S37">
            <v>37616</v>
          </cell>
          <cell r="T37" t="str">
            <v>---</v>
          </cell>
          <cell r="W37" t="str">
            <v>3741895</v>
          </cell>
          <cell r="X37">
            <v>7500</v>
          </cell>
          <cell r="Z37" t="str">
            <v>2020000432</v>
          </cell>
          <cell r="AA37">
            <v>8550</v>
          </cell>
          <cell r="AF37" t="str">
            <v>C</v>
          </cell>
          <cell r="AG37">
            <v>562.5</v>
          </cell>
          <cell r="AH37">
            <v>8</v>
          </cell>
          <cell r="AI37">
            <v>855</v>
          </cell>
          <cell r="AJ37">
            <v>8550</v>
          </cell>
        </row>
        <row r="38">
          <cell r="A38">
            <v>168945</v>
          </cell>
          <cell r="B38">
            <v>37575</v>
          </cell>
          <cell r="D38" t="str">
            <v>ENTEL CHILE - 1600001705</v>
          </cell>
          <cell r="E38">
            <v>3244628</v>
          </cell>
          <cell r="F38">
            <v>8014072</v>
          </cell>
          <cell r="G38">
            <v>2605653</v>
          </cell>
          <cell r="H38">
            <v>37581</v>
          </cell>
          <cell r="I38">
            <v>0.5</v>
          </cell>
          <cell r="J38">
            <v>2</v>
          </cell>
          <cell r="K38">
            <v>7</v>
          </cell>
          <cell r="M38" t="str">
            <v>CISCO1605-R</v>
          </cell>
          <cell r="N38" t="str">
            <v>DUAL ETHERNET/WAN SLOT MODULAR ROUTER, 4M FLASH/8M DRAM /</v>
          </cell>
          <cell r="O38">
            <v>1495</v>
          </cell>
          <cell r="P38">
            <v>747.5</v>
          </cell>
          <cell r="Q38">
            <v>2</v>
          </cell>
          <cell r="R38">
            <v>1495</v>
          </cell>
          <cell r="S38">
            <v>37616</v>
          </cell>
          <cell r="T38" t="str">
            <v>---</v>
          </cell>
          <cell r="W38" t="str">
            <v>3741895</v>
          </cell>
          <cell r="X38">
            <v>1495</v>
          </cell>
          <cell r="Z38" t="str">
            <v>2020000432</v>
          </cell>
          <cell r="AA38">
            <v>1704.3</v>
          </cell>
          <cell r="AF38" t="str">
            <v>D</v>
          </cell>
          <cell r="AG38">
            <v>29.900000000000002</v>
          </cell>
          <cell r="AH38">
            <v>1</v>
          </cell>
          <cell r="AI38">
            <v>852.15</v>
          </cell>
          <cell r="AJ38">
            <v>1704.3</v>
          </cell>
        </row>
        <row r="39">
          <cell r="A39">
            <v>168945</v>
          </cell>
          <cell r="B39">
            <v>37575</v>
          </cell>
          <cell r="D39" t="str">
            <v>ENTEL CHILE - 1600001705</v>
          </cell>
          <cell r="E39">
            <v>3244628</v>
          </cell>
          <cell r="F39">
            <v>8014072</v>
          </cell>
          <cell r="G39">
            <v>2605653</v>
          </cell>
          <cell r="H39">
            <v>37581</v>
          </cell>
          <cell r="I39">
            <v>0.5</v>
          </cell>
          <cell r="J39">
            <v>2</v>
          </cell>
          <cell r="K39">
            <v>7.1</v>
          </cell>
          <cell r="M39" t="str">
            <v>CAB-ACI</v>
          </cell>
          <cell r="N39" t="str">
            <v>POWER CORD-ITALIAN</v>
          </cell>
          <cell r="O39">
            <v>0</v>
          </cell>
          <cell r="P39">
            <v>0</v>
          </cell>
          <cell r="Q39">
            <v>2</v>
          </cell>
          <cell r="R39">
            <v>0</v>
          </cell>
          <cell r="S39">
            <v>37616</v>
          </cell>
          <cell r="T39" t="str">
            <v>---</v>
          </cell>
          <cell r="W39" t="str">
            <v>3741895</v>
          </cell>
          <cell r="X39">
            <v>0</v>
          </cell>
          <cell r="Z39" t="str">
            <v>2020000432</v>
          </cell>
          <cell r="AA39">
            <v>0</v>
          </cell>
          <cell r="AF39" t="str">
            <v>-</v>
          </cell>
          <cell r="AG39">
            <v>0</v>
          </cell>
          <cell r="AH39">
            <v>1</v>
          </cell>
          <cell r="AI39">
            <v>0</v>
          </cell>
          <cell r="AJ39">
            <v>0</v>
          </cell>
        </row>
        <row r="40">
          <cell r="A40">
            <v>168945</v>
          </cell>
          <cell r="B40">
            <v>37575</v>
          </cell>
          <cell r="D40" t="str">
            <v>ENTEL CHILE - 1600001705</v>
          </cell>
          <cell r="E40">
            <v>3244628</v>
          </cell>
          <cell r="F40">
            <v>8014072</v>
          </cell>
          <cell r="G40">
            <v>2605653</v>
          </cell>
          <cell r="H40">
            <v>37581</v>
          </cell>
          <cell r="I40">
            <v>0.5</v>
          </cell>
          <cell r="J40">
            <v>2</v>
          </cell>
          <cell r="K40">
            <v>7.2</v>
          </cell>
          <cell r="M40" t="str">
            <v>S16RC-12.0.18</v>
          </cell>
          <cell r="N40" t="str">
            <v>CISCO 1600R SERIES IOS IP</v>
          </cell>
          <cell r="O40">
            <v>0</v>
          </cell>
          <cell r="P40">
            <v>0</v>
          </cell>
          <cell r="Q40">
            <v>2</v>
          </cell>
          <cell r="R40">
            <v>0</v>
          </cell>
          <cell r="S40">
            <v>37616</v>
          </cell>
          <cell r="T40" t="str">
            <v>---</v>
          </cell>
          <cell r="W40" t="str">
            <v>3741895</v>
          </cell>
          <cell r="X40">
            <v>0</v>
          </cell>
          <cell r="Z40" t="str">
            <v>2020000432</v>
          </cell>
          <cell r="AA40">
            <v>0</v>
          </cell>
          <cell r="AF40" t="str">
            <v>D</v>
          </cell>
          <cell r="AG40">
            <v>0</v>
          </cell>
          <cell r="AH40">
            <v>1</v>
          </cell>
          <cell r="AI40">
            <v>0</v>
          </cell>
          <cell r="AJ40">
            <v>0</v>
          </cell>
        </row>
        <row r="41">
          <cell r="A41">
            <v>168945</v>
          </cell>
          <cell r="B41">
            <v>37575</v>
          </cell>
          <cell r="D41" t="str">
            <v>ENTEL CHILE - 1600001705</v>
          </cell>
          <cell r="E41">
            <v>3244628</v>
          </cell>
          <cell r="F41">
            <v>8014072</v>
          </cell>
          <cell r="G41">
            <v>2605653</v>
          </cell>
          <cell r="H41">
            <v>37581</v>
          </cell>
          <cell r="I41">
            <v>0.5</v>
          </cell>
          <cell r="J41">
            <v>2</v>
          </cell>
          <cell r="K41">
            <v>7.3</v>
          </cell>
          <cell r="M41" t="str">
            <v>MEM1600R-4FC</v>
          </cell>
          <cell r="N41" t="str">
            <v>4MB FLASH CARD FOR CISCO 1600 R</v>
          </cell>
          <cell r="O41">
            <v>0</v>
          </cell>
          <cell r="P41">
            <v>0</v>
          </cell>
          <cell r="Q41">
            <v>2</v>
          </cell>
          <cell r="R41">
            <v>0</v>
          </cell>
          <cell r="S41">
            <v>37616</v>
          </cell>
          <cell r="T41" t="str">
            <v>---</v>
          </cell>
          <cell r="W41" t="str">
            <v>3741895</v>
          </cell>
          <cell r="X41">
            <v>0</v>
          </cell>
          <cell r="Z41" t="str">
            <v>2020000432</v>
          </cell>
          <cell r="AA41">
            <v>0</v>
          </cell>
          <cell r="AF41" t="str">
            <v>D</v>
          </cell>
          <cell r="AG41">
            <v>0</v>
          </cell>
          <cell r="AH41">
            <v>1</v>
          </cell>
          <cell r="AI41">
            <v>0</v>
          </cell>
          <cell r="AJ41">
            <v>0</v>
          </cell>
        </row>
        <row r="42">
          <cell r="A42">
            <v>168945</v>
          </cell>
          <cell r="B42">
            <v>37575</v>
          </cell>
          <cell r="D42" t="str">
            <v>ENTEL CHILE - 1600001705</v>
          </cell>
          <cell r="E42">
            <v>3244628</v>
          </cell>
          <cell r="F42">
            <v>8014072</v>
          </cell>
          <cell r="G42">
            <v>2605653</v>
          </cell>
          <cell r="H42">
            <v>37581</v>
          </cell>
          <cell r="I42">
            <v>0.5</v>
          </cell>
          <cell r="J42">
            <v>3</v>
          </cell>
          <cell r="K42">
            <v>9</v>
          </cell>
          <cell r="M42" t="str">
            <v>WS-C2950-12</v>
          </cell>
          <cell r="N42" t="str">
            <v>12 PORT, 10/100 CATALYST SWITCH, STANDARD IMAGE ONLY</v>
          </cell>
          <cell r="O42">
            <v>895</v>
          </cell>
          <cell r="P42">
            <v>447.5</v>
          </cell>
          <cell r="Q42">
            <v>5</v>
          </cell>
          <cell r="R42">
            <v>2237.5</v>
          </cell>
          <cell r="S42">
            <v>37616</v>
          </cell>
          <cell r="T42" t="str">
            <v>---</v>
          </cell>
          <cell r="W42" t="str">
            <v>3741895</v>
          </cell>
          <cell r="X42">
            <v>2237.5</v>
          </cell>
          <cell r="Z42" t="str">
            <v>2020000432</v>
          </cell>
          <cell r="AA42">
            <v>2550.75</v>
          </cell>
          <cell r="AF42" t="str">
            <v>D</v>
          </cell>
          <cell r="AG42">
            <v>44.75</v>
          </cell>
          <cell r="AH42">
            <v>14</v>
          </cell>
          <cell r="AI42">
            <v>510.15</v>
          </cell>
          <cell r="AJ42">
            <v>2550.75</v>
          </cell>
        </row>
        <row r="43">
          <cell r="A43">
            <v>168945</v>
          </cell>
          <cell r="B43">
            <v>37575</v>
          </cell>
          <cell r="D43" t="str">
            <v>ENTEL CHILE - 1600001705</v>
          </cell>
          <cell r="E43">
            <v>3244628</v>
          </cell>
          <cell r="F43">
            <v>8014072</v>
          </cell>
          <cell r="G43">
            <v>2605653</v>
          </cell>
          <cell r="H43">
            <v>37581</v>
          </cell>
          <cell r="I43">
            <v>0.5</v>
          </cell>
          <cell r="J43">
            <v>3</v>
          </cell>
          <cell r="K43">
            <v>9.1</v>
          </cell>
          <cell r="M43" t="str">
            <v>CAB-ACI</v>
          </cell>
          <cell r="N43" t="str">
            <v>POWER CORD-ITALIAN</v>
          </cell>
          <cell r="O43">
            <v>0</v>
          </cell>
          <cell r="P43">
            <v>0</v>
          </cell>
          <cell r="Q43">
            <v>5</v>
          </cell>
          <cell r="R43">
            <v>0</v>
          </cell>
          <cell r="S43">
            <v>37616</v>
          </cell>
          <cell r="T43" t="str">
            <v>---</v>
          </cell>
          <cell r="W43" t="str">
            <v>3741895</v>
          </cell>
          <cell r="X43">
            <v>0</v>
          </cell>
          <cell r="Z43" t="str">
            <v>2020000432</v>
          </cell>
          <cell r="AA43">
            <v>0</v>
          </cell>
          <cell r="AF43" t="str">
            <v>-</v>
          </cell>
          <cell r="AG43">
            <v>0</v>
          </cell>
          <cell r="AH43">
            <v>14</v>
          </cell>
          <cell r="AI43">
            <v>0</v>
          </cell>
          <cell r="AJ43">
            <v>0</v>
          </cell>
        </row>
        <row r="44">
          <cell r="A44">
            <v>168945</v>
          </cell>
          <cell r="B44">
            <v>37575</v>
          </cell>
          <cell r="D44" t="str">
            <v>ENTEL CHILE - 1600001705</v>
          </cell>
          <cell r="E44">
            <v>3244628</v>
          </cell>
          <cell r="F44">
            <v>8014072</v>
          </cell>
          <cell r="G44">
            <v>2605653</v>
          </cell>
          <cell r="H44">
            <v>37581</v>
          </cell>
          <cell r="I44">
            <v>0.5</v>
          </cell>
          <cell r="J44">
            <v>2</v>
          </cell>
          <cell r="K44">
            <v>10</v>
          </cell>
          <cell r="M44" t="str">
            <v>CISCO2610</v>
          </cell>
          <cell r="N44" t="str">
            <v>Ethernet Modular Router w/ Cisco IOS IP Software</v>
          </cell>
          <cell r="O44">
            <v>1995</v>
          </cell>
          <cell r="P44">
            <v>997.5</v>
          </cell>
          <cell r="Q44">
            <v>5</v>
          </cell>
          <cell r="R44">
            <v>4987.5</v>
          </cell>
          <cell r="S44">
            <v>37616</v>
          </cell>
          <cell r="T44" t="str">
            <v>---</v>
          </cell>
          <cell r="W44" t="str">
            <v>3741895</v>
          </cell>
          <cell r="X44">
            <v>4987.5</v>
          </cell>
          <cell r="Z44" t="str">
            <v>2020000432</v>
          </cell>
          <cell r="AA44">
            <v>5685.75</v>
          </cell>
          <cell r="AF44" t="str">
            <v>C</v>
          </cell>
          <cell r="AG44">
            <v>374.0625</v>
          </cell>
          <cell r="AH44">
            <v>2</v>
          </cell>
          <cell r="AI44">
            <v>1137.1500000000001</v>
          </cell>
          <cell r="AJ44">
            <v>5685.75</v>
          </cell>
        </row>
        <row r="45">
          <cell r="A45">
            <v>168945</v>
          </cell>
          <cell r="B45">
            <v>37575</v>
          </cell>
          <cell r="D45" t="str">
            <v>ENTEL CHILE - 1600001705</v>
          </cell>
          <cell r="E45">
            <v>3244628</v>
          </cell>
          <cell r="F45">
            <v>8014072</v>
          </cell>
          <cell r="G45">
            <v>2605653</v>
          </cell>
          <cell r="H45">
            <v>37581</v>
          </cell>
          <cell r="I45">
            <v>0.5</v>
          </cell>
          <cell r="J45">
            <v>2</v>
          </cell>
          <cell r="K45">
            <v>10.1</v>
          </cell>
          <cell r="M45" t="str">
            <v>CAB-ACI</v>
          </cell>
          <cell r="N45" t="str">
            <v>POWER CORD-ITALIAN</v>
          </cell>
          <cell r="O45">
            <v>0</v>
          </cell>
          <cell r="P45">
            <v>0</v>
          </cell>
          <cell r="Q45">
            <v>5</v>
          </cell>
          <cell r="R45">
            <v>0</v>
          </cell>
          <cell r="S45">
            <v>37616</v>
          </cell>
          <cell r="T45" t="str">
            <v>---</v>
          </cell>
          <cell r="W45" t="str">
            <v>3741895</v>
          </cell>
          <cell r="X45">
            <v>0</v>
          </cell>
          <cell r="Z45" t="str">
            <v>2020000432</v>
          </cell>
          <cell r="AA45">
            <v>0</v>
          </cell>
          <cell r="AF45" t="str">
            <v>-</v>
          </cell>
          <cell r="AG45">
            <v>0</v>
          </cell>
          <cell r="AH45">
            <v>2</v>
          </cell>
          <cell r="AI45">
            <v>0</v>
          </cell>
          <cell r="AJ45">
            <v>0</v>
          </cell>
        </row>
        <row r="46">
          <cell r="A46">
            <v>168945</v>
          </cell>
          <cell r="B46">
            <v>37575</v>
          </cell>
          <cell r="D46" t="str">
            <v>ENTEL CHILE - 1600001705</v>
          </cell>
          <cell r="E46">
            <v>3244628</v>
          </cell>
          <cell r="F46">
            <v>8014072</v>
          </cell>
          <cell r="G46">
            <v>2605653</v>
          </cell>
          <cell r="H46">
            <v>37581</v>
          </cell>
          <cell r="I46">
            <v>0.5</v>
          </cell>
          <cell r="J46">
            <v>2</v>
          </cell>
          <cell r="K46">
            <v>10.199999999999999</v>
          </cell>
          <cell r="M46" t="str">
            <v>S26C-12205</v>
          </cell>
          <cell r="N46" t="str">
            <v>CISCO 2600 SERIES IOS IP</v>
          </cell>
          <cell r="O46">
            <v>0</v>
          </cell>
          <cell r="P46">
            <v>0</v>
          </cell>
          <cell r="Q46">
            <v>5</v>
          </cell>
          <cell r="R46">
            <v>0</v>
          </cell>
          <cell r="S46">
            <v>37616</v>
          </cell>
          <cell r="T46" t="str">
            <v>---</v>
          </cell>
          <cell r="W46" t="str">
            <v>3741895</v>
          </cell>
          <cell r="X46">
            <v>0</v>
          </cell>
          <cell r="Z46" t="str">
            <v>2020000432</v>
          </cell>
          <cell r="AA46">
            <v>0</v>
          </cell>
          <cell r="AF46" t="str">
            <v>C</v>
          </cell>
          <cell r="AG46">
            <v>0</v>
          </cell>
          <cell r="AH46">
            <v>2</v>
          </cell>
          <cell r="AI46">
            <v>0</v>
          </cell>
          <cell r="AJ46">
            <v>0</v>
          </cell>
        </row>
        <row r="47">
          <cell r="A47">
            <v>168945</v>
          </cell>
          <cell r="B47">
            <v>37575</v>
          </cell>
          <cell r="D47" t="str">
            <v>ENTEL CHILE - 1600001705</v>
          </cell>
          <cell r="E47">
            <v>3244628</v>
          </cell>
          <cell r="F47">
            <v>8014072</v>
          </cell>
          <cell r="G47">
            <v>2605653</v>
          </cell>
          <cell r="H47">
            <v>37581</v>
          </cell>
          <cell r="I47">
            <v>0.5</v>
          </cell>
          <cell r="J47">
            <v>2</v>
          </cell>
          <cell r="K47">
            <v>11</v>
          </cell>
          <cell r="M47" t="str">
            <v>CISCO805</v>
          </cell>
          <cell r="N47" t="str">
            <v>Cisco 805 Ethernet/Serial Router</v>
          </cell>
          <cell r="O47">
            <v>999</v>
          </cell>
          <cell r="P47">
            <v>499.5</v>
          </cell>
          <cell r="Q47">
            <v>10</v>
          </cell>
          <cell r="R47">
            <v>4995</v>
          </cell>
          <cell r="S47">
            <v>37616</v>
          </cell>
          <cell r="T47" t="str">
            <v>---</v>
          </cell>
          <cell r="W47" t="str">
            <v>3741895</v>
          </cell>
          <cell r="X47">
            <v>4995</v>
          </cell>
          <cell r="Z47" t="str">
            <v>2020000432</v>
          </cell>
          <cell r="AA47">
            <v>5694.2999999999993</v>
          </cell>
          <cell r="AF47" t="str">
            <v>D</v>
          </cell>
          <cell r="AG47">
            <v>99.9</v>
          </cell>
          <cell r="AH47">
            <v>15</v>
          </cell>
          <cell r="AI47">
            <v>569.42999999999995</v>
          </cell>
          <cell r="AJ47">
            <v>5694.2999999999993</v>
          </cell>
        </row>
        <row r="48">
          <cell r="A48">
            <v>168945</v>
          </cell>
          <cell r="B48">
            <v>37575</v>
          </cell>
          <cell r="D48" t="str">
            <v>ENTEL CHILE - 1600001705</v>
          </cell>
          <cell r="E48">
            <v>3244628</v>
          </cell>
          <cell r="F48">
            <v>8014072</v>
          </cell>
          <cell r="G48">
            <v>2605653</v>
          </cell>
          <cell r="H48">
            <v>37581</v>
          </cell>
          <cell r="I48">
            <v>0.5</v>
          </cell>
          <cell r="J48">
            <v>2</v>
          </cell>
          <cell r="K48">
            <v>11.1</v>
          </cell>
          <cell r="M48" t="str">
            <v>CAB-ACI</v>
          </cell>
          <cell r="N48" t="str">
            <v>Power Cord-Italian</v>
          </cell>
          <cell r="O48">
            <v>0</v>
          </cell>
          <cell r="P48">
            <v>0</v>
          </cell>
          <cell r="Q48">
            <v>10</v>
          </cell>
          <cell r="R48">
            <v>0</v>
          </cell>
          <cell r="S48">
            <v>37616</v>
          </cell>
          <cell r="T48" t="str">
            <v>---</v>
          </cell>
          <cell r="W48" t="str">
            <v>3741895</v>
          </cell>
          <cell r="X48">
            <v>0</v>
          </cell>
          <cell r="Z48" t="str">
            <v>2020000432</v>
          </cell>
          <cell r="AA48">
            <v>0</v>
          </cell>
          <cell r="AF48" t="str">
            <v>-</v>
          </cell>
          <cell r="AG48">
            <v>0</v>
          </cell>
          <cell r="AH48">
            <v>15</v>
          </cell>
          <cell r="AI48">
            <v>0</v>
          </cell>
          <cell r="AJ48">
            <v>0</v>
          </cell>
        </row>
        <row r="49">
          <cell r="A49">
            <v>168945</v>
          </cell>
          <cell r="B49">
            <v>37575</v>
          </cell>
          <cell r="D49" t="str">
            <v>ENTEL CHILE - 1600001705</v>
          </cell>
          <cell r="E49">
            <v>3244628</v>
          </cell>
          <cell r="F49">
            <v>8014072</v>
          </cell>
          <cell r="G49">
            <v>2605653</v>
          </cell>
          <cell r="H49">
            <v>37581</v>
          </cell>
          <cell r="I49">
            <v>0.5</v>
          </cell>
          <cell r="J49">
            <v>2</v>
          </cell>
          <cell r="K49">
            <v>11.2</v>
          </cell>
          <cell r="M49" t="str">
            <v>S805C-12208T</v>
          </cell>
          <cell r="N49" t="str">
            <v>Cisco 805 Series IOS IP</v>
          </cell>
          <cell r="O49">
            <v>0</v>
          </cell>
          <cell r="P49">
            <v>0</v>
          </cell>
          <cell r="Q49">
            <v>10</v>
          </cell>
          <cell r="R49">
            <v>0</v>
          </cell>
          <cell r="S49">
            <v>37616</v>
          </cell>
          <cell r="T49" t="str">
            <v>---</v>
          </cell>
          <cell r="W49" t="str">
            <v>3741895</v>
          </cell>
          <cell r="X49">
            <v>0</v>
          </cell>
          <cell r="Z49" t="str">
            <v>2020000432</v>
          </cell>
          <cell r="AA49">
            <v>0</v>
          </cell>
          <cell r="AF49" t="str">
            <v>D</v>
          </cell>
          <cell r="AG49">
            <v>0</v>
          </cell>
          <cell r="AH49">
            <v>15</v>
          </cell>
          <cell r="AI49">
            <v>0</v>
          </cell>
          <cell r="AJ49">
            <v>0</v>
          </cell>
        </row>
        <row r="50">
          <cell r="A50">
            <v>168945</v>
          </cell>
          <cell r="B50">
            <v>37575</v>
          </cell>
          <cell r="D50" t="str">
            <v>ENTEL CHILE - 1600001705</v>
          </cell>
          <cell r="E50">
            <v>3244628</v>
          </cell>
          <cell r="F50">
            <v>8014072</v>
          </cell>
          <cell r="G50">
            <v>2605653</v>
          </cell>
          <cell r="H50">
            <v>37581</v>
          </cell>
          <cell r="I50">
            <v>0.5</v>
          </cell>
          <cell r="J50">
            <v>1</v>
          </cell>
          <cell r="K50">
            <v>12</v>
          </cell>
          <cell r="M50" t="str">
            <v>NM-1FE-TX</v>
          </cell>
          <cell r="N50" t="str">
            <v>1-Port Fast Ethernet Network Module (TX Only)</v>
          </cell>
          <cell r="O50">
            <v>2000</v>
          </cell>
          <cell r="P50">
            <v>1000</v>
          </cell>
          <cell r="Q50">
            <v>15</v>
          </cell>
          <cell r="R50">
            <v>15000</v>
          </cell>
          <cell r="S50">
            <v>37616</v>
          </cell>
          <cell r="T50" t="str">
            <v>---</v>
          </cell>
          <cell r="W50" t="str">
            <v>3741895</v>
          </cell>
          <cell r="X50">
            <v>15000</v>
          </cell>
          <cell r="Z50" t="str">
            <v>2020000432</v>
          </cell>
          <cell r="AA50">
            <v>17100</v>
          </cell>
          <cell r="AF50" t="str">
            <v>C</v>
          </cell>
          <cell r="AG50">
            <v>1125</v>
          </cell>
          <cell r="AH50">
            <v>12</v>
          </cell>
          <cell r="AI50">
            <v>1140</v>
          </cell>
          <cell r="AJ50">
            <v>17100</v>
          </cell>
        </row>
        <row r="51">
          <cell r="A51">
            <v>168945</v>
          </cell>
          <cell r="B51">
            <v>37575</v>
          </cell>
          <cell r="D51" t="str">
            <v>ENTEL CHILE - 1600001705</v>
          </cell>
          <cell r="E51">
            <v>3244628</v>
          </cell>
          <cell r="F51">
            <v>8014072</v>
          </cell>
          <cell r="G51">
            <v>2605653</v>
          </cell>
          <cell r="H51">
            <v>37581</v>
          </cell>
          <cell r="I51">
            <v>0.5</v>
          </cell>
          <cell r="J51">
            <v>2</v>
          </cell>
          <cell r="K51">
            <v>13</v>
          </cell>
          <cell r="M51" t="str">
            <v>CISCO1601-R</v>
          </cell>
          <cell r="N51" t="str">
            <v>ETHERNET/SERIAL MODULAR ROUTER, 4M FLASH/8M DRAM</v>
          </cell>
          <cell r="O51">
            <v>1495</v>
          </cell>
          <cell r="P51">
            <v>747.5</v>
          </cell>
          <cell r="Q51">
            <v>10</v>
          </cell>
          <cell r="R51">
            <v>7475</v>
          </cell>
          <cell r="S51">
            <v>37616</v>
          </cell>
          <cell r="T51" t="str">
            <v>---</v>
          </cell>
          <cell r="W51" t="str">
            <v>3741895</v>
          </cell>
          <cell r="X51">
            <v>7475</v>
          </cell>
          <cell r="Z51" t="str">
            <v>2020000432</v>
          </cell>
          <cell r="AA51">
            <v>8521.5</v>
          </cell>
          <cell r="AF51" t="str">
            <v>D</v>
          </cell>
          <cell r="AG51">
            <v>149.5</v>
          </cell>
          <cell r="AH51">
            <v>7</v>
          </cell>
          <cell r="AI51">
            <v>852.15</v>
          </cell>
          <cell r="AJ51">
            <v>8521.5</v>
          </cell>
        </row>
        <row r="52">
          <cell r="A52">
            <v>168945</v>
          </cell>
          <cell r="B52">
            <v>37575</v>
          </cell>
          <cell r="D52" t="str">
            <v>ENTEL CHILE - 1600001705</v>
          </cell>
          <cell r="E52">
            <v>3244628</v>
          </cell>
          <cell r="F52">
            <v>8014072</v>
          </cell>
          <cell r="G52">
            <v>2605653</v>
          </cell>
          <cell r="H52">
            <v>37581</v>
          </cell>
          <cell r="I52">
            <v>0.5</v>
          </cell>
          <cell r="J52">
            <v>2</v>
          </cell>
          <cell r="K52">
            <v>13.1</v>
          </cell>
          <cell r="M52" t="str">
            <v>CAB-ACI</v>
          </cell>
          <cell r="N52" t="str">
            <v>Power Cord-Italian</v>
          </cell>
          <cell r="O52">
            <v>0</v>
          </cell>
          <cell r="P52">
            <v>0</v>
          </cell>
          <cell r="Q52">
            <v>10</v>
          </cell>
          <cell r="R52">
            <v>0</v>
          </cell>
          <cell r="S52">
            <v>37616</v>
          </cell>
          <cell r="T52" t="str">
            <v>---</v>
          </cell>
          <cell r="W52" t="str">
            <v>3741895</v>
          </cell>
          <cell r="X52">
            <v>0</v>
          </cell>
          <cell r="Z52" t="str">
            <v>2020000432</v>
          </cell>
          <cell r="AA52">
            <v>0</v>
          </cell>
          <cell r="AF52" t="str">
            <v>-</v>
          </cell>
          <cell r="AG52">
            <v>0</v>
          </cell>
          <cell r="AH52">
            <v>7</v>
          </cell>
          <cell r="AI52">
            <v>0</v>
          </cell>
          <cell r="AJ52">
            <v>0</v>
          </cell>
        </row>
        <row r="53">
          <cell r="A53">
            <v>168945</v>
          </cell>
          <cell r="B53">
            <v>37575</v>
          </cell>
          <cell r="D53" t="str">
            <v>ENTEL CHILE - 1600001705</v>
          </cell>
          <cell r="E53">
            <v>3244628</v>
          </cell>
          <cell r="F53">
            <v>8014072</v>
          </cell>
          <cell r="G53">
            <v>2605653</v>
          </cell>
          <cell r="H53">
            <v>37581</v>
          </cell>
          <cell r="I53">
            <v>0.5</v>
          </cell>
          <cell r="J53">
            <v>2</v>
          </cell>
          <cell r="K53">
            <v>13.2</v>
          </cell>
          <cell r="M53" t="str">
            <v>S16RC-12.0.18</v>
          </cell>
          <cell r="N53" t="str">
            <v>CISCO 1600R SERIES IOS IP</v>
          </cell>
          <cell r="O53">
            <v>0</v>
          </cell>
          <cell r="P53">
            <v>0</v>
          </cell>
          <cell r="Q53">
            <v>10</v>
          </cell>
          <cell r="R53">
            <v>0</v>
          </cell>
          <cell r="S53">
            <v>37616</v>
          </cell>
          <cell r="T53" t="str">
            <v>---</v>
          </cell>
          <cell r="W53" t="str">
            <v>3741895</v>
          </cell>
          <cell r="X53">
            <v>0</v>
          </cell>
          <cell r="Z53" t="str">
            <v>2020000432</v>
          </cell>
          <cell r="AA53">
            <v>0</v>
          </cell>
          <cell r="AF53" t="str">
            <v>D</v>
          </cell>
          <cell r="AG53">
            <v>0</v>
          </cell>
          <cell r="AH53">
            <v>7</v>
          </cell>
          <cell r="AI53">
            <v>0</v>
          </cell>
          <cell r="AJ53">
            <v>0</v>
          </cell>
        </row>
        <row r="54">
          <cell r="A54">
            <v>168945</v>
          </cell>
          <cell r="B54">
            <v>37575</v>
          </cell>
          <cell r="D54" t="str">
            <v>ENTEL CHILE - 1600001705</v>
          </cell>
          <cell r="E54">
            <v>3244628</v>
          </cell>
          <cell r="F54">
            <v>8014072</v>
          </cell>
          <cell r="G54">
            <v>2605653</v>
          </cell>
          <cell r="H54">
            <v>37581</v>
          </cell>
          <cell r="I54">
            <v>0.5</v>
          </cell>
          <cell r="J54">
            <v>2</v>
          </cell>
          <cell r="K54">
            <v>13.3</v>
          </cell>
          <cell r="M54" t="str">
            <v>MEM1600R-4FC</v>
          </cell>
          <cell r="N54" t="str">
            <v>4 MB FLASH CARD FOR CISCO 1600 R</v>
          </cell>
          <cell r="O54">
            <v>0</v>
          </cell>
          <cell r="P54">
            <v>0</v>
          </cell>
          <cell r="Q54">
            <v>10</v>
          </cell>
          <cell r="R54">
            <v>0</v>
          </cell>
          <cell r="S54">
            <v>37616</v>
          </cell>
          <cell r="T54" t="str">
            <v>---</v>
          </cell>
          <cell r="W54" t="str">
            <v>3741895</v>
          </cell>
          <cell r="X54">
            <v>0</v>
          </cell>
          <cell r="Z54" t="str">
            <v>2020000432</v>
          </cell>
          <cell r="AA54">
            <v>0</v>
          </cell>
          <cell r="AF54" t="str">
            <v>D</v>
          </cell>
          <cell r="AG54">
            <v>0</v>
          </cell>
          <cell r="AH54">
            <v>7</v>
          </cell>
          <cell r="AI54">
            <v>0</v>
          </cell>
          <cell r="AJ54">
            <v>0</v>
          </cell>
        </row>
        <row r="55">
          <cell r="A55">
            <v>168945</v>
          </cell>
          <cell r="B55">
            <v>37575</v>
          </cell>
          <cell r="D55" t="str">
            <v>ENTEL CHILE - 1600001705</v>
          </cell>
          <cell r="E55">
            <v>3244628</v>
          </cell>
          <cell r="F55">
            <v>8014072</v>
          </cell>
          <cell r="G55">
            <v>2605653</v>
          </cell>
          <cell r="H55">
            <v>37581</v>
          </cell>
          <cell r="I55">
            <v>0.5</v>
          </cell>
          <cell r="J55">
            <v>2</v>
          </cell>
          <cell r="K55">
            <v>14</v>
          </cell>
          <cell r="M55" t="str">
            <v>WIC-1T</v>
          </cell>
          <cell r="N55" t="str">
            <v>1-PORT SERIAL WAN INTERFACE CARD</v>
          </cell>
          <cell r="O55">
            <v>400</v>
          </cell>
          <cell r="P55">
            <v>200</v>
          </cell>
          <cell r="Q55">
            <v>80</v>
          </cell>
          <cell r="R55">
            <v>16000</v>
          </cell>
          <cell r="S55">
            <v>37616</v>
          </cell>
          <cell r="T55" t="str">
            <v>---</v>
          </cell>
          <cell r="W55" t="str">
            <v>3741895</v>
          </cell>
          <cell r="X55">
            <v>16000</v>
          </cell>
          <cell r="Z55" t="str">
            <v>2020000432</v>
          </cell>
          <cell r="AA55">
            <v>18240</v>
          </cell>
          <cell r="AF55" t="str">
            <v>D</v>
          </cell>
          <cell r="AG55">
            <v>320</v>
          </cell>
          <cell r="AH55">
            <v>5</v>
          </cell>
          <cell r="AI55">
            <v>228</v>
          </cell>
          <cell r="AJ55">
            <v>18240</v>
          </cell>
        </row>
        <row r="56">
          <cell r="A56">
            <v>168945</v>
          </cell>
          <cell r="B56">
            <v>37575</v>
          </cell>
          <cell r="D56" t="str">
            <v>ENTEL CHILE - 1600001705</v>
          </cell>
          <cell r="E56">
            <v>3244628</v>
          </cell>
          <cell r="F56">
            <v>8014072</v>
          </cell>
          <cell r="G56">
            <v>2605653</v>
          </cell>
          <cell r="H56">
            <v>37581</v>
          </cell>
          <cell r="I56">
            <v>0.5</v>
          </cell>
          <cell r="J56">
            <v>2</v>
          </cell>
          <cell r="K56">
            <v>15</v>
          </cell>
          <cell r="M56" t="str">
            <v>NM-HDV-1E1-30</v>
          </cell>
          <cell r="N56" t="str">
            <v>Single-Port 30 Channel E1 Voice/Fax Network Module</v>
          </cell>
          <cell r="O56">
            <v>7800</v>
          </cell>
          <cell r="P56">
            <v>3900</v>
          </cell>
          <cell r="Q56">
            <v>2</v>
          </cell>
          <cell r="R56">
            <v>7800</v>
          </cell>
          <cell r="S56">
            <v>37616</v>
          </cell>
          <cell r="T56" t="str">
            <v>---</v>
          </cell>
          <cell r="W56" t="str">
            <v>3741895</v>
          </cell>
          <cell r="X56">
            <v>7800</v>
          </cell>
          <cell r="Z56" t="str">
            <v>2020000432</v>
          </cell>
          <cell r="AA56">
            <v>8892</v>
          </cell>
          <cell r="AF56" t="str">
            <v>C</v>
          </cell>
          <cell r="AG56">
            <v>585</v>
          </cell>
          <cell r="AH56">
            <v>11</v>
          </cell>
          <cell r="AI56">
            <v>4446</v>
          </cell>
          <cell r="AJ56">
            <v>8892</v>
          </cell>
        </row>
        <row r="57">
          <cell r="A57">
            <v>168942</v>
          </cell>
          <cell r="B57">
            <v>37575</v>
          </cell>
          <cell r="D57" t="str">
            <v>ENTEL CHILE - 1600001701</v>
          </cell>
          <cell r="E57">
            <v>3261203</v>
          </cell>
          <cell r="F57">
            <v>8013892</v>
          </cell>
          <cell r="G57">
            <v>2605579</v>
          </cell>
          <cell r="H57">
            <v>37581</v>
          </cell>
          <cell r="I57">
            <v>0.5</v>
          </cell>
          <cell r="J57">
            <v>1</v>
          </cell>
          <cell r="K57">
            <v>1</v>
          </cell>
          <cell r="M57" t="str">
            <v>CISCO3661-AC</v>
          </cell>
          <cell r="N57" t="str">
            <v xml:space="preserve">10/100 E CISCO 3660 6-SLOT MODULAR ROUTER-AC WITH IP SW </v>
          </cell>
          <cell r="O57">
            <v>10700</v>
          </cell>
          <cell r="P57">
            <v>5350</v>
          </cell>
          <cell r="Q57">
            <v>1</v>
          </cell>
          <cell r="R57">
            <v>5350</v>
          </cell>
          <cell r="S57">
            <v>37610</v>
          </cell>
          <cell r="T57" t="str">
            <v>---</v>
          </cell>
          <cell r="W57" t="str">
            <v>3738404</v>
          </cell>
          <cell r="X57">
            <v>5350</v>
          </cell>
          <cell r="Z57" t="str">
            <v>2020000429</v>
          </cell>
          <cell r="AA57">
            <v>6099</v>
          </cell>
          <cell r="AF57" t="str">
            <v>C</v>
          </cell>
          <cell r="AG57">
            <v>401.25</v>
          </cell>
          <cell r="AH57">
            <v>11</v>
          </cell>
          <cell r="AI57">
            <v>6099</v>
          </cell>
          <cell r="AJ57">
            <v>6099</v>
          </cell>
        </row>
        <row r="58">
          <cell r="A58">
            <v>168942</v>
          </cell>
          <cell r="B58">
            <v>37575</v>
          </cell>
          <cell r="D58" t="str">
            <v>ENTEL CHILE - 1600001701</v>
          </cell>
          <cell r="E58">
            <v>3261203</v>
          </cell>
          <cell r="F58">
            <v>8013892</v>
          </cell>
          <cell r="G58">
            <v>2605579</v>
          </cell>
          <cell r="H58">
            <v>37581</v>
          </cell>
          <cell r="I58">
            <v>0.5</v>
          </cell>
          <cell r="J58">
            <v>1</v>
          </cell>
          <cell r="K58">
            <v>1.1000000000000001</v>
          </cell>
          <cell r="M58" t="str">
            <v>CAB-ACI</v>
          </cell>
          <cell r="N58" t="str">
            <v>Power Cord-Italian</v>
          </cell>
          <cell r="O58">
            <v>0</v>
          </cell>
          <cell r="P58">
            <v>0</v>
          </cell>
          <cell r="Q58">
            <v>2</v>
          </cell>
          <cell r="R58">
            <v>0</v>
          </cell>
          <cell r="S58">
            <v>37610</v>
          </cell>
          <cell r="T58" t="str">
            <v>---</v>
          </cell>
          <cell r="W58" t="str">
            <v>3738404</v>
          </cell>
          <cell r="X58">
            <v>0</v>
          </cell>
          <cell r="Z58" t="str">
            <v>2020000429</v>
          </cell>
          <cell r="AA58">
            <v>0</v>
          </cell>
          <cell r="AF58" t="str">
            <v>-</v>
          </cell>
          <cell r="AG58">
            <v>0</v>
          </cell>
          <cell r="AH58">
            <v>11</v>
          </cell>
          <cell r="AI58">
            <v>0</v>
          </cell>
          <cell r="AJ58">
            <v>0</v>
          </cell>
        </row>
        <row r="59">
          <cell r="A59">
            <v>168942</v>
          </cell>
          <cell r="B59">
            <v>37575</v>
          </cell>
          <cell r="D59" t="str">
            <v>ENTEL CHILE - 1600001701</v>
          </cell>
          <cell r="E59">
            <v>3261203</v>
          </cell>
          <cell r="F59">
            <v>8013892</v>
          </cell>
          <cell r="G59">
            <v>2605579</v>
          </cell>
          <cell r="H59">
            <v>37581</v>
          </cell>
          <cell r="I59">
            <v>0.5</v>
          </cell>
          <cell r="J59">
            <v>1</v>
          </cell>
          <cell r="K59">
            <v>1.2</v>
          </cell>
          <cell r="M59" t="str">
            <v>S366CP-12102T</v>
          </cell>
          <cell r="N59" t="str">
            <v>CISCO 3660 SERIES IOS IP PLUS</v>
          </cell>
          <cell r="O59">
            <v>700</v>
          </cell>
          <cell r="P59">
            <v>350</v>
          </cell>
          <cell r="Q59">
            <v>1</v>
          </cell>
          <cell r="R59">
            <v>350</v>
          </cell>
          <cell r="S59">
            <v>37610</v>
          </cell>
          <cell r="T59" t="str">
            <v>---</v>
          </cell>
          <cell r="W59" t="str">
            <v>3738404</v>
          </cell>
          <cell r="X59">
            <v>350</v>
          </cell>
          <cell r="Z59" t="str">
            <v>2020000429</v>
          </cell>
          <cell r="AA59">
            <v>399</v>
          </cell>
          <cell r="AF59" t="str">
            <v>C</v>
          </cell>
          <cell r="AG59">
            <v>26.25</v>
          </cell>
          <cell r="AH59">
            <v>10</v>
          </cell>
          <cell r="AI59">
            <v>399</v>
          </cell>
          <cell r="AJ59">
            <v>399</v>
          </cell>
        </row>
        <row r="60">
          <cell r="A60">
            <v>168942</v>
          </cell>
          <cell r="B60">
            <v>37575</v>
          </cell>
          <cell r="D60" t="str">
            <v>ENTEL CHILE - 1600001701</v>
          </cell>
          <cell r="E60">
            <v>3261203</v>
          </cell>
          <cell r="F60">
            <v>8013892</v>
          </cell>
          <cell r="G60">
            <v>2605579</v>
          </cell>
          <cell r="H60">
            <v>37581</v>
          </cell>
          <cell r="I60">
            <v>0.5</v>
          </cell>
          <cell r="J60">
            <v>1</v>
          </cell>
          <cell r="K60">
            <v>1.3</v>
          </cell>
          <cell r="M60" t="str">
            <v>MEM3660-32U64D</v>
          </cell>
          <cell r="N60" t="str">
            <v>32 TO 64MB DRAM FACTORY UPGRADE FOR THE CISCO 3660</v>
          </cell>
          <cell r="O60">
            <v>1000</v>
          </cell>
          <cell r="P60">
            <v>500</v>
          </cell>
          <cell r="Q60">
            <v>1</v>
          </cell>
          <cell r="R60">
            <v>500</v>
          </cell>
          <cell r="S60">
            <v>37610</v>
          </cell>
          <cell r="T60" t="str">
            <v>---</v>
          </cell>
          <cell r="W60" t="str">
            <v>3738404</v>
          </cell>
          <cell r="X60">
            <v>500</v>
          </cell>
          <cell r="Z60" t="str">
            <v>2020000429</v>
          </cell>
          <cell r="AA60">
            <v>570</v>
          </cell>
          <cell r="AF60" t="str">
            <v>C</v>
          </cell>
          <cell r="AG60">
            <v>37.5</v>
          </cell>
          <cell r="AH60">
            <v>9</v>
          </cell>
          <cell r="AI60">
            <v>570</v>
          </cell>
          <cell r="AJ60">
            <v>570</v>
          </cell>
        </row>
        <row r="61">
          <cell r="A61">
            <v>168942</v>
          </cell>
          <cell r="B61">
            <v>37575</v>
          </cell>
          <cell r="D61" t="str">
            <v>ENTEL CHILE - 1600001701</v>
          </cell>
          <cell r="E61">
            <v>3261203</v>
          </cell>
          <cell r="F61">
            <v>8013892</v>
          </cell>
          <cell r="G61">
            <v>2605579</v>
          </cell>
          <cell r="H61">
            <v>37581</v>
          </cell>
          <cell r="I61">
            <v>0.5</v>
          </cell>
          <cell r="J61">
            <v>1</v>
          </cell>
          <cell r="K61">
            <v>1.4</v>
          </cell>
          <cell r="M61" t="str">
            <v>NM-1A-OC3SMI-1V</v>
          </cell>
          <cell r="N61" t="str">
            <v>1-PORT SINGLEMODE INTERMEDIATE REACH OC-3 ATM CES NM</v>
          </cell>
          <cell r="O61">
            <v>9500</v>
          </cell>
          <cell r="P61">
            <v>4750</v>
          </cell>
          <cell r="Q61">
            <v>1</v>
          </cell>
          <cell r="R61">
            <v>4750</v>
          </cell>
          <cell r="S61">
            <v>37610</v>
          </cell>
          <cell r="T61" t="str">
            <v>---</v>
          </cell>
          <cell r="W61" t="str">
            <v>3738404</v>
          </cell>
          <cell r="X61">
            <v>4750</v>
          </cell>
          <cell r="Z61" t="str">
            <v>2020000429</v>
          </cell>
          <cell r="AA61">
            <v>5415</v>
          </cell>
          <cell r="AF61" t="str">
            <v>C</v>
          </cell>
          <cell r="AG61">
            <v>356.25</v>
          </cell>
          <cell r="AH61">
            <v>6</v>
          </cell>
          <cell r="AI61">
            <v>5415</v>
          </cell>
          <cell r="AJ61">
            <v>5415</v>
          </cell>
        </row>
        <row r="62">
          <cell r="A62">
            <v>168942</v>
          </cell>
          <cell r="B62">
            <v>37575</v>
          </cell>
          <cell r="D62" t="str">
            <v>ENTEL CHILE - 1600001701</v>
          </cell>
          <cell r="E62">
            <v>3261203</v>
          </cell>
          <cell r="F62">
            <v>8013892</v>
          </cell>
          <cell r="G62">
            <v>2605579</v>
          </cell>
          <cell r="H62">
            <v>37581</v>
          </cell>
          <cell r="I62">
            <v>0.5</v>
          </cell>
          <cell r="J62">
            <v>1</v>
          </cell>
          <cell r="K62">
            <v>1.5</v>
          </cell>
          <cell r="M62" t="str">
            <v>NM-HDV-1E1-30</v>
          </cell>
          <cell r="N62" t="str">
            <v>SINGLE PORT 30 CHANNEL E1 VOICE/FAX NETWORK MODULE</v>
          </cell>
          <cell r="O62">
            <v>7800</v>
          </cell>
          <cell r="P62">
            <v>3900</v>
          </cell>
          <cell r="Q62">
            <v>1</v>
          </cell>
          <cell r="R62">
            <v>3900</v>
          </cell>
          <cell r="S62">
            <v>37610</v>
          </cell>
          <cell r="T62" t="str">
            <v>---</v>
          </cell>
          <cell r="W62" t="str">
            <v>3738404</v>
          </cell>
          <cell r="X62">
            <v>3900</v>
          </cell>
          <cell r="Z62" t="str">
            <v>2020000429</v>
          </cell>
          <cell r="AA62">
            <v>4446</v>
          </cell>
          <cell r="AF62" t="str">
            <v>C</v>
          </cell>
          <cell r="AG62">
            <v>292.5</v>
          </cell>
          <cell r="AH62">
            <v>7</v>
          </cell>
          <cell r="AI62">
            <v>4446</v>
          </cell>
          <cell r="AJ62">
            <v>4446</v>
          </cell>
        </row>
        <row r="63">
          <cell r="A63">
            <v>168942</v>
          </cell>
          <cell r="B63">
            <v>37575</v>
          </cell>
          <cell r="D63" t="str">
            <v>ENTEL CHILE - 1600001701</v>
          </cell>
          <cell r="E63">
            <v>3261203</v>
          </cell>
          <cell r="F63">
            <v>8013892</v>
          </cell>
          <cell r="G63">
            <v>2605579</v>
          </cell>
          <cell r="H63">
            <v>37581</v>
          </cell>
          <cell r="I63">
            <v>0.5</v>
          </cell>
          <cell r="J63">
            <v>1</v>
          </cell>
          <cell r="K63">
            <v>1.6</v>
          </cell>
          <cell r="M63" t="str">
            <v>PWR-3660-AC</v>
          </cell>
          <cell r="N63" t="str">
            <v>AC POWER SUPPLY FOR CISCO 3660</v>
          </cell>
          <cell r="O63">
            <v>500</v>
          </cell>
          <cell r="P63">
            <v>250</v>
          </cell>
          <cell r="Q63">
            <v>1</v>
          </cell>
          <cell r="R63">
            <v>250</v>
          </cell>
          <cell r="S63">
            <v>37610</v>
          </cell>
          <cell r="T63" t="str">
            <v>---</v>
          </cell>
          <cell r="W63" t="str">
            <v>3738404</v>
          </cell>
          <cell r="X63">
            <v>250</v>
          </cell>
          <cell r="Z63" t="str">
            <v>2020000429</v>
          </cell>
          <cell r="AA63">
            <v>285</v>
          </cell>
          <cell r="AF63" t="str">
            <v>C</v>
          </cell>
          <cell r="AG63">
            <v>18.75</v>
          </cell>
          <cell r="AH63">
            <v>12</v>
          </cell>
          <cell r="AI63">
            <v>285</v>
          </cell>
          <cell r="AJ63">
            <v>285</v>
          </cell>
        </row>
        <row r="64">
          <cell r="A64">
            <v>168942</v>
          </cell>
          <cell r="B64">
            <v>37575</v>
          </cell>
          <cell r="D64" t="str">
            <v>ENTEL CHILE - 1600001701</v>
          </cell>
          <cell r="E64">
            <v>3261203</v>
          </cell>
          <cell r="F64">
            <v>8013892</v>
          </cell>
          <cell r="G64">
            <v>2605579</v>
          </cell>
          <cell r="H64">
            <v>37581</v>
          </cell>
          <cell r="I64">
            <v>0.5</v>
          </cell>
          <cell r="J64">
            <v>1</v>
          </cell>
          <cell r="K64">
            <v>1.7</v>
          </cell>
          <cell r="M64" t="str">
            <v>PWR-3660-AC</v>
          </cell>
          <cell r="N64" t="str">
            <v>AC POWER SUPPLY FOR CISCO 3660</v>
          </cell>
          <cell r="O64">
            <v>0</v>
          </cell>
          <cell r="P64">
            <v>0</v>
          </cell>
          <cell r="Q64">
            <v>1</v>
          </cell>
          <cell r="R64">
            <v>0</v>
          </cell>
          <cell r="S64">
            <v>37610</v>
          </cell>
          <cell r="T64" t="str">
            <v>---</v>
          </cell>
          <cell r="W64" t="str">
            <v>3738404</v>
          </cell>
          <cell r="X64">
            <v>0</v>
          </cell>
          <cell r="Z64" t="str">
            <v>2020000429</v>
          </cell>
          <cell r="AA64">
            <v>0</v>
          </cell>
          <cell r="AF64" t="str">
            <v>C</v>
          </cell>
          <cell r="AG64">
            <v>0</v>
          </cell>
          <cell r="AH64">
            <v>11</v>
          </cell>
          <cell r="AI64">
            <v>0</v>
          </cell>
          <cell r="AJ64">
            <v>0</v>
          </cell>
        </row>
        <row r="65">
          <cell r="A65">
            <v>168942</v>
          </cell>
          <cell r="B65">
            <v>37575</v>
          </cell>
          <cell r="D65" t="str">
            <v>ENTEL CHILE - 1600001701</v>
          </cell>
          <cell r="E65">
            <v>3261203</v>
          </cell>
          <cell r="F65">
            <v>8013892</v>
          </cell>
          <cell r="G65">
            <v>2605579</v>
          </cell>
          <cell r="H65">
            <v>37581</v>
          </cell>
          <cell r="I65">
            <v>0.5</v>
          </cell>
          <cell r="J65">
            <v>1</v>
          </cell>
          <cell r="K65">
            <v>2</v>
          </cell>
          <cell r="M65" t="str">
            <v>CISCO827-4V</v>
          </cell>
          <cell r="N65" t="str">
            <v>CISCO 827-4V ADSL ROUTER 1E 1ADSL 4 VOICE</v>
          </cell>
          <cell r="O65">
            <v>999</v>
          </cell>
          <cell r="P65">
            <v>499.5</v>
          </cell>
          <cell r="Q65">
            <v>15</v>
          </cell>
          <cell r="R65">
            <v>7492.5</v>
          </cell>
          <cell r="S65">
            <v>37610</v>
          </cell>
          <cell r="T65" t="str">
            <v>---</v>
          </cell>
          <cell r="W65" t="str">
            <v>3738404</v>
          </cell>
          <cell r="X65">
            <v>7492.5</v>
          </cell>
          <cell r="Z65" t="str">
            <v>2020000429</v>
          </cell>
          <cell r="AA65">
            <v>8541.4499999999989</v>
          </cell>
          <cell r="AF65" t="str">
            <v>D</v>
          </cell>
          <cell r="AG65">
            <v>149.85</v>
          </cell>
          <cell r="AH65">
            <v>13</v>
          </cell>
          <cell r="AI65">
            <v>569.42999999999995</v>
          </cell>
          <cell r="AJ65">
            <v>8541.4499999999989</v>
          </cell>
        </row>
        <row r="66">
          <cell r="A66">
            <v>168942</v>
          </cell>
          <cell r="B66">
            <v>37575</v>
          </cell>
          <cell r="D66" t="str">
            <v>ENTEL CHILE - 1600001701</v>
          </cell>
          <cell r="E66">
            <v>3261203</v>
          </cell>
          <cell r="F66">
            <v>8013892</v>
          </cell>
          <cell r="G66">
            <v>2605579</v>
          </cell>
          <cell r="H66">
            <v>37581</v>
          </cell>
          <cell r="I66">
            <v>0.5</v>
          </cell>
          <cell r="J66">
            <v>1</v>
          </cell>
          <cell r="K66">
            <v>2.1</v>
          </cell>
          <cell r="M66" t="str">
            <v>CAB-ACI</v>
          </cell>
          <cell r="N66" t="str">
            <v>Power Cord-Italian</v>
          </cell>
          <cell r="O66">
            <v>0</v>
          </cell>
          <cell r="P66">
            <v>0</v>
          </cell>
          <cell r="Q66">
            <v>15</v>
          </cell>
          <cell r="R66">
            <v>0</v>
          </cell>
          <cell r="S66">
            <v>37610</v>
          </cell>
          <cell r="T66" t="str">
            <v>---</v>
          </cell>
          <cell r="W66" t="str">
            <v>3738404</v>
          </cell>
          <cell r="X66">
            <v>0</v>
          </cell>
          <cell r="Z66" t="str">
            <v>2020000429</v>
          </cell>
          <cell r="AA66">
            <v>0</v>
          </cell>
          <cell r="AF66" t="str">
            <v>-</v>
          </cell>
          <cell r="AG66">
            <v>0</v>
          </cell>
          <cell r="AH66">
            <v>13</v>
          </cell>
          <cell r="AI66">
            <v>0</v>
          </cell>
          <cell r="AJ66">
            <v>0</v>
          </cell>
        </row>
        <row r="67">
          <cell r="A67">
            <v>168942</v>
          </cell>
          <cell r="B67">
            <v>37575</v>
          </cell>
          <cell r="D67" t="str">
            <v>ENTEL CHILE - 1600001701</v>
          </cell>
          <cell r="E67">
            <v>3261203</v>
          </cell>
          <cell r="F67">
            <v>8013892</v>
          </cell>
          <cell r="G67">
            <v>2605579</v>
          </cell>
          <cell r="H67">
            <v>37581</v>
          </cell>
          <cell r="I67">
            <v>0.5</v>
          </cell>
          <cell r="J67">
            <v>1</v>
          </cell>
          <cell r="K67">
            <v>2.2000000000000002</v>
          </cell>
          <cell r="M67" t="str">
            <v>S820CV-12208T</v>
          </cell>
          <cell r="N67" t="str">
            <v>CISCO 820 SER IOS IP/VOICE</v>
          </cell>
          <cell r="O67">
            <v>0</v>
          </cell>
          <cell r="P67">
            <v>0</v>
          </cell>
          <cell r="Q67">
            <v>15</v>
          </cell>
          <cell r="R67">
            <v>0</v>
          </cell>
          <cell r="S67">
            <v>37610</v>
          </cell>
          <cell r="T67" t="str">
            <v>---</v>
          </cell>
          <cell r="W67" t="str">
            <v>3738404</v>
          </cell>
          <cell r="X67">
            <v>0</v>
          </cell>
          <cell r="Z67" t="str">
            <v>2020000429</v>
          </cell>
          <cell r="AA67">
            <v>0</v>
          </cell>
          <cell r="AF67" t="str">
            <v>D</v>
          </cell>
          <cell r="AG67">
            <v>0</v>
          </cell>
          <cell r="AH67">
            <v>13</v>
          </cell>
          <cell r="AI67">
            <v>0</v>
          </cell>
          <cell r="AJ67">
            <v>0</v>
          </cell>
        </row>
        <row r="68">
          <cell r="A68">
            <v>168942</v>
          </cell>
          <cell r="B68">
            <v>37575</v>
          </cell>
          <cell r="D68" t="str">
            <v>ENTEL CHILE - 1600001701</v>
          </cell>
          <cell r="E68">
            <v>3261203</v>
          </cell>
          <cell r="F68">
            <v>8013892</v>
          </cell>
          <cell r="G68">
            <v>2605579</v>
          </cell>
          <cell r="H68">
            <v>37581</v>
          </cell>
          <cell r="I68">
            <v>0.5</v>
          </cell>
          <cell r="J68">
            <v>1</v>
          </cell>
          <cell r="K68">
            <v>2.2999999999999998</v>
          </cell>
          <cell r="M68" t="str">
            <v>CAB-ADSL-RJ11</v>
          </cell>
          <cell r="N68" t="str">
            <v>LAVENDER CABLE FOR XDSL, STRAIGHT-THROUGH, RJ-11, 6 FEET</v>
          </cell>
          <cell r="O68">
            <v>0</v>
          </cell>
          <cell r="P68">
            <v>0</v>
          </cell>
          <cell r="Q68">
            <v>15</v>
          </cell>
          <cell r="R68">
            <v>0</v>
          </cell>
          <cell r="S68">
            <v>37610</v>
          </cell>
          <cell r="T68" t="str">
            <v>---</v>
          </cell>
          <cell r="W68" t="str">
            <v>3738404</v>
          </cell>
          <cell r="X68">
            <v>0</v>
          </cell>
          <cell r="Z68" t="str">
            <v>2020000429</v>
          </cell>
          <cell r="AA68">
            <v>0</v>
          </cell>
          <cell r="AF68" t="str">
            <v>-</v>
          </cell>
          <cell r="AG68">
            <v>0</v>
          </cell>
          <cell r="AH68">
            <v>13</v>
          </cell>
          <cell r="AI68">
            <v>0</v>
          </cell>
          <cell r="AJ68">
            <v>0</v>
          </cell>
        </row>
        <row r="69">
          <cell r="A69">
            <v>168942</v>
          </cell>
          <cell r="B69">
            <v>37575</v>
          </cell>
          <cell r="D69" t="str">
            <v>ENTEL CHILE - 1600001701</v>
          </cell>
          <cell r="E69">
            <v>3261203</v>
          </cell>
          <cell r="F69">
            <v>8013892</v>
          </cell>
          <cell r="G69">
            <v>2605579</v>
          </cell>
          <cell r="H69">
            <v>37581</v>
          </cell>
          <cell r="I69">
            <v>0.5</v>
          </cell>
          <cell r="J69">
            <v>1</v>
          </cell>
          <cell r="K69">
            <v>2.4</v>
          </cell>
          <cell r="M69" t="str">
            <v>MEM820-24U32D</v>
          </cell>
          <cell r="N69" t="str">
            <v>CISCO 820 DRAM 24 MBYTE UPGRADE TO 32 MBYTES</v>
          </cell>
          <cell r="O69">
            <v>0</v>
          </cell>
          <cell r="P69">
            <v>0</v>
          </cell>
          <cell r="Q69">
            <v>15</v>
          </cell>
          <cell r="R69">
            <v>0</v>
          </cell>
          <cell r="S69">
            <v>37610</v>
          </cell>
          <cell r="T69" t="str">
            <v>---</v>
          </cell>
          <cell r="W69" t="str">
            <v>3738404</v>
          </cell>
          <cell r="X69">
            <v>0</v>
          </cell>
          <cell r="Z69" t="str">
            <v>2020000429</v>
          </cell>
          <cell r="AA69">
            <v>0</v>
          </cell>
          <cell r="AF69" t="str">
            <v>D</v>
          </cell>
          <cell r="AG69">
            <v>0</v>
          </cell>
          <cell r="AH69">
            <v>13</v>
          </cell>
          <cell r="AI69">
            <v>0</v>
          </cell>
          <cell r="AJ69">
            <v>0</v>
          </cell>
        </row>
        <row r="70">
          <cell r="A70">
            <v>168942</v>
          </cell>
          <cell r="B70">
            <v>37575</v>
          </cell>
          <cell r="D70" t="str">
            <v>ENTEL CHILE - 1600001701</v>
          </cell>
          <cell r="E70">
            <v>3261203</v>
          </cell>
          <cell r="F70">
            <v>8013892</v>
          </cell>
          <cell r="G70">
            <v>2605579</v>
          </cell>
          <cell r="H70">
            <v>37581</v>
          </cell>
          <cell r="I70">
            <v>0.5</v>
          </cell>
          <cell r="J70">
            <v>1</v>
          </cell>
          <cell r="K70">
            <v>3</v>
          </cell>
          <cell r="M70" t="str">
            <v>CISCO1751-V</v>
          </cell>
          <cell r="N70" t="str">
            <v>10/100 MODULAR ROUTER W/VOICE, 32F/64D</v>
          </cell>
          <cell r="O70">
            <v>2495</v>
          </cell>
          <cell r="P70">
            <v>1247.5</v>
          </cell>
          <cell r="Q70">
            <v>2</v>
          </cell>
          <cell r="R70">
            <v>2495</v>
          </cell>
          <cell r="S70">
            <v>37610</v>
          </cell>
          <cell r="T70" t="str">
            <v>---</v>
          </cell>
          <cell r="W70" t="str">
            <v>3738404</v>
          </cell>
          <cell r="X70">
            <v>2495</v>
          </cell>
          <cell r="Z70" t="str">
            <v>2020000429</v>
          </cell>
          <cell r="AA70">
            <v>2844.3</v>
          </cell>
          <cell r="AF70" t="str">
            <v>D</v>
          </cell>
          <cell r="AG70">
            <v>49.9</v>
          </cell>
          <cell r="AH70">
            <v>4</v>
          </cell>
          <cell r="AI70">
            <v>1422.15</v>
          </cell>
          <cell r="AJ70">
            <v>2844.3</v>
          </cell>
        </row>
        <row r="71">
          <cell r="A71">
            <v>168942</v>
          </cell>
          <cell r="B71">
            <v>37575</v>
          </cell>
          <cell r="D71" t="str">
            <v>ENTEL CHILE - 1600001701</v>
          </cell>
          <cell r="E71">
            <v>3261203</v>
          </cell>
          <cell r="F71">
            <v>8013892</v>
          </cell>
          <cell r="G71">
            <v>2605579</v>
          </cell>
          <cell r="H71">
            <v>37581</v>
          </cell>
          <cell r="I71">
            <v>0.5</v>
          </cell>
          <cell r="J71">
            <v>1</v>
          </cell>
          <cell r="K71">
            <v>3.1</v>
          </cell>
          <cell r="M71" t="str">
            <v>S17CV8P-12208T</v>
          </cell>
          <cell r="N71" t="str">
            <v>CISCO 1700 IOS IP/VOX PLUS</v>
          </cell>
          <cell r="O71">
            <v>0</v>
          </cell>
          <cell r="P71">
            <v>0</v>
          </cell>
          <cell r="Q71">
            <v>2</v>
          </cell>
          <cell r="R71">
            <v>0</v>
          </cell>
          <cell r="S71">
            <v>37610</v>
          </cell>
          <cell r="T71" t="str">
            <v>---</v>
          </cell>
          <cell r="W71" t="str">
            <v>3738404</v>
          </cell>
          <cell r="X71">
            <v>0</v>
          </cell>
          <cell r="Z71" t="str">
            <v>2020000429</v>
          </cell>
          <cell r="AA71">
            <v>0</v>
          </cell>
          <cell r="AF71" t="str">
            <v>D</v>
          </cell>
          <cell r="AG71">
            <v>0</v>
          </cell>
          <cell r="AH71">
            <v>4</v>
          </cell>
          <cell r="AI71">
            <v>0</v>
          </cell>
          <cell r="AJ71">
            <v>0</v>
          </cell>
        </row>
        <row r="72">
          <cell r="A72">
            <v>168942</v>
          </cell>
          <cell r="B72">
            <v>37575</v>
          </cell>
          <cell r="D72" t="str">
            <v>ENTEL CHILE - 1600001701</v>
          </cell>
          <cell r="E72">
            <v>3261203</v>
          </cell>
          <cell r="F72">
            <v>8013892</v>
          </cell>
          <cell r="G72">
            <v>2605579</v>
          </cell>
          <cell r="H72">
            <v>37581</v>
          </cell>
          <cell r="I72">
            <v>0.5</v>
          </cell>
          <cell r="J72">
            <v>1</v>
          </cell>
          <cell r="K72">
            <v>3.2</v>
          </cell>
          <cell r="M72" t="str">
            <v>WIC-1T</v>
          </cell>
          <cell r="N72" t="str">
            <v>1-PORT SERIAL WAN INTERFACE CARD</v>
          </cell>
          <cell r="O72">
            <v>400</v>
          </cell>
          <cell r="P72">
            <v>200</v>
          </cell>
          <cell r="Q72">
            <v>2</v>
          </cell>
          <cell r="R72">
            <v>400</v>
          </cell>
          <cell r="S72">
            <v>37610</v>
          </cell>
          <cell r="T72" t="str">
            <v>---</v>
          </cell>
          <cell r="W72" t="str">
            <v>3738404</v>
          </cell>
          <cell r="X72">
            <v>400</v>
          </cell>
          <cell r="Z72" t="str">
            <v>2020000429</v>
          </cell>
          <cell r="AA72">
            <v>456</v>
          </cell>
          <cell r="AF72" t="str">
            <v>D</v>
          </cell>
          <cell r="AG72">
            <v>8</v>
          </cell>
          <cell r="AH72">
            <v>2</v>
          </cell>
          <cell r="AI72">
            <v>228</v>
          </cell>
          <cell r="AJ72">
            <v>456</v>
          </cell>
        </row>
        <row r="73">
          <cell r="A73">
            <v>168942</v>
          </cell>
          <cell r="B73">
            <v>37575</v>
          </cell>
          <cell r="D73" t="str">
            <v>ENTEL CHILE - 1600001701</v>
          </cell>
          <cell r="E73">
            <v>3261203</v>
          </cell>
          <cell r="F73">
            <v>8013892</v>
          </cell>
          <cell r="G73">
            <v>2605579</v>
          </cell>
          <cell r="H73">
            <v>37581</v>
          </cell>
          <cell r="I73">
            <v>0.5</v>
          </cell>
          <cell r="J73">
            <v>1</v>
          </cell>
          <cell r="K73">
            <v>3.3</v>
          </cell>
          <cell r="M73" t="str">
            <v>VIC-2FXS</v>
          </cell>
          <cell r="N73" t="str">
            <v>TWO-PORT VOICE INTERFACE CARD-FXS</v>
          </cell>
          <cell r="O73">
            <v>400</v>
          </cell>
          <cell r="P73">
            <v>200</v>
          </cell>
          <cell r="Q73">
            <v>2</v>
          </cell>
          <cell r="R73">
            <v>400</v>
          </cell>
          <cell r="S73">
            <v>37610</v>
          </cell>
          <cell r="T73" t="str">
            <v>---</v>
          </cell>
          <cell r="W73" t="str">
            <v>3738404</v>
          </cell>
          <cell r="X73">
            <v>400</v>
          </cell>
          <cell r="Z73" t="str">
            <v>2020000429</v>
          </cell>
          <cell r="AA73">
            <v>456</v>
          </cell>
          <cell r="AF73" t="str">
            <v>C</v>
          </cell>
          <cell r="AG73">
            <v>30</v>
          </cell>
          <cell r="AH73">
            <v>3</v>
          </cell>
          <cell r="AI73">
            <v>228</v>
          </cell>
          <cell r="AJ73">
            <v>456</v>
          </cell>
        </row>
        <row r="74">
          <cell r="A74">
            <v>168942</v>
          </cell>
          <cell r="B74">
            <v>37575</v>
          </cell>
          <cell r="D74" t="str">
            <v>ENTEL CHILE - 1600001701</v>
          </cell>
          <cell r="E74">
            <v>3261203</v>
          </cell>
          <cell r="F74">
            <v>8013892</v>
          </cell>
          <cell r="G74">
            <v>2605579</v>
          </cell>
          <cell r="H74">
            <v>37581</v>
          </cell>
          <cell r="I74">
            <v>0.5</v>
          </cell>
          <cell r="J74">
            <v>1</v>
          </cell>
          <cell r="K74">
            <v>3.4</v>
          </cell>
          <cell r="M74" t="str">
            <v>PVDM-256K-4</v>
          </cell>
          <cell r="N74" t="str">
            <v>4-CHANNEL PACKET VOICE/FAX DSP MODULE</v>
          </cell>
          <cell r="O74">
            <v>400</v>
          </cell>
          <cell r="P74">
            <v>200</v>
          </cell>
          <cell r="Q74">
            <v>2</v>
          </cell>
          <cell r="R74">
            <v>400</v>
          </cell>
          <cell r="S74">
            <v>37610</v>
          </cell>
          <cell r="T74" t="str">
            <v>---</v>
          </cell>
          <cell r="W74" t="str">
            <v>3738404</v>
          </cell>
          <cell r="X74">
            <v>400</v>
          </cell>
          <cell r="Z74" t="str">
            <v>2020000429</v>
          </cell>
          <cell r="AA74">
            <v>0</v>
          </cell>
          <cell r="AF74" t="str">
            <v>D</v>
          </cell>
          <cell r="AG74">
            <v>8</v>
          </cell>
          <cell r="AH74">
            <v>4</v>
          </cell>
          <cell r="AI74">
            <v>0</v>
          </cell>
          <cell r="AJ74">
            <v>0</v>
          </cell>
        </row>
        <row r="75">
          <cell r="A75">
            <v>168942</v>
          </cell>
          <cell r="B75">
            <v>37575</v>
          </cell>
          <cell r="D75" t="str">
            <v>ENTEL CHILE - 1600001701</v>
          </cell>
          <cell r="E75">
            <v>3261203</v>
          </cell>
          <cell r="F75">
            <v>8013892</v>
          </cell>
          <cell r="G75">
            <v>2605579</v>
          </cell>
          <cell r="H75">
            <v>37581</v>
          </cell>
          <cell r="I75">
            <v>0.5</v>
          </cell>
          <cell r="J75">
            <v>1</v>
          </cell>
          <cell r="K75">
            <v>3.5</v>
          </cell>
          <cell r="M75" t="str">
            <v>CAB-ACI</v>
          </cell>
          <cell r="N75" t="str">
            <v>Power Cord-Italian</v>
          </cell>
          <cell r="O75">
            <v>0</v>
          </cell>
          <cell r="P75">
            <v>0</v>
          </cell>
          <cell r="Q75">
            <v>2</v>
          </cell>
          <cell r="R75">
            <v>0</v>
          </cell>
          <cell r="S75">
            <v>37610</v>
          </cell>
          <cell r="T75" t="str">
            <v>---</v>
          </cell>
          <cell r="W75" t="str">
            <v>3738404</v>
          </cell>
          <cell r="X75">
            <v>0</v>
          </cell>
          <cell r="Z75" t="str">
            <v>2020000429</v>
          </cell>
          <cell r="AA75">
            <v>0</v>
          </cell>
          <cell r="AF75" t="str">
            <v>-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</row>
        <row r="76">
          <cell r="A76">
            <v>168942</v>
          </cell>
          <cell r="B76">
            <v>37575</v>
          </cell>
          <cell r="D76" t="str">
            <v>ENTEL CHILE - 1600001701</v>
          </cell>
          <cell r="E76">
            <v>3261203</v>
          </cell>
          <cell r="F76">
            <v>8013892</v>
          </cell>
          <cell r="G76">
            <v>2605579</v>
          </cell>
          <cell r="H76">
            <v>37581</v>
          </cell>
          <cell r="I76">
            <v>0.5</v>
          </cell>
          <cell r="J76">
            <v>1</v>
          </cell>
          <cell r="K76">
            <v>3.6</v>
          </cell>
          <cell r="M76" t="str">
            <v>CAB-V35MT</v>
          </cell>
          <cell r="N76" t="str">
            <v>V.35 CABLE, DTE, MALE, 10 FEET</v>
          </cell>
          <cell r="O76">
            <v>100</v>
          </cell>
          <cell r="P76">
            <v>50</v>
          </cell>
          <cell r="Q76">
            <v>2</v>
          </cell>
          <cell r="R76">
            <v>100</v>
          </cell>
          <cell r="S76">
            <v>37610</v>
          </cell>
          <cell r="T76" t="str">
            <v>---</v>
          </cell>
          <cell r="W76" t="str">
            <v>3738404</v>
          </cell>
          <cell r="X76">
            <v>100</v>
          </cell>
          <cell r="Z76" t="str">
            <v>2020000429</v>
          </cell>
          <cell r="AA76">
            <v>114</v>
          </cell>
          <cell r="AF76" t="str">
            <v>-</v>
          </cell>
          <cell r="AG76">
            <v>0</v>
          </cell>
          <cell r="AH76">
            <v>1</v>
          </cell>
          <cell r="AI76">
            <v>57</v>
          </cell>
          <cell r="AJ76">
            <v>114</v>
          </cell>
        </row>
        <row r="77">
          <cell r="A77">
            <v>168942</v>
          </cell>
          <cell r="B77">
            <v>37575</v>
          </cell>
          <cell r="D77" t="str">
            <v>ENTEL CHILE - 1600001701</v>
          </cell>
          <cell r="E77">
            <v>3261203</v>
          </cell>
          <cell r="F77">
            <v>8013892</v>
          </cell>
          <cell r="G77">
            <v>2605579</v>
          </cell>
          <cell r="H77">
            <v>37581</v>
          </cell>
          <cell r="I77">
            <v>0.5</v>
          </cell>
          <cell r="J77">
            <v>1</v>
          </cell>
          <cell r="K77">
            <v>3.7</v>
          </cell>
          <cell r="M77" t="str">
            <v>PVDM-256K-4</v>
          </cell>
          <cell r="N77" t="str">
            <v>4-CHANNEL PACKET VOICE/FAX DSP MODULE</v>
          </cell>
          <cell r="O77">
            <v>0</v>
          </cell>
          <cell r="P77">
            <v>0</v>
          </cell>
          <cell r="Q77">
            <v>2</v>
          </cell>
          <cell r="R77">
            <v>0</v>
          </cell>
          <cell r="S77">
            <v>37610</v>
          </cell>
          <cell r="T77" t="str">
            <v>---</v>
          </cell>
          <cell r="W77" t="str">
            <v>3738404</v>
          </cell>
          <cell r="X77">
            <v>0</v>
          </cell>
          <cell r="Z77" t="str">
            <v>2020000429</v>
          </cell>
          <cell r="AA77">
            <v>456</v>
          </cell>
          <cell r="AF77" t="str">
            <v>D</v>
          </cell>
          <cell r="AG77">
            <v>0</v>
          </cell>
          <cell r="AH77">
            <v>8</v>
          </cell>
          <cell r="AI77">
            <v>228</v>
          </cell>
          <cell r="AJ77">
            <v>456</v>
          </cell>
        </row>
        <row r="78">
          <cell r="A78">
            <v>168942</v>
          </cell>
          <cell r="B78">
            <v>37575</v>
          </cell>
          <cell r="D78" t="str">
            <v>ENTEL CHILE - 1600001701</v>
          </cell>
          <cell r="E78">
            <v>3261203</v>
          </cell>
          <cell r="F78">
            <v>8013892</v>
          </cell>
          <cell r="G78">
            <v>2605579</v>
          </cell>
          <cell r="H78">
            <v>37581</v>
          </cell>
          <cell r="I78">
            <v>0.5</v>
          </cell>
          <cell r="J78">
            <v>2</v>
          </cell>
          <cell r="K78">
            <v>4</v>
          </cell>
          <cell r="M78" t="str">
            <v>WS-C2950-12</v>
          </cell>
          <cell r="N78" t="str">
            <v>12PORT, 10/100 CATALYST SWITCH, STANDARD IMAGE ONLY</v>
          </cell>
          <cell r="O78">
            <v>895</v>
          </cell>
          <cell r="P78">
            <v>447.5</v>
          </cell>
          <cell r="Q78">
            <v>2</v>
          </cell>
          <cell r="R78">
            <v>895</v>
          </cell>
          <cell r="S78">
            <v>37599</v>
          </cell>
          <cell r="T78" t="str">
            <v>---</v>
          </cell>
          <cell r="Z78" t="str">
            <v>2020000344</v>
          </cell>
          <cell r="AA78">
            <v>1020.3</v>
          </cell>
          <cell r="AF78" t="str">
            <v>D</v>
          </cell>
          <cell r="AG78">
            <v>17.900000000000002</v>
          </cell>
          <cell r="AH78">
            <v>5</v>
          </cell>
          <cell r="AI78">
            <v>510.15</v>
          </cell>
          <cell r="AJ78">
            <v>1020.3</v>
          </cell>
        </row>
        <row r="79">
          <cell r="A79">
            <v>168942</v>
          </cell>
          <cell r="B79">
            <v>37575</v>
          </cell>
          <cell r="D79" t="str">
            <v>ENTEL CHILE - 1600001701</v>
          </cell>
          <cell r="E79">
            <v>3261203</v>
          </cell>
          <cell r="F79">
            <v>8013892</v>
          </cell>
          <cell r="G79">
            <v>2605579</v>
          </cell>
          <cell r="H79">
            <v>37581</v>
          </cell>
          <cell r="I79">
            <v>0.5</v>
          </cell>
          <cell r="J79">
            <v>2</v>
          </cell>
          <cell r="K79">
            <v>4.0999999999999996</v>
          </cell>
          <cell r="M79" t="str">
            <v>CAB-ACI</v>
          </cell>
          <cell r="N79" t="str">
            <v>Power Cord-Italian</v>
          </cell>
          <cell r="O79">
            <v>0</v>
          </cell>
          <cell r="P79">
            <v>0</v>
          </cell>
          <cell r="Q79">
            <v>2</v>
          </cell>
          <cell r="R79">
            <v>0</v>
          </cell>
          <cell r="S79">
            <v>37599</v>
          </cell>
          <cell r="T79" t="str">
            <v>---</v>
          </cell>
          <cell r="Z79" t="str">
            <v>2020000344</v>
          </cell>
          <cell r="AA79">
            <v>0</v>
          </cell>
          <cell r="AF79" t="str">
            <v>-</v>
          </cell>
          <cell r="AG79">
            <v>0</v>
          </cell>
          <cell r="AH79">
            <v>5</v>
          </cell>
          <cell r="AI79">
            <v>0</v>
          </cell>
          <cell r="AJ79">
            <v>0</v>
          </cell>
        </row>
        <row r="80">
          <cell r="A80">
            <v>168943</v>
          </cell>
          <cell r="B80">
            <v>37575</v>
          </cell>
          <cell r="D80" t="str">
            <v>ENTEL CHILE - 1600001702</v>
          </cell>
          <cell r="E80">
            <v>3261284</v>
          </cell>
          <cell r="F80">
            <v>8013980</v>
          </cell>
          <cell r="G80">
            <v>2610006</v>
          </cell>
          <cell r="H80">
            <v>37581</v>
          </cell>
          <cell r="I80">
            <v>0.5</v>
          </cell>
          <cell r="J80">
            <v>1</v>
          </cell>
          <cell r="K80">
            <v>1</v>
          </cell>
          <cell r="M80" t="str">
            <v>WS-G5484</v>
          </cell>
          <cell r="N80" t="str">
            <v>100BASE-SX /</v>
          </cell>
          <cell r="O80">
            <v>500</v>
          </cell>
          <cell r="P80">
            <v>250</v>
          </cell>
          <cell r="Q80">
            <v>4</v>
          </cell>
          <cell r="R80">
            <v>1000</v>
          </cell>
          <cell r="S80">
            <v>37601</v>
          </cell>
          <cell r="T80" t="str">
            <v>---</v>
          </cell>
          <cell r="AF80" t="str">
            <v>D</v>
          </cell>
          <cell r="AG80">
            <v>20</v>
          </cell>
          <cell r="AH80">
            <v>1</v>
          </cell>
          <cell r="AI80">
            <v>285</v>
          </cell>
          <cell r="AJ80">
            <v>1140</v>
          </cell>
        </row>
        <row r="81">
          <cell r="A81">
            <v>168946</v>
          </cell>
          <cell r="B81">
            <v>37575</v>
          </cell>
          <cell r="D81" t="str">
            <v>ENTEL CHILE - 1600001706</v>
          </cell>
          <cell r="E81">
            <v>3261314</v>
          </cell>
          <cell r="F81">
            <v>8013944</v>
          </cell>
          <cell r="G81">
            <v>2610003</v>
          </cell>
          <cell r="H81">
            <v>37581</v>
          </cell>
          <cell r="I81">
            <v>0.5</v>
          </cell>
          <cell r="J81">
            <v>2</v>
          </cell>
          <cell r="K81">
            <v>6</v>
          </cell>
          <cell r="M81" t="str">
            <v>S364CP-12105T</v>
          </cell>
          <cell r="N81" t="str">
            <v>CISCO3640 SERIES IOS IP PLUS</v>
          </cell>
          <cell r="O81">
            <v>700</v>
          </cell>
          <cell r="P81">
            <v>350</v>
          </cell>
          <cell r="Q81">
            <v>1</v>
          </cell>
          <cell r="R81">
            <v>350</v>
          </cell>
          <cell r="S81">
            <v>37602</v>
          </cell>
          <cell r="T81" t="str">
            <v>---</v>
          </cell>
          <cell r="AF81" t="str">
            <v>C</v>
          </cell>
          <cell r="AG81">
            <v>26.25</v>
          </cell>
          <cell r="AH81">
            <v>4</v>
          </cell>
          <cell r="AI81">
            <v>399</v>
          </cell>
          <cell r="AJ81">
            <v>399</v>
          </cell>
        </row>
        <row r="82">
          <cell r="A82">
            <v>168946</v>
          </cell>
          <cell r="B82">
            <v>37575</v>
          </cell>
          <cell r="D82" t="str">
            <v>ENTEL CHILE - 1600001706</v>
          </cell>
          <cell r="E82">
            <v>3261314</v>
          </cell>
          <cell r="F82">
            <v>8013944</v>
          </cell>
          <cell r="G82">
            <v>2610003</v>
          </cell>
          <cell r="H82">
            <v>37581</v>
          </cell>
          <cell r="I82">
            <v>0.5</v>
          </cell>
          <cell r="J82">
            <v>1</v>
          </cell>
          <cell r="K82">
            <v>2</v>
          </cell>
          <cell r="M82" t="str">
            <v>NM-1A-OC3SMI</v>
          </cell>
          <cell r="N82" t="str">
            <v>SINGLE PORT ATM OC-3 SINGLEMODE INTERMEDIATE REACH NM</v>
          </cell>
          <cell r="O82">
            <v>8000</v>
          </cell>
          <cell r="P82">
            <v>4000</v>
          </cell>
          <cell r="Q82">
            <v>1</v>
          </cell>
          <cell r="R82">
            <v>4000</v>
          </cell>
          <cell r="S82">
            <v>37603</v>
          </cell>
          <cell r="T82" t="str">
            <v>---</v>
          </cell>
          <cell r="AF82" t="str">
            <v>C</v>
          </cell>
          <cell r="AG82">
            <v>300</v>
          </cell>
          <cell r="AH82">
            <v>3</v>
          </cell>
          <cell r="AI82">
            <v>4560</v>
          </cell>
          <cell r="AJ82">
            <v>4560</v>
          </cell>
        </row>
        <row r="83">
          <cell r="A83">
            <v>168946</v>
          </cell>
          <cell r="B83">
            <v>37575</v>
          </cell>
          <cell r="D83" t="str">
            <v>ENTEL CHILE - 1600001706</v>
          </cell>
          <cell r="E83">
            <v>3261314</v>
          </cell>
          <cell r="F83">
            <v>8013944</v>
          </cell>
          <cell r="G83">
            <v>2610003</v>
          </cell>
          <cell r="H83">
            <v>37581</v>
          </cell>
          <cell r="I83">
            <v>0.5</v>
          </cell>
          <cell r="J83">
            <v>1</v>
          </cell>
          <cell r="K83">
            <v>3</v>
          </cell>
          <cell r="M83" t="str">
            <v>CISCO827</v>
          </cell>
          <cell r="N83" t="str">
            <v>CISCO 827 ADSL ROUTER 1E, ADSL</v>
          </cell>
          <cell r="O83">
            <v>649</v>
          </cell>
          <cell r="P83">
            <v>324.5</v>
          </cell>
          <cell r="Q83">
            <v>2</v>
          </cell>
          <cell r="R83">
            <v>649</v>
          </cell>
          <cell r="S83">
            <v>37603</v>
          </cell>
          <cell r="T83" t="str">
            <v>---</v>
          </cell>
          <cell r="AF83" t="str">
            <v>D</v>
          </cell>
          <cell r="AG83">
            <v>12.98</v>
          </cell>
          <cell r="AH83">
            <v>1</v>
          </cell>
          <cell r="AI83">
            <v>369.93</v>
          </cell>
          <cell r="AJ83">
            <v>739.86</v>
          </cell>
        </row>
        <row r="84">
          <cell r="A84">
            <v>168946</v>
          </cell>
          <cell r="B84">
            <v>37575</v>
          </cell>
          <cell r="D84" t="str">
            <v>ENTEL CHILE - 1600001706</v>
          </cell>
          <cell r="E84">
            <v>3261314</v>
          </cell>
          <cell r="F84">
            <v>8013944</v>
          </cell>
          <cell r="G84">
            <v>2610003</v>
          </cell>
          <cell r="H84">
            <v>37581</v>
          </cell>
          <cell r="I84">
            <v>0.5</v>
          </cell>
          <cell r="J84">
            <v>1</v>
          </cell>
          <cell r="K84">
            <v>3.3</v>
          </cell>
          <cell r="M84" t="str">
            <v>CAB-ADSL-RJ11</v>
          </cell>
          <cell r="N84" t="str">
            <v>LAVENDER CABLE FOR XDSL, STRAIGHT-THROUGH, RJ-11, 6 FEET</v>
          </cell>
          <cell r="O84">
            <v>0</v>
          </cell>
          <cell r="P84">
            <v>0</v>
          </cell>
          <cell r="Q84">
            <v>2</v>
          </cell>
          <cell r="R84">
            <v>0</v>
          </cell>
          <cell r="S84">
            <v>37603</v>
          </cell>
          <cell r="T84" t="str">
            <v>---</v>
          </cell>
          <cell r="AF84" t="str">
            <v>-</v>
          </cell>
          <cell r="AG84">
            <v>0</v>
          </cell>
          <cell r="AH84">
            <v>1</v>
          </cell>
          <cell r="AI84">
            <v>0</v>
          </cell>
          <cell r="AJ84">
            <v>0</v>
          </cell>
        </row>
        <row r="85">
          <cell r="A85">
            <v>168946</v>
          </cell>
          <cell r="B85">
            <v>37575</v>
          </cell>
          <cell r="D85" t="str">
            <v>ENTEL CHILE - 1600001706</v>
          </cell>
          <cell r="E85">
            <v>3261314</v>
          </cell>
          <cell r="F85">
            <v>8013944</v>
          </cell>
          <cell r="G85">
            <v>2610003</v>
          </cell>
          <cell r="H85">
            <v>37581</v>
          </cell>
          <cell r="I85">
            <v>0.5</v>
          </cell>
          <cell r="J85">
            <v>1</v>
          </cell>
          <cell r="K85">
            <v>3.1</v>
          </cell>
          <cell r="M85" t="str">
            <v>CAB-ACI</v>
          </cell>
          <cell r="N85" t="str">
            <v>POWER CORD-ITALIAN</v>
          </cell>
          <cell r="O85">
            <v>0</v>
          </cell>
          <cell r="P85">
            <v>0</v>
          </cell>
          <cell r="Q85">
            <v>2</v>
          </cell>
          <cell r="R85">
            <v>0</v>
          </cell>
          <cell r="S85">
            <v>37603</v>
          </cell>
          <cell r="T85" t="str">
            <v>---</v>
          </cell>
          <cell r="AF85" t="str">
            <v>-</v>
          </cell>
          <cell r="AG85">
            <v>0</v>
          </cell>
          <cell r="AH85">
            <v>1</v>
          </cell>
          <cell r="AI85">
            <v>0</v>
          </cell>
          <cell r="AJ85">
            <v>0</v>
          </cell>
        </row>
        <row r="86">
          <cell r="A86">
            <v>168946</v>
          </cell>
          <cell r="B86">
            <v>37575</v>
          </cell>
          <cell r="D86" t="str">
            <v>ENTEL CHILE - 1600001706</v>
          </cell>
          <cell r="E86">
            <v>3261314</v>
          </cell>
          <cell r="F86">
            <v>8013944</v>
          </cell>
          <cell r="G86">
            <v>2610003</v>
          </cell>
          <cell r="H86">
            <v>37581</v>
          </cell>
          <cell r="I86">
            <v>0.5</v>
          </cell>
          <cell r="J86">
            <v>1</v>
          </cell>
          <cell r="K86">
            <v>3.2</v>
          </cell>
          <cell r="M86" t="str">
            <v>S820C-12208T</v>
          </cell>
          <cell r="N86" t="str">
            <v>CISCO 820 SER IOS IP</v>
          </cell>
          <cell r="O86">
            <v>0</v>
          </cell>
          <cell r="P86">
            <v>0</v>
          </cell>
          <cell r="Q86">
            <v>2</v>
          </cell>
          <cell r="R86">
            <v>0</v>
          </cell>
          <cell r="S86">
            <v>37603</v>
          </cell>
          <cell r="T86" t="str">
            <v>---</v>
          </cell>
          <cell r="AF86" t="str">
            <v>D</v>
          </cell>
          <cell r="AG86">
            <v>0</v>
          </cell>
          <cell r="AH86">
            <v>1</v>
          </cell>
          <cell r="AI86">
            <v>0</v>
          </cell>
          <cell r="AJ86">
            <v>0</v>
          </cell>
        </row>
        <row r="87">
          <cell r="A87">
            <v>168946</v>
          </cell>
          <cell r="B87">
            <v>37575</v>
          </cell>
          <cell r="D87" t="str">
            <v>ENTEL CHILE - 1600001706</v>
          </cell>
          <cell r="E87">
            <v>3261314</v>
          </cell>
          <cell r="F87">
            <v>8013944</v>
          </cell>
          <cell r="G87">
            <v>2610003</v>
          </cell>
          <cell r="H87">
            <v>37581</v>
          </cell>
          <cell r="I87">
            <v>0.5</v>
          </cell>
          <cell r="J87">
            <v>2</v>
          </cell>
          <cell r="K87">
            <v>4</v>
          </cell>
          <cell r="M87" t="str">
            <v>WS-C2950-12</v>
          </cell>
          <cell r="N87" t="str">
            <v>12 PORT, 10/100 CATALYST SWITCH, STANDARD IMAGE ONLY</v>
          </cell>
          <cell r="O87">
            <v>895</v>
          </cell>
          <cell r="P87">
            <v>447.5</v>
          </cell>
          <cell r="Q87">
            <v>7</v>
          </cell>
          <cell r="R87">
            <v>3132.5</v>
          </cell>
          <cell r="S87">
            <v>37602</v>
          </cell>
          <cell r="T87" t="str">
            <v>---</v>
          </cell>
          <cell r="AF87" t="str">
            <v>D</v>
          </cell>
          <cell r="AG87">
            <v>62.65</v>
          </cell>
          <cell r="AH87">
            <v>5</v>
          </cell>
          <cell r="AI87">
            <v>510.15</v>
          </cell>
          <cell r="AJ87">
            <v>3571.0499999999997</v>
          </cell>
        </row>
        <row r="88">
          <cell r="A88">
            <v>168946</v>
          </cell>
          <cell r="B88">
            <v>37575</v>
          </cell>
          <cell r="D88" t="str">
            <v>ENTEL CHILE - 1600001706</v>
          </cell>
          <cell r="E88">
            <v>3261314</v>
          </cell>
          <cell r="F88">
            <v>8013944</v>
          </cell>
          <cell r="G88">
            <v>2610003</v>
          </cell>
          <cell r="H88">
            <v>37581</v>
          </cell>
          <cell r="I88">
            <v>0.5</v>
          </cell>
          <cell r="J88">
            <v>2</v>
          </cell>
          <cell r="K88">
            <v>4.0999999999999996</v>
          </cell>
          <cell r="M88" t="str">
            <v>CAB-ACI</v>
          </cell>
          <cell r="N88" t="str">
            <v>POWER CORD-ITALIAN</v>
          </cell>
          <cell r="O88">
            <v>0</v>
          </cell>
          <cell r="P88">
            <v>0</v>
          </cell>
          <cell r="Q88">
            <v>7</v>
          </cell>
          <cell r="R88">
            <v>0</v>
          </cell>
          <cell r="S88">
            <v>37602</v>
          </cell>
          <cell r="T88" t="str">
            <v>---</v>
          </cell>
          <cell r="AF88" t="str">
            <v>-</v>
          </cell>
          <cell r="AG88">
            <v>0</v>
          </cell>
          <cell r="AH88">
            <v>5</v>
          </cell>
          <cell r="AI88">
            <v>0</v>
          </cell>
          <cell r="AJ88">
            <v>0</v>
          </cell>
        </row>
        <row r="89">
          <cell r="A89">
            <v>168946</v>
          </cell>
          <cell r="B89">
            <v>37575</v>
          </cell>
          <cell r="D89" t="str">
            <v>ENTEL CHILE - 1600001706</v>
          </cell>
          <cell r="E89">
            <v>3261314</v>
          </cell>
          <cell r="F89">
            <v>8013944</v>
          </cell>
          <cell r="G89">
            <v>2610003</v>
          </cell>
          <cell r="H89">
            <v>37581</v>
          </cell>
          <cell r="I89">
            <v>0.5</v>
          </cell>
          <cell r="J89">
            <v>2</v>
          </cell>
          <cell r="K89">
            <v>5</v>
          </cell>
          <cell r="M89" t="str">
            <v>WS-C2950-24</v>
          </cell>
          <cell r="N89" t="str">
            <v>24- PORT, 10/100 CATALYST SWITCH</v>
          </cell>
          <cell r="O89">
            <v>995</v>
          </cell>
          <cell r="P89">
            <v>497.5</v>
          </cell>
          <cell r="Q89">
            <v>3</v>
          </cell>
          <cell r="R89">
            <v>1492.5</v>
          </cell>
          <cell r="S89">
            <v>37602</v>
          </cell>
          <cell r="T89" t="str">
            <v>---</v>
          </cell>
          <cell r="AF89" t="str">
            <v>D</v>
          </cell>
          <cell r="AG89">
            <v>29.85</v>
          </cell>
          <cell r="AH89">
            <v>2</v>
          </cell>
          <cell r="AI89">
            <v>567.15</v>
          </cell>
          <cell r="AJ89">
            <v>1701.4499999999998</v>
          </cell>
        </row>
        <row r="90">
          <cell r="A90">
            <v>168946</v>
          </cell>
          <cell r="B90">
            <v>37575</v>
          </cell>
          <cell r="D90" t="str">
            <v>ENTEL CHILE - 1600001706</v>
          </cell>
          <cell r="E90">
            <v>3261314</v>
          </cell>
          <cell r="F90">
            <v>8013944</v>
          </cell>
          <cell r="G90">
            <v>2610003</v>
          </cell>
          <cell r="H90">
            <v>37581</v>
          </cell>
          <cell r="I90">
            <v>0.5</v>
          </cell>
          <cell r="J90">
            <v>2</v>
          </cell>
          <cell r="K90">
            <v>5.0999999999999996</v>
          </cell>
          <cell r="M90" t="str">
            <v>CAB-ACI</v>
          </cell>
          <cell r="N90" t="str">
            <v>POWER CORD-ITALIAN</v>
          </cell>
          <cell r="O90">
            <v>0</v>
          </cell>
          <cell r="P90">
            <v>0</v>
          </cell>
          <cell r="Q90">
            <v>3</v>
          </cell>
          <cell r="R90">
            <v>0</v>
          </cell>
          <cell r="S90">
            <v>37602</v>
          </cell>
          <cell r="T90" t="str">
            <v>---</v>
          </cell>
          <cell r="AF90" t="str">
            <v>-</v>
          </cell>
          <cell r="AG90">
            <v>0</v>
          </cell>
          <cell r="AH90">
            <v>2</v>
          </cell>
          <cell r="AI90">
            <v>0</v>
          </cell>
          <cell r="AJ90">
            <v>0</v>
          </cell>
        </row>
        <row r="91">
          <cell r="A91">
            <v>168947</v>
          </cell>
          <cell r="B91">
            <v>37575</v>
          </cell>
          <cell r="D91" t="str">
            <v>ENTEL CHILE - 1600001708</v>
          </cell>
          <cell r="E91">
            <v>3261367</v>
          </cell>
          <cell r="F91">
            <v>8013963</v>
          </cell>
          <cell r="G91">
            <v>2610002</v>
          </cell>
          <cell r="H91">
            <v>37581</v>
          </cell>
          <cell r="I91">
            <v>0.5</v>
          </cell>
          <cell r="J91">
            <v>1</v>
          </cell>
          <cell r="K91">
            <v>1</v>
          </cell>
          <cell r="M91" t="str">
            <v>NM-HDV-1E1-30</v>
          </cell>
          <cell r="N91" t="str">
            <v>Single-Port 30 Channel E1 Voice/Fax Network Module</v>
          </cell>
          <cell r="O91">
            <v>7800</v>
          </cell>
          <cell r="P91">
            <v>3900</v>
          </cell>
          <cell r="Q91">
            <v>1</v>
          </cell>
          <cell r="R91">
            <v>3900</v>
          </cell>
          <cell r="S91">
            <v>37602</v>
          </cell>
          <cell r="T91" t="str">
            <v>---</v>
          </cell>
          <cell r="AF91" t="str">
            <v>C</v>
          </cell>
          <cell r="AG91">
            <v>292.5</v>
          </cell>
          <cell r="AH91">
            <v>1</v>
          </cell>
          <cell r="AI91">
            <v>4446</v>
          </cell>
          <cell r="AJ91">
            <v>4446</v>
          </cell>
        </row>
        <row r="92">
          <cell r="A92">
            <v>168948</v>
          </cell>
          <cell r="B92">
            <v>37575</v>
          </cell>
          <cell r="D92" t="str">
            <v>ENTEL CHILE - 1600001712</v>
          </cell>
          <cell r="E92">
            <v>3261878</v>
          </cell>
          <cell r="F92">
            <v>8013969</v>
          </cell>
          <cell r="G92">
            <v>2610001</v>
          </cell>
          <cell r="H92">
            <v>37581</v>
          </cell>
          <cell r="I92">
            <v>0.5</v>
          </cell>
          <cell r="J92">
            <v>1</v>
          </cell>
          <cell r="K92">
            <v>1</v>
          </cell>
          <cell r="M92" t="str">
            <v>WS-G5487</v>
          </cell>
          <cell r="N92" t="str">
            <v>1000BASE-ZX EXTENDED REACH GBIC (SINGLEMODE)</v>
          </cell>
          <cell r="O92">
            <v>5995</v>
          </cell>
          <cell r="P92">
            <v>2997.5</v>
          </cell>
          <cell r="Q92">
            <v>2</v>
          </cell>
          <cell r="R92">
            <v>5995</v>
          </cell>
          <cell r="S92">
            <v>37601</v>
          </cell>
          <cell r="T92" t="str">
            <v>---</v>
          </cell>
          <cell r="AF92" t="str">
            <v>D</v>
          </cell>
          <cell r="AG92">
            <v>119.9</v>
          </cell>
          <cell r="AH92">
            <v>1</v>
          </cell>
          <cell r="AI92">
            <v>3417.15</v>
          </cell>
          <cell r="AJ92">
            <v>6834.3</v>
          </cell>
        </row>
        <row r="93">
          <cell r="A93">
            <v>168948</v>
          </cell>
          <cell r="B93">
            <v>37575</v>
          </cell>
          <cell r="D93" t="str">
            <v>ENTEL CHILE - 1600001712</v>
          </cell>
          <cell r="E93">
            <v>3261878</v>
          </cell>
          <cell r="F93">
            <v>8013969</v>
          </cell>
          <cell r="G93">
            <v>2610001</v>
          </cell>
          <cell r="H93">
            <v>37581</v>
          </cell>
          <cell r="I93">
            <v>0.5</v>
          </cell>
          <cell r="J93">
            <v>2</v>
          </cell>
          <cell r="K93">
            <v>2</v>
          </cell>
          <cell r="M93" t="str">
            <v>WS-C3550-24-SMI</v>
          </cell>
          <cell r="N93" t="str">
            <v>24-10/100 AND 2 GBIC PORTS: STANDARD MULTILAYER SW IMAGE /</v>
          </cell>
          <cell r="O93">
            <v>2995</v>
          </cell>
          <cell r="P93">
            <v>1497.5</v>
          </cell>
          <cell r="Q93">
            <v>8</v>
          </cell>
          <cell r="R93">
            <v>11980</v>
          </cell>
          <cell r="S93">
            <v>37602</v>
          </cell>
          <cell r="T93" t="str">
            <v>---</v>
          </cell>
          <cell r="AF93" t="str">
            <v>D</v>
          </cell>
          <cell r="AG93">
            <v>239.6</v>
          </cell>
          <cell r="AH93">
            <v>2</v>
          </cell>
          <cell r="AI93">
            <v>1707.15</v>
          </cell>
          <cell r="AJ93">
            <v>13657.2</v>
          </cell>
        </row>
        <row r="94">
          <cell r="A94">
            <v>168948</v>
          </cell>
          <cell r="B94">
            <v>37575</v>
          </cell>
          <cell r="D94" t="str">
            <v>ENTEL CHILE - 1600001712</v>
          </cell>
          <cell r="E94">
            <v>3261878</v>
          </cell>
          <cell r="F94">
            <v>8013969</v>
          </cell>
          <cell r="G94">
            <v>2610001</v>
          </cell>
          <cell r="H94">
            <v>37581</v>
          </cell>
          <cell r="I94">
            <v>0.5</v>
          </cell>
          <cell r="J94">
            <v>2</v>
          </cell>
          <cell r="K94">
            <v>2.1</v>
          </cell>
          <cell r="M94" t="str">
            <v>CAB-ACI</v>
          </cell>
          <cell r="N94" t="str">
            <v>POWER CORD-ITALIAN</v>
          </cell>
          <cell r="O94">
            <v>0</v>
          </cell>
          <cell r="P94">
            <v>0</v>
          </cell>
          <cell r="Q94">
            <v>8</v>
          </cell>
          <cell r="R94">
            <v>0</v>
          </cell>
          <cell r="S94">
            <v>37602</v>
          </cell>
          <cell r="T94" t="str">
            <v>---</v>
          </cell>
          <cell r="AF94" t="str">
            <v>-</v>
          </cell>
          <cell r="AG94">
            <v>0</v>
          </cell>
          <cell r="AH94">
            <v>2</v>
          </cell>
          <cell r="AI94">
            <v>0</v>
          </cell>
          <cell r="AJ94">
            <v>0</v>
          </cell>
        </row>
        <row r="95">
          <cell r="A95">
            <v>168948</v>
          </cell>
          <cell r="B95">
            <v>37575</v>
          </cell>
          <cell r="D95" t="str">
            <v>ENTEL CHILE - 1600001712</v>
          </cell>
          <cell r="E95">
            <v>3261878</v>
          </cell>
          <cell r="F95">
            <v>8013969</v>
          </cell>
          <cell r="G95">
            <v>2610001</v>
          </cell>
          <cell r="H95">
            <v>37581</v>
          </cell>
          <cell r="I95">
            <v>0.5</v>
          </cell>
          <cell r="J95">
            <v>1</v>
          </cell>
          <cell r="K95">
            <v>3</v>
          </cell>
          <cell r="M95" t="str">
            <v>WS-G5486</v>
          </cell>
          <cell r="N95" t="str">
            <v>1000BASE-LX/LH/</v>
          </cell>
          <cell r="O95">
            <v>995</v>
          </cell>
          <cell r="P95">
            <v>497.5</v>
          </cell>
          <cell r="Q95">
            <v>6</v>
          </cell>
          <cell r="R95">
            <v>2985</v>
          </cell>
          <cell r="S95">
            <v>37601</v>
          </cell>
          <cell r="T95" t="str">
            <v>---</v>
          </cell>
          <cell r="AF95" t="str">
            <v>D</v>
          </cell>
          <cell r="AG95">
            <v>59.7</v>
          </cell>
          <cell r="AH95">
            <v>4</v>
          </cell>
          <cell r="AI95">
            <v>567.15</v>
          </cell>
          <cell r="AJ95">
            <v>3402.8999999999996</v>
          </cell>
        </row>
        <row r="96">
          <cell r="A96">
            <v>168948</v>
          </cell>
          <cell r="B96">
            <v>37575</v>
          </cell>
          <cell r="D96" t="str">
            <v>ENTEL CHILE - 1600001712</v>
          </cell>
          <cell r="E96">
            <v>3261878</v>
          </cell>
          <cell r="F96">
            <v>8013969</v>
          </cell>
          <cell r="G96">
            <v>2610001</v>
          </cell>
          <cell r="H96">
            <v>37581</v>
          </cell>
          <cell r="I96">
            <v>0.5</v>
          </cell>
          <cell r="J96">
            <v>1</v>
          </cell>
          <cell r="K96">
            <v>5</v>
          </cell>
          <cell r="M96" t="str">
            <v>WS-G5484</v>
          </cell>
          <cell r="N96" t="str">
            <v>1000BASE-SX</v>
          </cell>
          <cell r="O96">
            <v>500</v>
          </cell>
          <cell r="P96">
            <v>250</v>
          </cell>
          <cell r="Q96">
            <v>8</v>
          </cell>
          <cell r="R96">
            <v>2000</v>
          </cell>
          <cell r="S96">
            <v>37601</v>
          </cell>
          <cell r="T96" t="str">
            <v>---</v>
          </cell>
          <cell r="AF96" t="str">
            <v>D</v>
          </cell>
          <cell r="AG96">
            <v>40</v>
          </cell>
          <cell r="AH96">
            <v>3</v>
          </cell>
          <cell r="AI96">
            <v>285</v>
          </cell>
          <cell r="AJ96">
            <v>2280</v>
          </cell>
        </row>
        <row r="97">
          <cell r="A97">
            <v>168950</v>
          </cell>
          <cell r="B97">
            <v>37581</v>
          </cell>
          <cell r="D97" t="str">
            <v>ENTEL CHILE - 1600001716</v>
          </cell>
          <cell r="E97">
            <v>3273900</v>
          </cell>
          <cell r="F97">
            <v>8022419</v>
          </cell>
          <cell r="G97">
            <v>2605756</v>
          </cell>
          <cell r="H97">
            <v>37596</v>
          </cell>
          <cell r="I97">
            <v>0.5</v>
          </cell>
          <cell r="J97">
            <v>1</v>
          </cell>
          <cell r="K97">
            <v>1</v>
          </cell>
          <cell r="M97" t="str">
            <v>CISCO7204VXR</v>
          </cell>
          <cell r="N97" t="str">
            <v>CISCO7204VXR, 4-SLOT CHASSIS. 1AC SUPPLY W/IP SOFTWARE</v>
          </cell>
          <cell r="O97">
            <v>6000</v>
          </cell>
          <cell r="P97">
            <v>3000</v>
          </cell>
          <cell r="Q97">
            <v>1</v>
          </cell>
          <cell r="R97">
            <v>3000</v>
          </cell>
          <cell r="S97">
            <v>37616</v>
          </cell>
          <cell r="T97" t="str">
            <v>---</v>
          </cell>
          <cell r="W97" t="str">
            <v>3742047</v>
          </cell>
          <cell r="X97">
            <v>3000</v>
          </cell>
          <cell r="Z97" t="str">
            <v>2020000433</v>
          </cell>
          <cell r="AA97">
            <v>3420</v>
          </cell>
          <cell r="AF97" t="str">
            <v>B</v>
          </cell>
          <cell r="AG97">
            <v>300</v>
          </cell>
          <cell r="AH97">
            <v>4</v>
          </cell>
          <cell r="AI97">
            <v>3420</v>
          </cell>
          <cell r="AJ97">
            <v>3420</v>
          </cell>
        </row>
        <row r="98">
          <cell r="A98">
            <v>168950</v>
          </cell>
          <cell r="B98">
            <v>37581</v>
          </cell>
          <cell r="D98" t="str">
            <v>ENTEL CHILE - 1600001716</v>
          </cell>
          <cell r="E98">
            <v>3273900</v>
          </cell>
          <cell r="F98">
            <v>8022419</v>
          </cell>
          <cell r="G98">
            <v>2605756</v>
          </cell>
          <cell r="H98">
            <v>37596</v>
          </cell>
          <cell r="I98">
            <v>0.5</v>
          </cell>
          <cell r="J98">
            <v>1</v>
          </cell>
          <cell r="K98">
            <v>1.1000000000000001</v>
          </cell>
          <cell r="M98" t="str">
            <v>CAB-ACI</v>
          </cell>
          <cell r="N98" t="str">
            <v>Power Cord-Italian</v>
          </cell>
          <cell r="O98">
            <v>0</v>
          </cell>
          <cell r="P98">
            <v>0</v>
          </cell>
          <cell r="Q98">
            <v>1</v>
          </cell>
          <cell r="R98">
            <v>0</v>
          </cell>
          <cell r="S98">
            <v>37616</v>
          </cell>
          <cell r="T98" t="str">
            <v>---</v>
          </cell>
          <cell r="W98" t="str">
            <v>3742047</v>
          </cell>
          <cell r="X98">
            <v>0</v>
          </cell>
          <cell r="Z98" t="str">
            <v>2020000433</v>
          </cell>
          <cell r="AA98">
            <v>0</v>
          </cell>
          <cell r="AF98" t="str">
            <v>-</v>
          </cell>
          <cell r="AG98">
            <v>0</v>
          </cell>
          <cell r="AH98">
            <v>4</v>
          </cell>
          <cell r="AI98">
            <v>0</v>
          </cell>
          <cell r="AJ98">
            <v>0</v>
          </cell>
        </row>
        <row r="99">
          <cell r="A99">
            <v>168950</v>
          </cell>
          <cell r="B99">
            <v>37581</v>
          </cell>
          <cell r="D99" t="str">
            <v>ENTEL CHILE - 1600001716</v>
          </cell>
          <cell r="E99">
            <v>3273900</v>
          </cell>
          <cell r="F99">
            <v>8022419</v>
          </cell>
          <cell r="G99">
            <v>2605756</v>
          </cell>
          <cell r="H99">
            <v>37596</v>
          </cell>
          <cell r="I99">
            <v>0.5</v>
          </cell>
          <cell r="J99">
            <v>1</v>
          </cell>
          <cell r="K99">
            <v>1.2</v>
          </cell>
          <cell r="M99" t="str">
            <v>S72C-12212</v>
          </cell>
          <cell r="N99" t="str">
            <v>CISCO 7200 SERIES IOS IP</v>
          </cell>
          <cell r="O99">
            <v>0</v>
          </cell>
          <cell r="P99">
            <v>0</v>
          </cell>
          <cell r="Q99">
            <v>1</v>
          </cell>
          <cell r="R99">
            <v>0</v>
          </cell>
          <cell r="S99">
            <v>37616</v>
          </cell>
          <cell r="T99" t="str">
            <v>---</v>
          </cell>
          <cell r="W99" t="str">
            <v>3742047</v>
          </cell>
          <cell r="X99">
            <v>0</v>
          </cell>
          <cell r="Z99" t="str">
            <v>2020000433</v>
          </cell>
          <cell r="AA99">
            <v>0</v>
          </cell>
          <cell r="AF99" t="str">
            <v>B</v>
          </cell>
          <cell r="AG99">
            <v>0</v>
          </cell>
          <cell r="AH99">
            <v>4</v>
          </cell>
          <cell r="AI99">
            <v>0</v>
          </cell>
          <cell r="AJ99">
            <v>0</v>
          </cell>
        </row>
        <row r="100">
          <cell r="A100">
            <v>168950</v>
          </cell>
          <cell r="B100">
            <v>37581</v>
          </cell>
          <cell r="D100" t="str">
            <v>ENTEL CHILE - 1600001716</v>
          </cell>
          <cell r="E100">
            <v>3273900</v>
          </cell>
          <cell r="F100">
            <v>8022419</v>
          </cell>
          <cell r="G100">
            <v>2605756</v>
          </cell>
          <cell r="H100">
            <v>37596</v>
          </cell>
          <cell r="I100">
            <v>0.5</v>
          </cell>
          <cell r="J100">
            <v>1</v>
          </cell>
          <cell r="K100">
            <v>1.3</v>
          </cell>
          <cell r="M100" t="str">
            <v>C7200-I/O-2FE/E</v>
          </cell>
          <cell r="N100" t="str">
            <v>CISCO 7200 INPUT/OUTPUT CONTROLLER WITH DUAL 10/100 ETHERNET</v>
          </cell>
          <cell r="O100">
            <v>3400</v>
          </cell>
          <cell r="P100">
            <v>1700</v>
          </cell>
          <cell r="Q100">
            <v>1</v>
          </cell>
          <cell r="R100">
            <v>1700</v>
          </cell>
          <cell r="S100">
            <v>37616</v>
          </cell>
          <cell r="T100" t="str">
            <v>---</v>
          </cell>
          <cell r="W100" t="str">
            <v>3742047</v>
          </cell>
          <cell r="X100">
            <v>1700</v>
          </cell>
          <cell r="Z100" t="str">
            <v>2020000433</v>
          </cell>
          <cell r="AA100">
            <v>1938</v>
          </cell>
          <cell r="AF100" t="str">
            <v>B</v>
          </cell>
          <cell r="AG100">
            <v>170</v>
          </cell>
          <cell r="AH100">
            <v>1</v>
          </cell>
          <cell r="AI100">
            <v>1938</v>
          </cell>
          <cell r="AJ100">
            <v>1938</v>
          </cell>
        </row>
        <row r="101">
          <cell r="A101">
            <v>168950</v>
          </cell>
          <cell r="B101">
            <v>37581</v>
          </cell>
          <cell r="D101" t="str">
            <v>ENTEL CHILE - 1600001716</v>
          </cell>
          <cell r="E101">
            <v>3273900</v>
          </cell>
          <cell r="F101">
            <v>8022419</v>
          </cell>
          <cell r="G101">
            <v>2605756</v>
          </cell>
          <cell r="H101">
            <v>37596</v>
          </cell>
          <cell r="I101">
            <v>0.5</v>
          </cell>
          <cell r="J101">
            <v>1</v>
          </cell>
          <cell r="K101">
            <v>1.4</v>
          </cell>
          <cell r="M101" t="str">
            <v>NPE-400</v>
          </cell>
          <cell r="N101" t="str">
            <v>7200VXR NPE-400 (128MB DEFAULT MEMORY)</v>
          </cell>
          <cell r="O101">
            <v>7500</v>
          </cell>
          <cell r="P101">
            <v>3750</v>
          </cell>
          <cell r="Q101">
            <v>1</v>
          </cell>
          <cell r="R101">
            <v>3750</v>
          </cell>
          <cell r="S101">
            <v>37616</v>
          </cell>
          <cell r="T101" t="str">
            <v>---</v>
          </cell>
          <cell r="W101" t="str">
            <v>3742047</v>
          </cell>
          <cell r="X101">
            <v>3750</v>
          </cell>
          <cell r="Z101" t="str">
            <v>2020000433</v>
          </cell>
          <cell r="AA101">
            <v>4275</v>
          </cell>
          <cell r="AF101" t="str">
            <v>B</v>
          </cell>
          <cell r="AG101">
            <v>375</v>
          </cell>
          <cell r="AH101">
            <v>3</v>
          </cell>
          <cell r="AI101">
            <v>4275</v>
          </cell>
          <cell r="AJ101">
            <v>4275</v>
          </cell>
        </row>
        <row r="102">
          <cell r="A102">
            <v>168950</v>
          </cell>
          <cell r="B102">
            <v>37581</v>
          </cell>
          <cell r="D102" t="str">
            <v>ENTEL CHILE - 1600001716</v>
          </cell>
          <cell r="E102">
            <v>3273900</v>
          </cell>
          <cell r="F102">
            <v>8022419</v>
          </cell>
          <cell r="G102">
            <v>2605756</v>
          </cell>
          <cell r="H102">
            <v>37596</v>
          </cell>
          <cell r="I102">
            <v>0.5</v>
          </cell>
          <cell r="J102">
            <v>1</v>
          </cell>
          <cell r="K102">
            <v>1.5</v>
          </cell>
          <cell r="M102" t="str">
            <v>PA-A3-OC3SMI</v>
          </cell>
          <cell r="N102" t="str">
            <v>1-PORT ATM ENHANCED OC3/STM1 SINGLEMODE (IR) PORT ADAPTER</v>
          </cell>
          <cell r="O102">
            <v>10000</v>
          </cell>
          <cell r="P102">
            <v>5000</v>
          </cell>
          <cell r="Q102">
            <v>1</v>
          </cell>
          <cell r="R102">
            <v>5000</v>
          </cell>
          <cell r="S102">
            <v>37616</v>
          </cell>
          <cell r="T102" t="str">
            <v>---</v>
          </cell>
          <cell r="W102" t="str">
            <v>3742047</v>
          </cell>
          <cell r="X102">
            <v>5000</v>
          </cell>
          <cell r="Z102" t="str">
            <v>2020000433</v>
          </cell>
          <cell r="AA102">
            <v>5700</v>
          </cell>
          <cell r="AF102" t="str">
            <v>B</v>
          </cell>
          <cell r="AG102">
            <v>500</v>
          </cell>
          <cell r="AH102">
            <v>2</v>
          </cell>
          <cell r="AI102">
            <v>5700</v>
          </cell>
          <cell r="AJ102">
            <v>5700</v>
          </cell>
        </row>
        <row r="103">
          <cell r="A103">
            <v>168950</v>
          </cell>
          <cell r="B103">
            <v>37581</v>
          </cell>
          <cell r="D103" t="str">
            <v>ENTEL CHILE - 1600001716</v>
          </cell>
          <cell r="E103">
            <v>3273900</v>
          </cell>
          <cell r="F103">
            <v>8022419</v>
          </cell>
          <cell r="G103">
            <v>2605756</v>
          </cell>
          <cell r="H103">
            <v>37596</v>
          </cell>
          <cell r="I103">
            <v>0.5</v>
          </cell>
          <cell r="J103">
            <v>1</v>
          </cell>
          <cell r="K103">
            <v>1.6</v>
          </cell>
          <cell r="M103" t="str">
            <v>PWR-7200</v>
          </cell>
          <cell r="N103" t="str">
            <v>CISCO 7200 AC POWER SUPPLY OPTION</v>
          </cell>
          <cell r="O103">
            <v>0</v>
          </cell>
          <cell r="P103">
            <v>0</v>
          </cell>
          <cell r="Q103">
            <v>1</v>
          </cell>
          <cell r="R103">
            <v>0</v>
          </cell>
          <cell r="S103">
            <v>37616</v>
          </cell>
          <cell r="T103" t="str">
            <v>---</v>
          </cell>
          <cell r="W103" t="str">
            <v>3742047</v>
          </cell>
          <cell r="X103">
            <v>0</v>
          </cell>
          <cell r="Z103" t="str">
            <v>2020000433</v>
          </cell>
          <cell r="AA103">
            <v>0</v>
          </cell>
          <cell r="AF103" t="str">
            <v>B</v>
          </cell>
          <cell r="AG103">
            <v>0</v>
          </cell>
          <cell r="AH103">
            <v>4</v>
          </cell>
          <cell r="AI103">
            <v>0</v>
          </cell>
          <cell r="AJ103">
            <v>0</v>
          </cell>
        </row>
        <row r="104">
          <cell r="A104">
            <v>168950</v>
          </cell>
          <cell r="B104">
            <v>37581</v>
          </cell>
          <cell r="D104" t="str">
            <v>ENTEL CHILE - 1600001716</v>
          </cell>
          <cell r="E104">
            <v>3273900</v>
          </cell>
          <cell r="F104">
            <v>8022419</v>
          </cell>
          <cell r="G104">
            <v>2605756</v>
          </cell>
          <cell r="H104">
            <v>37596</v>
          </cell>
          <cell r="I104">
            <v>0.5</v>
          </cell>
          <cell r="J104">
            <v>1</v>
          </cell>
          <cell r="K104">
            <v>1.7</v>
          </cell>
          <cell r="M104" t="str">
            <v>MEM-I/O-D-FLD48M</v>
          </cell>
          <cell r="N104" t="str">
            <v>CISCO 7200 I/O PCMIA FLASH DISK, 48MB OPTION (DEFAULT)</v>
          </cell>
          <cell r="O104">
            <v>0</v>
          </cell>
          <cell r="P104">
            <v>0</v>
          </cell>
          <cell r="Q104">
            <v>1</v>
          </cell>
          <cell r="R104">
            <v>0</v>
          </cell>
          <cell r="S104">
            <v>37616</v>
          </cell>
          <cell r="T104" t="str">
            <v>---</v>
          </cell>
          <cell r="W104" t="str">
            <v>3742047</v>
          </cell>
          <cell r="X104">
            <v>0</v>
          </cell>
          <cell r="Z104" t="str">
            <v>2020000433</v>
          </cell>
          <cell r="AA104">
            <v>0</v>
          </cell>
          <cell r="AF104" t="str">
            <v>C</v>
          </cell>
          <cell r="AG104">
            <v>0</v>
          </cell>
          <cell r="AH104">
            <v>4</v>
          </cell>
          <cell r="AI104">
            <v>0</v>
          </cell>
          <cell r="AJ104">
            <v>0</v>
          </cell>
        </row>
        <row r="105">
          <cell r="A105">
            <v>168950</v>
          </cell>
          <cell r="B105">
            <v>37581</v>
          </cell>
          <cell r="D105" t="str">
            <v>ENTEL CHILE - 1600001716</v>
          </cell>
          <cell r="E105">
            <v>3273900</v>
          </cell>
          <cell r="F105">
            <v>8022419</v>
          </cell>
          <cell r="G105">
            <v>2605756</v>
          </cell>
          <cell r="H105">
            <v>37596</v>
          </cell>
          <cell r="I105">
            <v>0.5</v>
          </cell>
          <cell r="J105">
            <v>1</v>
          </cell>
          <cell r="K105">
            <v>1.8</v>
          </cell>
          <cell r="M105" t="str">
            <v>MEM-NPE-400-D-128M</v>
          </cell>
          <cell r="N105" t="str">
            <v>128MB MEMORY FOR NPE-400 IN 7200 SERIES</v>
          </cell>
          <cell r="O105">
            <v>0</v>
          </cell>
          <cell r="P105">
            <v>0</v>
          </cell>
          <cell r="Q105">
            <v>1</v>
          </cell>
          <cell r="R105">
            <v>0</v>
          </cell>
          <cell r="S105">
            <v>37616</v>
          </cell>
          <cell r="T105" t="str">
            <v>---</v>
          </cell>
          <cell r="W105" t="str">
            <v>3742047</v>
          </cell>
          <cell r="X105">
            <v>0</v>
          </cell>
          <cell r="Z105" t="str">
            <v>2020000433</v>
          </cell>
          <cell r="AA105">
            <v>0</v>
          </cell>
          <cell r="AF105" t="str">
            <v>C</v>
          </cell>
          <cell r="AG105">
            <v>0</v>
          </cell>
          <cell r="AH105">
            <v>4</v>
          </cell>
          <cell r="AI105">
            <v>0</v>
          </cell>
          <cell r="AJ105">
            <v>0</v>
          </cell>
        </row>
        <row r="106">
          <cell r="A106">
            <v>168953</v>
          </cell>
          <cell r="B106">
            <v>37586</v>
          </cell>
          <cell r="D106" t="str">
            <v>ENTEL CHILE - 1600001705</v>
          </cell>
          <cell r="E106">
            <v>3290207</v>
          </cell>
          <cell r="F106">
            <v>8022383</v>
          </cell>
          <cell r="G106">
            <v>2605757</v>
          </cell>
          <cell r="H106">
            <v>37596</v>
          </cell>
          <cell r="I106">
            <v>0.5</v>
          </cell>
          <cell r="J106">
            <v>1</v>
          </cell>
          <cell r="K106">
            <v>1</v>
          </cell>
          <cell r="M106" t="str">
            <v>CISCO3640A</v>
          </cell>
          <cell r="N106" t="str">
            <v>CISCO 3600 4-SLOT MODULAR ROUTER - AC WITH IP SOFTWARE</v>
          </cell>
          <cell r="O106">
            <v>6500</v>
          </cell>
          <cell r="P106">
            <v>3250</v>
          </cell>
          <cell r="Q106">
            <v>10</v>
          </cell>
          <cell r="R106">
            <v>32500</v>
          </cell>
          <cell r="S106">
            <v>37625</v>
          </cell>
          <cell r="T106" t="str">
            <v>---</v>
          </cell>
          <cell r="W106" t="str">
            <v>3749475</v>
          </cell>
          <cell r="X106">
            <v>32500</v>
          </cell>
          <cell r="Z106" t="str">
            <v>2030000003</v>
          </cell>
          <cell r="AA106">
            <v>37050</v>
          </cell>
          <cell r="AB106">
            <v>37638</v>
          </cell>
          <cell r="AE106">
            <v>37739</v>
          </cell>
          <cell r="AF106" t="str">
            <v>C</v>
          </cell>
          <cell r="AG106">
            <v>2437.5</v>
          </cell>
          <cell r="AH106">
            <v>10</v>
          </cell>
          <cell r="AI106">
            <v>3705</v>
          </cell>
          <cell r="AJ106">
            <v>37050</v>
          </cell>
        </row>
        <row r="107">
          <cell r="A107">
            <v>168953</v>
          </cell>
          <cell r="B107">
            <v>37586</v>
          </cell>
          <cell r="D107" t="str">
            <v>ENTEL CHILE - 1600001705</v>
          </cell>
          <cell r="E107">
            <v>3290207</v>
          </cell>
          <cell r="F107">
            <v>8022383</v>
          </cell>
          <cell r="G107">
            <v>2605757</v>
          </cell>
          <cell r="H107">
            <v>37596</v>
          </cell>
          <cell r="I107">
            <v>0.5</v>
          </cell>
          <cell r="J107">
            <v>1</v>
          </cell>
          <cell r="K107">
            <v>1.1000000000000001</v>
          </cell>
          <cell r="M107" t="str">
            <v>CAB-ACI</v>
          </cell>
          <cell r="N107" t="str">
            <v>Power Cord-Italian</v>
          </cell>
          <cell r="O107">
            <v>0</v>
          </cell>
          <cell r="P107">
            <v>0</v>
          </cell>
          <cell r="Q107">
            <v>10</v>
          </cell>
          <cell r="R107">
            <v>0</v>
          </cell>
          <cell r="S107">
            <v>37625</v>
          </cell>
          <cell r="T107" t="str">
            <v>---</v>
          </cell>
          <cell r="W107" t="str">
            <v>3749475</v>
          </cell>
          <cell r="X107">
            <v>0</v>
          </cell>
          <cell r="Z107" t="str">
            <v>2030000003</v>
          </cell>
          <cell r="AA107">
            <v>0</v>
          </cell>
          <cell r="AB107">
            <v>37638</v>
          </cell>
          <cell r="AE107">
            <v>37708</v>
          </cell>
          <cell r="AF107" t="str">
            <v>-</v>
          </cell>
          <cell r="AG107">
            <v>0</v>
          </cell>
          <cell r="AH107">
            <v>10</v>
          </cell>
          <cell r="AI107">
            <v>0</v>
          </cell>
          <cell r="AJ107">
            <v>0</v>
          </cell>
        </row>
        <row r="108">
          <cell r="A108">
            <v>168953</v>
          </cell>
          <cell r="B108">
            <v>37586</v>
          </cell>
          <cell r="D108" t="str">
            <v>ENTEL CHILE - 1600001705</v>
          </cell>
          <cell r="E108">
            <v>3290207</v>
          </cell>
          <cell r="F108">
            <v>8022383</v>
          </cell>
          <cell r="G108">
            <v>2605757</v>
          </cell>
          <cell r="H108">
            <v>37596</v>
          </cell>
          <cell r="I108">
            <v>0.5</v>
          </cell>
          <cell r="J108">
            <v>1</v>
          </cell>
          <cell r="K108">
            <v>1.2</v>
          </cell>
          <cell r="M108" t="str">
            <v>S364C-12212</v>
          </cell>
          <cell r="N108" t="str">
            <v>CISCO 3640 SERIES IOS IP</v>
          </cell>
          <cell r="O108">
            <v>0</v>
          </cell>
          <cell r="P108">
            <v>0</v>
          </cell>
          <cell r="Q108">
            <v>10</v>
          </cell>
          <cell r="R108">
            <v>0</v>
          </cell>
          <cell r="S108">
            <v>37625</v>
          </cell>
          <cell r="T108" t="str">
            <v>---</v>
          </cell>
          <cell r="W108" t="str">
            <v>3749475</v>
          </cell>
          <cell r="X108">
            <v>0</v>
          </cell>
          <cell r="Z108" t="str">
            <v>2030000003</v>
          </cell>
          <cell r="AA108">
            <v>0</v>
          </cell>
          <cell r="AB108">
            <v>37638</v>
          </cell>
          <cell r="AE108">
            <v>37708</v>
          </cell>
          <cell r="AF108" t="str">
            <v>C</v>
          </cell>
          <cell r="AG108">
            <v>0</v>
          </cell>
          <cell r="AH108">
            <v>10</v>
          </cell>
          <cell r="AI108">
            <v>0</v>
          </cell>
          <cell r="AJ108">
            <v>0</v>
          </cell>
        </row>
        <row r="109">
          <cell r="A109">
            <v>168957</v>
          </cell>
          <cell r="B109">
            <v>37607</v>
          </cell>
          <cell r="D109" t="str">
            <v>ENTEL CHILE - 1600001735</v>
          </cell>
          <cell r="E109">
            <v>3343491</v>
          </cell>
          <cell r="F109">
            <v>8030429</v>
          </cell>
          <cell r="G109">
            <v>2610003</v>
          </cell>
          <cell r="H109">
            <v>37610</v>
          </cell>
          <cell r="I109">
            <v>0.5</v>
          </cell>
          <cell r="J109">
            <v>3</v>
          </cell>
          <cell r="K109" t="str">
            <v xml:space="preserve">1.0 </v>
          </cell>
          <cell r="L109">
            <v>3</v>
          </cell>
          <cell r="M109" t="str">
            <v>WS-C2924M-XL-EN</v>
          </cell>
          <cell r="N109" t="str">
            <v>WS-C2924M-XL-EN 24-port 10/100 Switch w/Two Module Slots (Enterprise Edition /</v>
          </cell>
          <cell r="O109">
            <v>2495</v>
          </cell>
          <cell r="P109">
            <v>1247.5</v>
          </cell>
          <cell r="Q109">
            <v>3</v>
          </cell>
          <cell r="R109">
            <v>3742.5</v>
          </cell>
          <cell r="S109">
            <v>37635</v>
          </cell>
          <cell r="T109" t="str">
            <v>---</v>
          </cell>
          <cell r="W109" t="str">
            <v>3757334</v>
          </cell>
          <cell r="X109">
            <v>3742.5</v>
          </cell>
          <cell r="Z109" t="str">
            <v>2030000012</v>
          </cell>
          <cell r="AA109">
            <v>4266</v>
          </cell>
          <cell r="AE109">
            <v>37739</v>
          </cell>
          <cell r="AF109" t="str">
            <v>D</v>
          </cell>
          <cell r="AG109">
            <v>74.850000000000009</v>
          </cell>
          <cell r="AH109">
            <v>5</v>
          </cell>
          <cell r="AI109">
            <v>1422</v>
          </cell>
          <cell r="AJ109">
            <v>4266</v>
          </cell>
        </row>
        <row r="110">
          <cell r="A110">
            <v>168957</v>
          </cell>
          <cell r="B110">
            <v>37607</v>
          </cell>
          <cell r="D110" t="str">
            <v>ENTEL CHILE - 1600001735</v>
          </cell>
          <cell r="E110">
            <v>3343491</v>
          </cell>
          <cell r="F110">
            <v>8030429</v>
          </cell>
          <cell r="G110">
            <v>2610003</v>
          </cell>
          <cell r="H110">
            <v>37610</v>
          </cell>
          <cell r="I110">
            <v>0.5</v>
          </cell>
          <cell r="J110">
            <v>3</v>
          </cell>
          <cell r="K110" t="str">
            <v xml:space="preserve">1.1 </v>
          </cell>
          <cell r="L110">
            <v>3</v>
          </cell>
          <cell r="M110" t="str">
            <v>CAB-ACI</v>
          </cell>
          <cell r="N110" t="str">
            <v>CAB-ACI Power Cord-Italian</v>
          </cell>
          <cell r="O110">
            <v>0</v>
          </cell>
          <cell r="P110">
            <v>0</v>
          </cell>
          <cell r="Q110">
            <v>3</v>
          </cell>
          <cell r="R110">
            <v>0</v>
          </cell>
          <cell r="S110">
            <v>37635</v>
          </cell>
          <cell r="T110" t="str">
            <v>---</v>
          </cell>
          <cell r="W110" t="str">
            <v>3757334</v>
          </cell>
          <cell r="X110">
            <v>0</v>
          </cell>
          <cell r="Z110" t="str">
            <v>2030000012</v>
          </cell>
          <cell r="AA110">
            <v>0</v>
          </cell>
          <cell r="AE110">
            <v>37739</v>
          </cell>
          <cell r="AF110" t="str">
            <v>-</v>
          </cell>
          <cell r="AG110">
            <v>0</v>
          </cell>
          <cell r="AH110">
            <v>5</v>
          </cell>
          <cell r="AI110">
            <v>0</v>
          </cell>
          <cell r="AJ110">
            <v>0</v>
          </cell>
        </row>
        <row r="111">
          <cell r="A111">
            <v>168957</v>
          </cell>
          <cell r="B111">
            <v>37607</v>
          </cell>
          <cell r="D111" t="str">
            <v>ENTEL CHILE - 1600001735</v>
          </cell>
          <cell r="E111">
            <v>3343491</v>
          </cell>
          <cell r="F111">
            <v>8030429</v>
          </cell>
          <cell r="G111">
            <v>2610003</v>
          </cell>
          <cell r="H111">
            <v>37610</v>
          </cell>
          <cell r="I111">
            <v>0.5</v>
          </cell>
          <cell r="J111">
            <v>1</v>
          </cell>
          <cell r="K111" t="str">
            <v xml:space="preserve">2.0 </v>
          </cell>
          <cell r="L111">
            <v>1</v>
          </cell>
          <cell r="M111" t="str">
            <v>CISCO3662-AC</v>
          </cell>
          <cell r="N111" t="str">
            <v>CISCO3662-AC Dual 10/100 E Cisco 3660 6-slot Modular Router-AC with IP SW /</v>
          </cell>
          <cell r="O111">
            <v>11700</v>
          </cell>
          <cell r="P111">
            <v>5850</v>
          </cell>
          <cell r="Q111">
            <v>2</v>
          </cell>
          <cell r="R111">
            <v>11700</v>
          </cell>
          <cell r="S111">
            <v>37307</v>
          </cell>
          <cell r="T111" t="str">
            <v>---</v>
          </cell>
          <cell r="W111" t="str">
            <v>3799557</v>
          </cell>
          <cell r="X111">
            <v>11700</v>
          </cell>
          <cell r="Z111" t="str">
            <v>2030000062</v>
          </cell>
          <cell r="AA111">
            <v>13338</v>
          </cell>
          <cell r="AB111">
            <v>37676</v>
          </cell>
          <cell r="AE111">
            <v>37739</v>
          </cell>
          <cell r="AF111" t="str">
            <v>C</v>
          </cell>
          <cell r="AG111">
            <v>877.5</v>
          </cell>
          <cell r="AH111">
            <v>8</v>
          </cell>
          <cell r="AI111">
            <v>6669</v>
          </cell>
          <cell r="AJ111">
            <v>13338</v>
          </cell>
        </row>
        <row r="112">
          <cell r="A112">
            <v>168957</v>
          </cell>
          <cell r="B112">
            <v>37607</v>
          </cell>
          <cell r="D112" t="str">
            <v>ENTEL CHILE - 1600001735</v>
          </cell>
          <cell r="E112">
            <v>3343491</v>
          </cell>
          <cell r="F112">
            <v>8030429</v>
          </cell>
          <cell r="G112">
            <v>2610003</v>
          </cell>
          <cell r="H112">
            <v>37610</v>
          </cell>
          <cell r="I112">
            <v>0.5</v>
          </cell>
          <cell r="J112">
            <v>1</v>
          </cell>
          <cell r="K112" t="str">
            <v xml:space="preserve">2.1 </v>
          </cell>
          <cell r="L112">
            <v>1</v>
          </cell>
          <cell r="M112" t="str">
            <v>CAB-ACI</v>
          </cell>
          <cell r="N112" t="str">
            <v>CAB-ACI Power Cord-Italian</v>
          </cell>
          <cell r="O112">
            <v>0</v>
          </cell>
          <cell r="P112">
            <v>0</v>
          </cell>
          <cell r="Q112">
            <v>2</v>
          </cell>
          <cell r="R112">
            <v>0</v>
          </cell>
          <cell r="S112">
            <v>37307</v>
          </cell>
          <cell r="T112" t="str">
            <v>---</v>
          </cell>
          <cell r="W112" t="str">
            <v>3799557</v>
          </cell>
          <cell r="X112">
            <v>0</v>
          </cell>
          <cell r="Z112" t="str">
            <v>2030000062</v>
          </cell>
          <cell r="AA112">
            <v>0</v>
          </cell>
          <cell r="AB112">
            <v>37676</v>
          </cell>
          <cell r="AE112">
            <v>37739</v>
          </cell>
          <cell r="AF112" t="str">
            <v>-</v>
          </cell>
          <cell r="AG112">
            <v>0</v>
          </cell>
          <cell r="AH112">
            <v>8</v>
          </cell>
          <cell r="AI112">
            <v>0</v>
          </cell>
          <cell r="AJ112">
            <v>0</v>
          </cell>
        </row>
        <row r="113">
          <cell r="A113">
            <v>168957</v>
          </cell>
          <cell r="B113">
            <v>37607</v>
          </cell>
          <cell r="D113" t="str">
            <v>ENTEL CHILE - 1600001735</v>
          </cell>
          <cell r="E113">
            <v>3343491</v>
          </cell>
          <cell r="F113">
            <v>8030429</v>
          </cell>
          <cell r="G113">
            <v>2610003</v>
          </cell>
          <cell r="H113">
            <v>37610</v>
          </cell>
          <cell r="I113">
            <v>0.5</v>
          </cell>
          <cell r="J113">
            <v>1</v>
          </cell>
          <cell r="K113" t="str">
            <v xml:space="preserve">2.2 </v>
          </cell>
          <cell r="L113">
            <v>1</v>
          </cell>
          <cell r="M113" t="str">
            <v>S366C-12205</v>
          </cell>
          <cell r="N113" t="str">
            <v>S366C-12205 Cisco 3660 Series IOS IP</v>
          </cell>
          <cell r="O113">
            <v>0</v>
          </cell>
          <cell r="P113">
            <v>0</v>
          </cell>
          <cell r="Q113">
            <v>2</v>
          </cell>
          <cell r="R113">
            <v>0</v>
          </cell>
          <cell r="S113">
            <v>37307</v>
          </cell>
          <cell r="T113" t="str">
            <v>---</v>
          </cell>
          <cell r="W113" t="str">
            <v>3799557</v>
          </cell>
          <cell r="X113">
            <v>0</v>
          </cell>
          <cell r="Z113" t="str">
            <v>2030000062</v>
          </cell>
          <cell r="AA113">
            <v>0</v>
          </cell>
          <cell r="AB113">
            <v>37676</v>
          </cell>
          <cell r="AE113">
            <v>37739</v>
          </cell>
          <cell r="AF113" t="str">
            <v>C</v>
          </cell>
          <cell r="AG113">
            <v>0</v>
          </cell>
          <cell r="AH113">
            <v>8</v>
          </cell>
          <cell r="AI113">
            <v>0</v>
          </cell>
          <cell r="AJ113">
            <v>0</v>
          </cell>
        </row>
        <row r="114">
          <cell r="A114">
            <v>168957</v>
          </cell>
          <cell r="B114">
            <v>37607</v>
          </cell>
          <cell r="D114" t="str">
            <v>ENTEL CHILE - 1600001735</v>
          </cell>
          <cell r="E114">
            <v>3343491</v>
          </cell>
          <cell r="F114">
            <v>8030429</v>
          </cell>
          <cell r="G114">
            <v>2610003</v>
          </cell>
          <cell r="H114">
            <v>37610</v>
          </cell>
          <cell r="I114">
            <v>0.5</v>
          </cell>
          <cell r="J114">
            <v>1</v>
          </cell>
          <cell r="K114" t="str">
            <v xml:space="preserve">2.3 </v>
          </cell>
          <cell r="L114">
            <v>1</v>
          </cell>
          <cell r="M114" t="str">
            <v>PWR-3660-AC</v>
          </cell>
          <cell r="N114" t="str">
            <v>PWR-3660-AC AC Power Supply for Cisco 3660</v>
          </cell>
          <cell r="O114">
            <v>0</v>
          </cell>
          <cell r="P114">
            <v>0</v>
          </cell>
          <cell r="Q114">
            <v>2</v>
          </cell>
          <cell r="R114">
            <v>0</v>
          </cell>
          <cell r="S114">
            <v>37307</v>
          </cell>
          <cell r="T114" t="str">
            <v>---</v>
          </cell>
          <cell r="W114" t="str">
            <v>3799557</v>
          </cell>
          <cell r="X114">
            <v>0</v>
          </cell>
          <cell r="Z114" t="str">
            <v>2030000062</v>
          </cell>
          <cell r="AA114">
            <v>0</v>
          </cell>
          <cell r="AB114">
            <v>37676</v>
          </cell>
          <cell r="AE114">
            <v>37739</v>
          </cell>
          <cell r="AF114" t="str">
            <v>C</v>
          </cell>
          <cell r="AG114">
            <v>0</v>
          </cell>
          <cell r="AH114">
            <v>8</v>
          </cell>
          <cell r="AI114">
            <v>0</v>
          </cell>
          <cell r="AJ114">
            <v>0</v>
          </cell>
        </row>
        <row r="115">
          <cell r="A115">
            <v>168957</v>
          </cell>
          <cell r="B115">
            <v>37607</v>
          </cell>
          <cell r="D115" t="str">
            <v>ENTEL CHILE - 1600001735</v>
          </cell>
          <cell r="E115">
            <v>3343491</v>
          </cell>
          <cell r="F115">
            <v>8030429</v>
          </cell>
          <cell r="G115">
            <v>2610003</v>
          </cell>
          <cell r="H115">
            <v>37610</v>
          </cell>
          <cell r="I115">
            <v>0.5</v>
          </cell>
          <cell r="J115">
            <v>1</v>
          </cell>
          <cell r="K115" t="str">
            <v xml:space="preserve">3.0 </v>
          </cell>
          <cell r="L115">
            <v>1</v>
          </cell>
          <cell r="M115" t="str">
            <v>CISCO3620</v>
          </cell>
          <cell r="N115" t="str">
            <v>CISCO3620 Cisco 3600 2-slot Modular Router-AC with IP Software /</v>
          </cell>
          <cell r="O115">
            <v>2900</v>
          </cell>
          <cell r="P115">
            <v>1450</v>
          </cell>
          <cell r="Q115">
            <v>8</v>
          </cell>
          <cell r="R115">
            <v>11600</v>
          </cell>
          <cell r="S115">
            <v>37307</v>
          </cell>
          <cell r="T115" t="str">
            <v>---</v>
          </cell>
          <cell r="W115" t="str">
            <v>3799557</v>
          </cell>
          <cell r="X115">
            <v>11600</v>
          </cell>
          <cell r="Z115" t="str">
            <v>2030000062</v>
          </cell>
          <cell r="AA115">
            <v>13224</v>
          </cell>
          <cell r="AB115">
            <v>37676</v>
          </cell>
          <cell r="AE115">
            <v>37739</v>
          </cell>
          <cell r="AF115" t="str">
            <v>C</v>
          </cell>
          <cell r="AG115">
            <v>870</v>
          </cell>
          <cell r="AH115">
            <v>9</v>
          </cell>
          <cell r="AI115">
            <v>1653</v>
          </cell>
          <cell r="AJ115">
            <v>13224</v>
          </cell>
        </row>
        <row r="116">
          <cell r="A116">
            <v>168957</v>
          </cell>
          <cell r="B116">
            <v>37607</v>
          </cell>
          <cell r="D116" t="str">
            <v>ENTEL CHILE - 1600001735</v>
          </cell>
          <cell r="E116">
            <v>3343491</v>
          </cell>
          <cell r="F116">
            <v>8030429</v>
          </cell>
          <cell r="G116">
            <v>2610003</v>
          </cell>
          <cell r="H116">
            <v>37610</v>
          </cell>
          <cell r="I116">
            <v>0.5</v>
          </cell>
          <cell r="J116">
            <v>1</v>
          </cell>
          <cell r="K116" t="str">
            <v xml:space="preserve">3.1 </v>
          </cell>
          <cell r="L116">
            <v>1</v>
          </cell>
          <cell r="M116" t="str">
            <v>CAB-ACI</v>
          </cell>
          <cell r="N116" t="str">
            <v>CAB-ACI Power Cord-Italian</v>
          </cell>
          <cell r="O116">
            <v>0</v>
          </cell>
          <cell r="P116">
            <v>0</v>
          </cell>
          <cell r="Q116">
            <v>8</v>
          </cell>
          <cell r="R116">
            <v>0</v>
          </cell>
          <cell r="S116">
            <v>37307</v>
          </cell>
          <cell r="T116" t="str">
            <v>---</v>
          </cell>
          <cell r="W116" t="str">
            <v>3799557</v>
          </cell>
          <cell r="X116">
            <v>0</v>
          </cell>
          <cell r="Z116" t="str">
            <v>2030000062</v>
          </cell>
          <cell r="AA116">
            <v>0</v>
          </cell>
          <cell r="AB116">
            <v>37676</v>
          </cell>
          <cell r="AE116">
            <v>37739</v>
          </cell>
          <cell r="AF116" t="str">
            <v>-</v>
          </cell>
          <cell r="AG116">
            <v>0</v>
          </cell>
          <cell r="AH116">
            <v>9</v>
          </cell>
          <cell r="AI116">
            <v>0</v>
          </cell>
          <cell r="AJ116">
            <v>0</v>
          </cell>
        </row>
        <row r="117">
          <cell r="A117">
            <v>168957</v>
          </cell>
          <cell r="B117">
            <v>37607</v>
          </cell>
          <cell r="D117" t="str">
            <v>ENTEL CHILE - 1600001735</v>
          </cell>
          <cell r="E117">
            <v>3343491</v>
          </cell>
          <cell r="F117">
            <v>8030429</v>
          </cell>
          <cell r="G117">
            <v>2610003</v>
          </cell>
          <cell r="H117">
            <v>37610</v>
          </cell>
          <cell r="I117">
            <v>0.5</v>
          </cell>
          <cell r="J117">
            <v>1</v>
          </cell>
          <cell r="K117" t="str">
            <v xml:space="preserve">3.2 </v>
          </cell>
          <cell r="L117">
            <v>1</v>
          </cell>
          <cell r="M117" t="str">
            <v>S362C-12205</v>
          </cell>
          <cell r="N117" t="str">
            <v>S362C-12205 Cisco 3620 Series IOS IP</v>
          </cell>
          <cell r="O117">
            <v>0</v>
          </cell>
          <cell r="P117">
            <v>0</v>
          </cell>
          <cell r="Q117">
            <v>8</v>
          </cell>
          <cell r="R117">
            <v>0</v>
          </cell>
          <cell r="S117">
            <v>37307</v>
          </cell>
          <cell r="T117" t="str">
            <v>---</v>
          </cell>
          <cell r="W117" t="str">
            <v>3799557</v>
          </cell>
          <cell r="X117">
            <v>0</v>
          </cell>
          <cell r="Z117" t="str">
            <v>2030000062</v>
          </cell>
          <cell r="AA117">
            <v>0</v>
          </cell>
          <cell r="AB117">
            <v>37676</v>
          </cell>
          <cell r="AE117">
            <v>37739</v>
          </cell>
          <cell r="AF117" t="str">
            <v>C</v>
          </cell>
          <cell r="AG117">
            <v>0</v>
          </cell>
          <cell r="AH117">
            <v>9</v>
          </cell>
          <cell r="AI117">
            <v>0</v>
          </cell>
          <cell r="AJ117">
            <v>0</v>
          </cell>
        </row>
        <row r="118">
          <cell r="A118">
            <v>168957</v>
          </cell>
          <cell r="B118">
            <v>37607</v>
          </cell>
          <cell r="D118" t="str">
            <v>ENTEL CHILE - 1600001735</v>
          </cell>
          <cell r="E118">
            <v>3343491</v>
          </cell>
          <cell r="F118">
            <v>8030429</v>
          </cell>
          <cell r="G118">
            <v>2610003</v>
          </cell>
          <cell r="H118">
            <v>37610</v>
          </cell>
          <cell r="I118">
            <v>0.5</v>
          </cell>
          <cell r="J118">
            <v>2</v>
          </cell>
          <cell r="K118" t="str">
            <v xml:space="preserve">4.0 </v>
          </cell>
          <cell r="L118">
            <v>2</v>
          </cell>
          <cell r="M118" t="str">
            <v>WS-C2950-12</v>
          </cell>
          <cell r="N118" t="str">
            <v>WS-C2950-12 12 port, 10/100 Catalyst Switch, Standard Image only /</v>
          </cell>
          <cell r="O118">
            <v>895</v>
          </cell>
          <cell r="P118">
            <v>447.5</v>
          </cell>
          <cell r="Q118">
            <v>10</v>
          </cell>
          <cell r="R118">
            <v>4475</v>
          </cell>
          <cell r="S118">
            <v>37635</v>
          </cell>
          <cell r="T118" t="str">
            <v>---</v>
          </cell>
          <cell r="W118" t="str">
            <v>3757334</v>
          </cell>
          <cell r="X118">
            <v>4475</v>
          </cell>
          <cell r="Z118" t="str">
            <v>2030000011</v>
          </cell>
          <cell r="AA118">
            <v>5100</v>
          </cell>
          <cell r="AE118">
            <v>37739</v>
          </cell>
          <cell r="AF118" t="str">
            <v>D</v>
          </cell>
          <cell r="AG118">
            <v>89.5</v>
          </cell>
          <cell r="AH118">
            <v>3</v>
          </cell>
          <cell r="AI118">
            <v>510</v>
          </cell>
          <cell r="AJ118">
            <v>5100</v>
          </cell>
        </row>
        <row r="119">
          <cell r="A119">
            <v>168957</v>
          </cell>
          <cell r="B119">
            <v>37607</v>
          </cell>
          <cell r="D119" t="str">
            <v>ENTEL CHILE - 1600001735</v>
          </cell>
          <cell r="E119">
            <v>3343491</v>
          </cell>
          <cell r="F119">
            <v>8030429</v>
          </cell>
          <cell r="G119">
            <v>2610003</v>
          </cell>
          <cell r="H119">
            <v>37610</v>
          </cell>
          <cell r="I119">
            <v>0.5</v>
          </cell>
          <cell r="J119">
            <v>2</v>
          </cell>
          <cell r="K119" t="str">
            <v xml:space="preserve">4.1 </v>
          </cell>
          <cell r="L119">
            <v>2</v>
          </cell>
          <cell r="M119" t="str">
            <v>CAB-ACI</v>
          </cell>
          <cell r="N119" t="str">
            <v>CAB-ACI Power Cord-Italian</v>
          </cell>
          <cell r="O119">
            <v>0</v>
          </cell>
          <cell r="P119">
            <v>0</v>
          </cell>
          <cell r="Q119">
            <v>10</v>
          </cell>
          <cell r="R119">
            <v>0</v>
          </cell>
          <cell r="S119">
            <v>37635</v>
          </cell>
          <cell r="T119" t="str">
            <v>---</v>
          </cell>
          <cell r="W119" t="str">
            <v>3757334</v>
          </cell>
          <cell r="X119">
            <v>0</v>
          </cell>
          <cell r="Z119" t="str">
            <v>2030000011</v>
          </cell>
          <cell r="AA119">
            <v>0</v>
          </cell>
          <cell r="AE119">
            <v>37739</v>
          </cell>
          <cell r="AF119" t="str">
            <v>-</v>
          </cell>
          <cell r="AG119">
            <v>0</v>
          </cell>
          <cell r="AH119">
            <v>3</v>
          </cell>
          <cell r="AI119">
            <v>0</v>
          </cell>
          <cell r="AJ119">
            <v>0</v>
          </cell>
        </row>
        <row r="120">
          <cell r="A120">
            <v>168957</v>
          </cell>
          <cell r="B120">
            <v>37607</v>
          </cell>
          <cell r="D120" t="str">
            <v>ENTEL CHILE - 1600001735</v>
          </cell>
          <cell r="E120">
            <v>3343491</v>
          </cell>
          <cell r="F120">
            <v>8030429</v>
          </cell>
          <cell r="G120">
            <v>2610003</v>
          </cell>
          <cell r="H120">
            <v>37610</v>
          </cell>
          <cell r="I120">
            <v>0.5</v>
          </cell>
          <cell r="J120">
            <v>1</v>
          </cell>
          <cell r="K120" t="str">
            <v xml:space="preserve">5.0 </v>
          </cell>
          <cell r="L120">
            <v>1</v>
          </cell>
          <cell r="M120" t="str">
            <v>NM-2E2W</v>
          </cell>
          <cell r="N120" t="str">
            <v>NM-2E2W= 2 Ethernet 2 WAN Card Slot Network Module /</v>
          </cell>
          <cell r="O120">
            <v>2500</v>
          </cell>
          <cell r="P120">
            <v>1250</v>
          </cell>
          <cell r="Q120">
            <v>5</v>
          </cell>
          <cell r="R120">
            <v>6250</v>
          </cell>
          <cell r="S120">
            <v>37635</v>
          </cell>
          <cell r="T120" t="str">
            <v>---</v>
          </cell>
          <cell r="W120" t="str">
            <v>3799557</v>
          </cell>
          <cell r="X120">
            <v>6250</v>
          </cell>
          <cell r="Z120" t="str">
            <v>2030000062</v>
          </cell>
          <cell r="AA120">
            <v>7125</v>
          </cell>
          <cell r="AB120">
            <v>37676</v>
          </cell>
          <cell r="AE120">
            <v>37739</v>
          </cell>
          <cell r="AF120" t="str">
            <v>C</v>
          </cell>
          <cell r="AG120">
            <v>468.75</v>
          </cell>
          <cell r="AH120">
            <v>2</v>
          </cell>
          <cell r="AI120">
            <v>1425</v>
          </cell>
          <cell r="AJ120">
            <v>7125</v>
          </cell>
        </row>
        <row r="121">
          <cell r="A121">
            <v>168957</v>
          </cell>
          <cell r="B121">
            <v>37607</v>
          </cell>
          <cell r="D121" t="str">
            <v>ENTEL CHILE - 1600001735</v>
          </cell>
          <cell r="E121">
            <v>3343491</v>
          </cell>
          <cell r="F121">
            <v>8030429</v>
          </cell>
          <cell r="G121">
            <v>2610003</v>
          </cell>
          <cell r="H121">
            <v>37610</v>
          </cell>
          <cell r="I121">
            <v>0.5</v>
          </cell>
          <cell r="J121">
            <v>1</v>
          </cell>
          <cell r="K121" t="str">
            <v xml:space="preserve">6.0 </v>
          </cell>
          <cell r="L121">
            <v>1</v>
          </cell>
          <cell r="M121" t="str">
            <v>CISCO2610XM</v>
          </cell>
          <cell r="N121" t="str">
            <v>CISCO2610XM 10/100 Ethernet Router w/ Cisco IOS IP /</v>
          </cell>
          <cell r="O121">
            <v>1995</v>
          </cell>
          <cell r="P121">
            <v>997.5</v>
          </cell>
          <cell r="Q121">
            <v>5</v>
          </cell>
          <cell r="R121">
            <v>4987.5</v>
          </cell>
          <cell r="S121">
            <v>37635</v>
          </cell>
          <cell r="T121" t="str">
            <v>---</v>
          </cell>
          <cell r="W121" t="str">
            <v>3799557</v>
          </cell>
          <cell r="X121">
            <v>4987.5</v>
          </cell>
          <cell r="Z121" t="str">
            <v>2030000062</v>
          </cell>
          <cell r="AA121">
            <v>5685</v>
          </cell>
          <cell r="AB121">
            <v>37676</v>
          </cell>
          <cell r="AE121">
            <v>37739</v>
          </cell>
          <cell r="AF121" t="str">
            <v>C</v>
          </cell>
          <cell r="AG121">
            <v>374.0625</v>
          </cell>
          <cell r="AH121">
            <v>13</v>
          </cell>
          <cell r="AI121">
            <v>1137</v>
          </cell>
          <cell r="AJ121">
            <v>5685</v>
          </cell>
        </row>
        <row r="122">
          <cell r="A122">
            <v>168957</v>
          </cell>
          <cell r="B122">
            <v>37607</v>
          </cell>
          <cell r="D122" t="str">
            <v>ENTEL CHILE - 1600001735</v>
          </cell>
          <cell r="E122">
            <v>3343491</v>
          </cell>
          <cell r="F122">
            <v>8030429</v>
          </cell>
          <cell r="G122">
            <v>2610003</v>
          </cell>
          <cell r="H122">
            <v>37610</v>
          </cell>
          <cell r="I122">
            <v>0.5</v>
          </cell>
          <cell r="J122">
            <v>1</v>
          </cell>
          <cell r="K122" t="str">
            <v xml:space="preserve">6.1 </v>
          </cell>
          <cell r="L122">
            <v>1</v>
          </cell>
          <cell r="M122" t="str">
            <v>CAB-ACI</v>
          </cell>
          <cell r="N122" t="str">
            <v>CAB-ACI Power Cord-Italian</v>
          </cell>
          <cell r="O122">
            <v>0</v>
          </cell>
          <cell r="P122">
            <v>0</v>
          </cell>
          <cell r="Q122">
            <v>5</v>
          </cell>
          <cell r="R122">
            <v>0</v>
          </cell>
          <cell r="S122">
            <v>37635</v>
          </cell>
          <cell r="T122" t="str">
            <v>---</v>
          </cell>
          <cell r="W122" t="str">
            <v>3799557</v>
          </cell>
          <cell r="X122">
            <v>0</v>
          </cell>
          <cell r="Z122" t="str">
            <v>2030000062</v>
          </cell>
          <cell r="AA122">
            <v>0</v>
          </cell>
          <cell r="AB122">
            <v>37676</v>
          </cell>
          <cell r="AE122">
            <v>37739</v>
          </cell>
          <cell r="AF122" t="str">
            <v>-</v>
          </cell>
          <cell r="AG122">
            <v>0</v>
          </cell>
          <cell r="AH122">
            <v>13</v>
          </cell>
          <cell r="AI122">
            <v>0</v>
          </cell>
          <cell r="AJ122">
            <v>0</v>
          </cell>
        </row>
        <row r="123">
          <cell r="A123">
            <v>168957</v>
          </cell>
          <cell r="B123">
            <v>37607</v>
          </cell>
          <cell r="D123" t="str">
            <v>ENTEL CHILE - 1600001735</v>
          </cell>
          <cell r="E123">
            <v>3343491</v>
          </cell>
          <cell r="F123">
            <v>8030429</v>
          </cell>
          <cell r="G123">
            <v>2610003</v>
          </cell>
          <cell r="H123">
            <v>37610</v>
          </cell>
          <cell r="I123">
            <v>0.5</v>
          </cell>
          <cell r="J123">
            <v>1</v>
          </cell>
          <cell r="K123" t="str">
            <v xml:space="preserve">6.2 </v>
          </cell>
          <cell r="L123">
            <v>1</v>
          </cell>
          <cell r="M123" t="str">
            <v>S26C-12208T</v>
          </cell>
          <cell r="N123" t="str">
            <v>S26C-12208T Cisco 2600 Series IOS IP</v>
          </cell>
          <cell r="O123">
            <v>0</v>
          </cell>
          <cell r="P123">
            <v>0</v>
          </cell>
          <cell r="Q123">
            <v>5</v>
          </cell>
          <cell r="R123">
            <v>0</v>
          </cell>
          <cell r="S123">
            <v>37635</v>
          </cell>
          <cell r="T123" t="str">
            <v>---</v>
          </cell>
          <cell r="W123" t="str">
            <v>3799557</v>
          </cell>
          <cell r="X123">
            <v>0</v>
          </cell>
          <cell r="Z123" t="str">
            <v>2030000062</v>
          </cell>
          <cell r="AA123">
            <v>0</v>
          </cell>
          <cell r="AB123">
            <v>37676</v>
          </cell>
          <cell r="AE123">
            <v>37739</v>
          </cell>
          <cell r="AF123" t="str">
            <v>C</v>
          </cell>
          <cell r="AG123">
            <v>0</v>
          </cell>
          <cell r="AH123">
            <v>13</v>
          </cell>
          <cell r="AI123">
            <v>0</v>
          </cell>
          <cell r="AJ123">
            <v>0</v>
          </cell>
        </row>
        <row r="124">
          <cell r="A124">
            <v>168957</v>
          </cell>
          <cell r="B124">
            <v>37607</v>
          </cell>
          <cell r="D124" t="str">
            <v>ENTEL CHILE - 1600001735</v>
          </cell>
          <cell r="E124">
            <v>3343491</v>
          </cell>
          <cell r="F124">
            <v>8030429</v>
          </cell>
          <cell r="G124">
            <v>2610003</v>
          </cell>
          <cell r="H124">
            <v>37610</v>
          </cell>
          <cell r="I124">
            <v>0.5</v>
          </cell>
          <cell r="J124">
            <v>1</v>
          </cell>
          <cell r="K124" t="str">
            <v xml:space="preserve">6.3 </v>
          </cell>
          <cell r="L124">
            <v>1</v>
          </cell>
          <cell r="M124" t="str">
            <v>MEM2600XM-32D-INC</v>
          </cell>
          <cell r="N124" t="str">
            <v>MEM2600XM-32D-INC 32MB DRAM Memory factory default for the Cisco 261x/2xXM</v>
          </cell>
          <cell r="O124">
            <v>0</v>
          </cell>
          <cell r="P124">
            <v>0</v>
          </cell>
          <cell r="Q124">
            <v>5</v>
          </cell>
          <cell r="R124">
            <v>0</v>
          </cell>
          <cell r="S124">
            <v>37635</v>
          </cell>
          <cell r="T124" t="str">
            <v>---</v>
          </cell>
          <cell r="W124" t="str">
            <v>3799557</v>
          </cell>
          <cell r="X124">
            <v>0</v>
          </cell>
          <cell r="Z124" t="str">
            <v>2030000062</v>
          </cell>
          <cell r="AA124">
            <v>0</v>
          </cell>
          <cell r="AB124">
            <v>37676</v>
          </cell>
          <cell r="AE124">
            <v>37739</v>
          </cell>
          <cell r="AF124" t="str">
            <v>C</v>
          </cell>
          <cell r="AG124">
            <v>0</v>
          </cell>
          <cell r="AH124">
            <v>13</v>
          </cell>
          <cell r="AI124">
            <v>0</v>
          </cell>
          <cell r="AJ124">
            <v>0</v>
          </cell>
        </row>
        <row r="125">
          <cell r="A125">
            <v>168957</v>
          </cell>
          <cell r="B125">
            <v>37607</v>
          </cell>
          <cell r="D125" t="str">
            <v>ENTEL CHILE - 1600001735</v>
          </cell>
          <cell r="E125">
            <v>3343491</v>
          </cell>
          <cell r="F125">
            <v>8030429</v>
          </cell>
          <cell r="G125">
            <v>2610003</v>
          </cell>
          <cell r="H125">
            <v>37610</v>
          </cell>
          <cell r="I125">
            <v>0.5</v>
          </cell>
          <cell r="J125">
            <v>1</v>
          </cell>
          <cell r="K125" t="str">
            <v xml:space="preserve">6.4 </v>
          </cell>
          <cell r="L125">
            <v>1</v>
          </cell>
          <cell r="M125" t="str">
            <v>MEM2600XM-16FS-INC</v>
          </cell>
          <cell r="N125" t="str">
            <v>MEM2600XM-16FS-INC 16MB Flash factory default for the Cisco 2600XM</v>
          </cell>
          <cell r="O125">
            <v>0</v>
          </cell>
          <cell r="P125">
            <v>0</v>
          </cell>
          <cell r="Q125">
            <v>5</v>
          </cell>
          <cell r="R125">
            <v>0</v>
          </cell>
          <cell r="S125">
            <v>37635</v>
          </cell>
          <cell r="T125" t="str">
            <v>---</v>
          </cell>
          <cell r="W125" t="str">
            <v>3799557</v>
          </cell>
          <cell r="X125">
            <v>0</v>
          </cell>
          <cell r="Z125" t="str">
            <v>2030000062</v>
          </cell>
          <cell r="AA125">
            <v>0</v>
          </cell>
          <cell r="AB125">
            <v>37676</v>
          </cell>
          <cell r="AE125">
            <v>37739</v>
          </cell>
          <cell r="AF125" t="str">
            <v>C</v>
          </cell>
          <cell r="AG125">
            <v>0</v>
          </cell>
          <cell r="AH125">
            <v>13</v>
          </cell>
          <cell r="AI125">
            <v>0</v>
          </cell>
          <cell r="AJ125">
            <v>0</v>
          </cell>
        </row>
        <row r="126">
          <cell r="A126">
            <v>168957</v>
          </cell>
          <cell r="B126">
            <v>37607</v>
          </cell>
          <cell r="D126" t="str">
            <v>ENTEL CHILE - 1600001735</v>
          </cell>
          <cell r="E126">
            <v>3343491</v>
          </cell>
          <cell r="F126">
            <v>8030429</v>
          </cell>
          <cell r="G126">
            <v>2610003</v>
          </cell>
          <cell r="H126">
            <v>37610</v>
          </cell>
          <cell r="I126">
            <v>0.5</v>
          </cell>
          <cell r="J126">
            <v>2</v>
          </cell>
          <cell r="K126" t="str">
            <v xml:space="preserve">7.0 </v>
          </cell>
          <cell r="L126">
            <v>2</v>
          </cell>
          <cell r="M126" t="str">
            <v>WS-C2950-24</v>
          </cell>
          <cell r="N126" t="str">
            <v>WS-C2950-24 24 port, 10/100 Catalyst Switch, Standard Image only /</v>
          </cell>
          <cell r="O126">
            <v>995</v>
          </cell>
          <cell r="P126">
            <v>497.5</v>
          </cell>
          <cell r="Q126">
            <v>10</v>
          </cell>
          <cell r="R126">
            <v>4975</v>
          </cell>
          <cell r="S126">
            <v>37635</v>
          </cell>
          <cell r="T126" t="str">
            <v>---</v>
          </cell>
          <cell r="W126" t="str">
            <v>3757334</v>
          </cell>
          <cell r="X126">
            <v>4975</v>
          </cell>
          <cell r="Z126" t="str">
            <v>2030000011</v>
          </cell>
          <cell r="AA126">
            <v>5670</v>
          </cell>
          <cell r="AE126">
            <v>37739</v>
          </cell>
          <cell r="AF126" t="str">
            <v>D</v>
          </cell>
          <cell r="AG126">
            <v>99.5</v>
          </cell>
          <cell r="AH126">
            <v>1</v>
          </cell>
          <cell r="AI126">
            <v>567</v>
          </cell>
          <cell r="AJ126">
            <v>5670</v>
          </cell>
        </row>
        <row r="127">
          <cell r="A127">
            <v>168957</v>
          </cell>
          <cell r="B127">
            <v>37607</v>
          </cell>
          <cell r="D127" t="str">
            <v>ENTEL CHILE - 1600001735</v>
          </cell>
          <cell r="E127">
            <v>3343491</v>
          </cell>
          <cell r="F127">
            <v>8030429</v>
          </cell>
          <cell r="G127">
            <v>2610003</v>
          </cell>
          <cell r="H127">
            <v>37610</v>
          </cell>
          <cell r="I127">
            <v>0.5</v>
          </cell>
          <cell r="J127">
            <v>2</v>
          </cell>
          <cell r="K127" t="str">
            <v xml:space="preserve">7.1 </v>
          </cell>
          <cell r="L127">
            <v>2</v>
          </cell>
          <cell r="M127" t="str">
            <v>CAB-ACI</v>
          </cell>
          <cell r="N127" t="str">
            <v>CAB-ACI Power Cord-Italian</v>
          </cell>
          <cell r="O127">
            <v>0</v>
          </cell>
          <cell r="P127">
            <v>0</v>
          </cell>
          <cell r="Q127">
            <v>10</v>
          </cell>
          <cell r="R127">
            <v>0</v>
          </cell>
          <cell r="S127">
            <v>37635</v>
          </cell>
          <cell r="T127" t="str">
            <v>---</v>
          </cell>
          <cell r="W127" t="str">
            <v>3757334</v>
          </cell>
          <cell r="X127">
            <v>0</v>
          </cell>
          <cell r="Z127" t="str">
            <v>2030000011</v>
          </cell>
          <cell r="AA127">
            <v>0</v>
          </cell>
          <cell r="AE127">
            <v>37739</v>
          </cell>
          <cell r="AF127" t="str">
            <v>-</v>
          </cell>
          <cell r="AG127">
            <v>0</v>
          </cell>
          <cell r="AH127">
            <v>1</v>
          </cell>
          <cell r="AI127">
            <v>0</v>
          </cell>
          <cell r="AJ127">
            <v>0</v>
          </cell>
        </row>
        <row r="128">
          <cell r="A128">
            <v>168957</v>
          </cell>
          <cell r="B128">
            <v>37607</v>
          </cell>
          <cell r="D128" t="str">
            <v>ENTEL CHILE - 1600001735</v>
          </cell>
          <cell r="E128">
            <v>3343491</v>
          </cell>
          <cell r="F128">
            <v>8030429</v>
          </cell>
          <cell r="G128">
            <v>2610003</v>
          </cell>
          <cell r="H128">
            <v>37610</v>
          </cell>
          <cell r="I128">
            <v>0.5</v>
          </cell>
          <cell r="J128">
            <v>1</v>
          </cell>
          <cell r="K128" t="str">
            <v xml:space="preserve">8.0 </v>
          </cell>
          <cell r="L128">
            <v>1</v>
          </cell>
          <cell r="M128" t="str">
            <v>CISCO805</v>
          </cell>
          <cell r="N128" t="str">
            <v>CISCO805 Cisco 805 Ethernet/Serial Router /</v>
          </cell>
          <cell r="O128">
            <v>999</v>
          </cell>
          <cell r="P128">
            <v>499.5</v>
          </cell>
          <cell r="Q128">
            <v>24</v>
          </cell>
          <cell r="R128">
            <v>11988</v>
          </cell>
          <cell r="S128">
            <v>37635</v>
          </cell>
          <cell r="T128" t="str">
            <v>---</v>
          </cell>
          <cell r="W128" t="str">
            <v>3799557</v>
          </cell>
          <cell r="X128">
            <v>11988</v>
          </cell>
          <cell r="Z128" t="str">
            <v>2030000062</v>
          </cell>
          <cell r="AA128">
            <v>13656</v>
          </cell>
          <cell r="AB128">
            <v>37676</v>
          </cell>
          <cell r="AE128">
            <v>37739</v>
          </cell>
          <cell r="AF128" t="str">
            <v>D</v>
          </cell>
          <cell r="AG128">
            <v>239.76</v>
          </cell>
          <cell r="AH128">
            <v>7</v>
          </cell>
          <cell r="AI128">
            <v>569</v>
          </cell>
          <cell r="AJ128">
            <v>13656</v>
          </cell>
        </row>
        <row r="129">
          <cell r="A129">
            <v>168957</v>
          </cell>
          <cell r="B129">
            <v>37607</v>
          </cell>
          <cell r="D129" t="str">
            <v>ENTEL CHILE - 1600001735</v>
          </cell>
          <cell r="E129">
            <v>3343491</v>
          </cell>
          <cell r="F129">
            <v>8030429</v>
          </cell>
          <cell r="G129">
            <v>2610003</v>
          </cell>
          <cell r="H129">
            <v>37610</v>
          </cell>
          <cell r="I129">
            <v>0.5</v>
          </cell>
          <cell r="J129">
            <v>1</v>
          </cell>
          <cell r="K129" t="str">
            <v xml:space="preserve">8.1 </v>
          </cell>
          <cell r="L129">
            <v>1</v>
          </cell>
          <cell r="M129" t="str">
            <v>CAB-ACI</v>
          </cell>
          <cell r="N129" t="str">
            <v>CAB-ACI Power Cord-Italian</v>
          </cell>
          <cell r="O129">
            <v>0</v>
          </cell>
          <cell r="P129">
            <v>0</v>
          </cell>
          <cell r="Q129">
            <v>24</v>
          </cell>
          <cell r="R129">
            <v>0</v>
          </cell>
          <cell r="S129">
            <v>37635</v>
          </cell>
          <cell r="T129" t="str">
            <v>---</v>
          </cell>
          <cell r="W129" t="str">
            <v>3799557</v>
          </cell>
          <cell r="X129">
            <v>0</v>
          </cell>
          <cell r="Z129" t="str">
            <v>2030000062</v>
          </cell>
          <cell r="AA129">
            <v>0</v>
          </cell>
          <cell r="AB129">
            <v>37676</v>
          </cell>
          <cell r="AE129">
            <v>37739</v>
          </cell>
          <cell r="AF129" t="str">
            <v>-</v>
          </cell>
          <cell r="AG129">
            <v>0</v>
          </cell>
          <cell r="AH129">
            <v>7</v>
          </cell>
          <cell r="AI129">
            <v>0</v>
          </cell>
          <cell r="AJ129">
            <v>0</v>
          </cell>
        </row>
        <row r="130">
          <cell r="A130">
            <v>168957</v>
          </cell>
          <cell r="B130">
            <v>37607</v>
          </cell>
          <cell r="D130" t="str">
            <v>ENTEL CHILE - 1600001735</v>
          </cell>
          <cell r="E130">
            <v>3343491</v>
          </cell>
          <cell r="F130">
            <v>8030429</v>
          </cell>
          <cell r="G130">
            <v>2610003</v>
          </cell>
          <cell r="H130">
            <v>37610</v>
          </cell>
          <cell r="I130">
            <v>0.5</v>
          </cell>
          <cell r="J130">
            <v>1</v>
          </cell>
          <cell r="K130" t="str">
            <v xml:space="preserve">8.2 </v>
          </cell>
          <cell r="L130">
            <v>1</v>
          </cell>
          <cell r="M130" t="str">
            <v>S805C-12208T</v>
          </cell>
          <cell r="N130" t="str">
            <v>S805C-12208T Cisco 805 Series IOS IP</v>
          </cell>
          <cell r="O130">
            <v>0</v>
          </cell>
          <cell r="P130">
            <v>0</v>
          </cell>
          <cell r="Q130">
            <v>24</v>
          </cell>
          <cell r="R130">
            <v>0</v>
          </cell>
          <cell r="S130">
            <v>37635</v>
          </cell>
          <cell r="T130" t="str">
            <v>---</v>
          </cell>
          <cell r="W130" t="str">
            <v>3799557</v>
          </cell>
          <cell r="X130">
            <v>0</v>
          </cell>
          <cell r="Z130" t="str">
            <v>2030000062</v>
          </cell>
          <cell r="AA130">
            <v>0</v>
          </cell>
          <cell r="AB130">
            <v>37676</v>
          </cell>
          <cell r="AE130">
            <v>37739</v>
          </cell>
          <cell r="AF130" t="str">
            <v>D</v>
          </cell>
          <cell r="AG130">
            <v>0</v>
          </cell>
          <cell r="AH130">
            <v>7</v>
          </cell>
          <cell r="AI130">
            <v>0</v>
          </cell>
          <cell r="AJ130">
            <v>0</v>
          </cell>
        </row>
        <row r="131">
          <cell r="A131">
            <v>168957</v>
          </cell>
          <cell r="B131">
            <v>37607</v>
          </cell>
          <cell r="D131" t="str">
            <v>ENTEL CHILE - 1600001735</v>
          </cell>
          <cell r="E131">
            <v>3343491</v>
          </cell>
          <cell r="F131">
            <v>8030429</v>
          </cell>
          <cell r="G131">
            <v>2610003</v>
          </cell>
          <cell r="H131">
            <v>37610</v>
          </cell>
          <cell r="I131">
            <v>0.5</v>
          </cell>
          <cell r="J131">
            <v>1</v>
          </cell>
          <cell r="K131" t="str">
            <v xml:space="preserve">9.0 </v>
          </cell>
          <cell r="L131">
            <v>1</v>
          </cell>
          <cell r="M131" t="str">
            <v>CISCO1601-R</v>
          </cell>
          <cell r="N131" t="str">
            <v>CISCO1601-R Ethernet/Serial Modular Router, 4M Flash/8M DRAM /</v>
          </cell>
          <cell r="O131">
            <v>1495</v>
          </cell>
          <cell r="P131">
            <v>747.5</v>
          </cell>
          <cell r="Q131">
            <v>20</v>
          </cell>
          <cell r="R131">
            <v>14950</v>
          </cell>
          <cell r="S131">
            <v>37635</v>
          </cell>
          <cell r="T131" t="str">
            <v>---</v>
          </cell>
          <cell r="W131" t="str">
            <v>3799557</v>
          </cell>
          <cell r="X131">
            <v>14950</v>
          </cell>
          <cell r="Z131" t="str">
            <v>2030000062</v>
          </cell>
          <cell r="AA131">
            <v>17040</v>
          </cell>
          <cell r="AB131">
            <v>37676</v>
          </cell>
          <cell r="AE131">
            <v>37739</v>
          </cell>
          <cell r="AF131" t="str">
            <v>D</v>
          </cell>
          <cell r="AG131">
            <v>299</v>
          </cell>
          <cell r="AH131">
            <v>12</v>
          </cell>
          <cell r="AI131">
            <v>852</v>
          </cell>
          <cell r="AJ131">
            <v>17040</v>
          </cell>
        </row>
        <row r="132">
          <cell r="A132">
            <v>168957</v>
          </cell>
          <cell r="B132">
            <v>37607</v>
          </cell>
          <cell r="D132" t="str">
            <v>ENTEL CHILE - 1600001735</v>
          </cell>
          <cell r="E132">
            <v>3343491</v>
          </cell>
          <cell r="F132">
            <v>8030429</v>
          </cell>
          <cell r="G132">
            <v>2610003</v>
          </cell>
          <cell r="H132">
            <v>37610</v>
          </cell>
          <cell r="I132">
            <v>0.5</v>
          </cell>
          <cell r="J132">
            <v>1</v>
          </cell>
          <cell r="K132" t="str">
            <v xml:space="preserve">9.1 </v>
          </cell>
          <cell r="L132">
            <v>1</v>
          </cell>
          <cell r="M132" t="str">
            <v>CAB-ACI</v>
          </cell>
          <cell r="N132" t="str">
            <v>CAB-ACI Power Cord-Italian</v>
          </cell>
          <cell r="O132">
            <v>0</v>
          </cell>
          <cell r="P132">
            <v>0</v>
          </cell>
          <cell r="Q132">
            <v>20</v>
          </cell>
          <cell r="R132">
            <v>0</v>
          </cell>
          <cell r="S132">
            <v>37635</v>
          </cell>
          <cell r="T132" t="str">
            <v>---</v>
          </cell>
          <cell r="W132" t="str">
            <v>3799557</v>
          </cell>
          <cell r="X132">
            <v>0</v>
          </cell>
          <cell r="Z132" t="str">
            <v>2030000062</v>
          </cell>
          <cell r="AA132">
            <v>0</v>
          </cell>
          <cell r="AB132">
            <v>37676</v>
          </cell>
          <cell r="AE132">
            <v>37739</v>
          </cell>
          <cell r="AF132" t="str">
            <v>-</v>
          </cell>
          <cell r="AG132">
            <v>0</v>
          </cell>
          <cell r="AH132">
            <v>12</v>
          </cell>
          <cell r="AI132">
            <v>0</v>
          </cell>
          <cell r="AJ132">
            <v>0</v>
          </cell>
        </row>
        <row r="133">
          <cell r="A133">
            <v>168957</v>
          </cell>
          <cell r="B133">
            <v>37607</v>
          </cell>
          <cell r="D133" t="str">
            <v>ENTEL CHILE - 1600001735</v>
          </cell>
          <cell r="E133">
            <v>3343491</v>
          </cell>
          <cell r="F133">
            <v>8030429</v>
          </cell>
          <cell r="G133">
            <v>2610003</v>
          </cell>
          <cell r="H133">
            <v>37610</v>
          </cell>
          <cell r="I133">
            <v>0.5</v>
          </cell>
          <cell r="J133">
            <v>1</v>
          </cell>
          <cell r="K133" t="str">
            <v xml:space="preserve">9.2 </v>
          </cell>
          <cell r="L133">
            <v>1</v>
          </cell>
          <cell r="M133" t="str">
            <v>S16RC-12.0.24</v>
          </cell>
          <cell r="N133" t="str">
            <v>S16RC-12.0.24 Cisco 1600R Series IOS IP</v>
          </cell>
          <cell r="O133">
            <v>0</v>
          </cell>
          <cell r="P133">
            <v>0</v>
          </cell>
          <cell r="Q133">
            <v>20</v>
          </cell>
          <cell r="R133">
            <v>0</v>
          </cell>
          <cell r="S133">
            <v>37635</v>
          </cell>
          <cell r="T133" t="str">
            <v>---</v>
          </cell>
          <cell r="W133" t="str">
            <v>3799557</v>
          </cell>
          <cell r="X133">
            <v>0</v>
          </cell>
          <cell r="Z133" t="str">
            <v>2030000062</v>
          </cell>
          <cell r="AA133">
            <v>0</v>
          </cell>
          <cell r="AB133">
            <v>37676</v>
          </cell>
          <cell r="AE133">
            <v>37739</v>
          </cell>
          <cell r="AF133" t="str">
            <v>D</v>
          </cell>
          <cell r="AG133">
            <v>0</v>
          </cell>
          <cell r="AH133">
            <v>12</v>
          </cell>
          <cell r="AI133">
            <v>0</v>
          </cell>
          <cell r="AJ133">
            <v>0</v>
          </cell>
        </row>
        <row r="134">
          <cell r="A134">
            <v>168957</v>
          </cell>
          <cell r="B134">
            <v>37607</v>
          </cell>
          <cell r="D134" t="str">
            <v>ENTEL CHILE - 1600001735</v>
          </cell>
          <cell r="E134">
            <v>3343491</v>
          </cell>
          <cell r="F134">
            <v>8030429</v>
          </cell>
          <cell r="G134">
            <v>2610003</v>
          </cell>
          <cell r="H134">
            <v>37610</v>
          </cell>
          <cell r="I134">
            <v>0.5</v>
          </cell>
          <cell r="J134">
            <v>1</v>
          </cell>
          <cell r="K134" t="str">
            <v xml:space="preserve">9.3 </v>
          </cell>
          <cell r="L134">
            <v>1</v>
          </cell>
          <cell r="M134" t="str">
            <v>MEM1600R-8U10D</v>
          </cell>
          <cell r="N134" t="str">
            <v>MEM1600R-8U10D 8MB to 10MB DRAM Factory Upgrade for Cisco 1600 R</v>
          </cell>
          <cell r="O134">
            <v>0</v>
          </cell>
          <cell r="P134">
            <v>0</v>
          </cell>
          <cell r="Q134">
            <v>20</v>
          </cell>
          <cell r="R134">
            <v>0</v>
          </cell>
          <cell r="S134">
            <v>37635</v>
          </cell>
          <cell r="T134" t="str">
            <v>---</v>
          </cell>
          <cell r="W134" t="str">
            <v>3799557</v>
          </cell>
          <cell r="X134">
            <v>0</v>
          </cell>
          <cell r="Z134" t="str">
            <v>2030000062</v>
          </cell>
          <cell r="AA134">
            <v>0</v>
          </cell>
          <cell r="AB134">
            <v>37676</v>
          </cell>
          <cell r="AE134">
            <v>37739</v>
          </cell>
          <cell r="AF134" t="str">
            <v>D</v>
          </cell>
          <cell r="AG134">
            <v>0</v>
          </cell>
          <cell r="AH134">
            <v>12</v>
          </cell>
          <cell r="AI134">
            <v>0</v>
          </cell>
          <cell r="AJ134">
            <v>0</v>
          </cell>
        </row>
        <row r="135">
          <cell r="A135">
            <v>168957</v>
          </cell>
          <cell r="B135">
            <v>37607</v>
          </cell>
          <cell r="D135" t="str">
            <v>ENTEL CHILE - 1600001735</v>
          </cell>
          <cell r="E135">
            <v>3343491</v>
          </cell>
          <cell r="F135">
            <v>8030429</v>
          </cell>
          <cell r="G135">
            <v>2610003</v>
          </cell>
          <cell r="H135">
            <v>37610</v>
          </cell>
          <cell r="I135">
            <v>0.5</v>
          </cell>
          <cell r="J135">
            <v>1</v>
          </cell>
          <cell r="K135" t="str">
            <v xml:space="preserve">9.4 </v>
          </cell>
          <cell r="L135">
            <v>1</v>
          </cell>
          <cell r="M135" t="str">
            <v>MEM1600R-4FC</v>
          </cell>
          <cell r="N135" t="str">
            <v>MEM1600R-4FC 4 MB Flash Card for Cisco 1600 R</v>
          </cell>
          <cell r="O135">
            <v>0</v>
          </cell>
          <cell r="P135">
            <v>0</v>
          </cell>
          <cell r="Q135">
            <v>20</v>
          </cell>
          <cell r="R135">
            <v>0</v>
          </cell>
          <cell r="S135">
            <v>37635</v>
          </cell>
          <cell r="T135" t="str">
            <v>---</v>
          </cell>
          <cell r="W135" t="str">
            <v>3799557</v>
          </cell>
          <cell r="X135">
            <v>0</v>
          </cell>
          <cell r="Z135" t="str">
            <v>2030000062</v>
          </cell>
          <cell r="AA135">
            <v>0</v>
          </cell>
          <cell r="AB135">
            <v>37676</v>
          </cell>
          <cell r="AE135">
            <v>37739</v>
          </cell>
          <cell r="AF135" t="str">
            <v>D</v>
          </cell>
          <cell r="AG135">
            <v>0</v>
          </cell>
          <cell r="AH135">
            <v>12</v>
          </cell>
          <cell r="AI135">
            <v>0</v>
          </cell>
          <cell r="AJ135">
            <v>0</v>
          </cell>
        </row>
        <row r="136">
          <cell r="A136">
            <v>168957</v>
          </cell>
          <cell r="B136">
            <v>37607</v>
          </cell>
          <cell r="D136" t="str">
            <v>ENTEL CHILE - 1600001735</v>
          </cell>
          <cell r="E136">
            <v>3343491</v>
          </cell>
          <cell r="F136">
            <v>8030429</v>
          </cell>
          <cell r="G136">
            <v>2610003</v>
          </cell>
          <cell r="H136">
            <v>37610</v>
          </cell>
          <cell r="I136">
            <v>0.5</v>
          </cell>
          <cell r="J136">
            <v>1</v>
          </cell>
          <cell r="K136" t="str">
            <v xml:space="preserve">10.0 </v>
          </cell>
          <cell r="L136">
            <v>1</v>
          </cell>
          <cell r="M136" t="str">
            <v>CISCO1751-V 10/100</v>
          </cell>
          <cell r="N136" t="str">
            <v>CISCO1751-V 10/100 Modular Router w/Voice,32F/64D /</v>
          </cell>
          <cell r="O136">
            <v>2495</v>
          </cell>
          <cell r="P136">
            <v>1247.5</v>
          </cell>
          <cell r="Q136">
            <v>20</v>
          </cell>
          <cell r="R136">
            <v>24950</v>
          </cell>
          <cell r="S136">
            <v>37635</v>
          </cell>
          <cell r="T136" t="str">
            <v>---</v>
          </cell>
          <cell r="W136" t="str">
            <v>3799557</v>
          </cell>
          <cell r="X136">
            <v>24950</v>
          </cell>
          <cell r="Z136" t="str">
            <v>2030000062</v>
          </cell>
          <cell r="AA136">
            <v>28440</v>
          </cell>
          <cell r="AB136">
            <v>37676</v>
          </cell>
          <cell r="AE136">
            <v>37739</v>
          </cell>
          <cell r="AF136" t="str">
            <v>D</v>
          </cell>
          <cell r="AG136">
            <v>499</v>
          </cell>
          <cell r="AH136">
            <v>6</v>
          </cell>
          <cell r="AI136">
            <v>1422</v>
          </cell>
          <cell r="AJ136">
            <v>28440</v>
          </cell>
        </row>
        <row r="137">
          <cell r="A137">
            <v>168957</v>
          </cell>
          <cell r="B137">
            <v>37607</v>
          </cell>
          <cell r="D137" t="str">
            <v>ENTEL CHILE - 1600001735</v>
          </cell>
          <cell r="E137">
            <v>3343491</v>
          </cell>
          <cell r="F137">
            <v>8030429</v>
          </cell>
          <cell r="G137">
            <v>2610003</v>
          </cell>
          <cell r="H137">
            <v>37610</v>
          </cell>
          <cell r="I137">
            <v>0.5</v>
          </cell>
          <cell r="J137">
            <v>1</v>
          </cell>
          <cell r="K137" t="str">
            <v xml:space="preserve">10.1 </v>
          </cell>
          <cell r="L137">
            <v>1</v>
          </cell>
          <cell r="M137" t="str">
            <v>CAB-ACI</v>
          </cell>
          <cell r="N137" t="str">
            <v>CAB-ACI Power Cord-Italian</v>
          </cell>
          <cell r="O137">
            <v>0</v>
          </cell>
          <cell r="P137">
            <v>0</v>
          </cell>
          <cell r="Q137">
            <v>20</v>
          </cell>
          <cell r="R137">
            <v>0</v>
          </cell>
          <cell r="S137">
            <v>37635</v>
          </cell>
          <cell r="T137" t="str">
            <v>---</v>
          </cell>
          <cell r="W137" t="str">
            <v>3799557</v>
          </cell>
          <cell r="X137">
            <v>0</v>
          </cell>
          <cell r="Z137" t="str">
            <v>2030000062</v>
          </cell>
          <cell r="AA137">
            <v>0</v>
          </cell>
          <cell r="AB137">
            <v>37676</v>
          </cell>
          <cell r="AE137">
            <v>37739</v>
          </cell>
          <cell r="AF137" t="str">
            <v>-</v>
          </cell>
          <cell r="AG137">
            <v>0</v>
          </cell>
          <cell r="AH137">
            <v>6</v>
          </cell>
          <cell r="AI137">
            <v>0</v>
          </cell>
          <cell r="AJ137">
            <v>0</v>
          </cell>
        </row>
        <row r="138">
          <cell r="A138">
            <v>168957</v>
          </cell>
          <cell r="B138">
            <v>37607</v>
          </cell>
          <cell r="D138" t="str">
            <v>ENTEL CHILE - 1600001735</v>
          </cell>
          <cell r="E138">
            <v>3343491</v>
          </cell>
          <cell r="F138">
            <v>8030429</v>
          </cell>
          <cell r="G138">
            <v>2610003</v>
          </cell>
          <cell r="H138">
            <v>37610</v>
          </cell>
          <cell r="I138">
            <v>0.5</v>
          </cell>
          <cell r="J138">
            <v>1</v>
          </cell>
          <cell r="K138" t="str">
            <v xml:space="preserve">10.2 </v>
          </cell>
          <cell r="L138">
            <v>1</v>
          </cell>
          <cell r="M138" t="str">
            <v>S17CV8P-12211T</v>
          </cell>
          <cell r="N138" t="str">
            <v>S17CV8P-12211T Cisco 1700 IOS IP/VOX PLUS</v>
          </cell>
          <cell r="O138">
            <v>0</v>
          </cell>
          <cell r="P138">
            <v>0</v>
          </cell>
          <cell r="Q138">
            <v>20</v>
          </cell>
          <cell r="R138">
            <v>0</v>
          </cell>
          <cell r="S138">
            <v>37635</v>
          </cell>
          <cell r="T138" t="str">
            <v>---</v>
          </cell>
          <cell r="W138" t="str">
            <v>3799557</v>
          </cell>
          <cell r="X138">
            <v>0</v>
          </cell>
          <cell r="Z138" t="str">
            <v>2030000062</v>
          </cell>
          <cell r="AA138">
            <v>0</v>
          </cell>
          <cell r="AB138">
            <v>37676</v>
          </cell>
          <cell r="AE138">
            <v>37739</v>
          </cell>
          <cell r="AF138" t="str">
            <v>D</v>
          </cell>
          <cell r="AG138">
            <v>0</v>
          </cell>
          <cell r="AH138">
            <v>6</v>
          </cell>
          <cell r="AI138">
            <v>0</v>
          </cell>
          <cell r="AJ138">
            <v>0</v>
          </cell>
        </row>
        <row r="139">
          <cell r="A139">
            <v>168957</v>
          </cell>
          <cell r="B139">
            <v>37607</v>
          </cell>
          <cell r="D139" t="str">
            <v>ENTEL CHILE - 1600001735</v>
          </cell>
          <cell r="E139">
            <v>3343491</v>
          </cell>
          <cell r="F139">
            <v>8030429</v>
          </cell>
          <cell r="G139">
            <v>2610003</v>
          </cell>
          <cell r="H139">
            <v>37610</v>
          </cell>
          <cell r="I139">
            <v>0.5</v>
          </cell>
          <cell r="J139">
            <v>1</v>
          </cell>
          <cell r="K139" t="str">
            <v xml:space="preserve">10.3 </v>
          </cell>
          <cell r="L139">
            <v>1</v>
          </cell>
          <cell r="M139" t="str">
            <v>PVDM-256K-4</v>
          </cell>
          <cell r="N139" t="str">
            <v>PVDM-256K-4 4-Channel Packet Voice/Fax DSP Module</v>
          </cell>
          <cell r="O139">
            <v>0</v>
          </cell>
          <cell r="P139">
            <v>0</v>
          </cell>
          <cell r="Q139">
            <v>20</v>
          </cell>
          <cell r="R139">
            <v>0</v>
          </cell>
          <cell r="S139">
            <v>37635</v>
          </cell>
          <cell r="T139" t="str">
            <v>---</v>
          </cell>
          <cell r="W139" t="str">
            <v>3799557</v>
          </cell>
          <cell r="X139">
            <v>0</v>
          </cell>
          <cell r="Z139" t="str">
            <v>2030000062</v>
          </cell>
          <cell r="AA139">
            <v>0</v>
          </cell>
          <cell r="AB139">
            <v>37676</v>
          </cell>
          <cell r="AE139">
            <v>37739</v>
          </cell>
          <cell r="AF139" t="str">
            <v>D</v>
          </cell>
          <cell r="AG139">
            <v>0</v>
          </cell>
          <cell r="AH139">
            <v>6</v>
          </cell>
          <cell r="AI139">
            <v>0</v>
          </cell>
          <cell r="AJ139">
            <v>0</v>
          </cell>
        </row>
        <row r="140">
          <cell r="A140">
            <v>168957</v>
          </cell>
          <cell r="B140">
            <v>37607</v>
          </cell>
          <cell r="D140" t="str">
            <v>ENTEL CHILE - 1600001735</v>
          </cell>
          <cell r="E140">
            <v>3343491</v>
          </cell>
          <cell r="F140">
            <v>8030429</v>
          </cell>
          <cell r="G140">
            <v>2610003</v>
          </cell>
          <cell r="H140">
            <v>37610</v>
          </cell>
          <cell r="I140">
            <v>0.5</v>
          </cell>
          <cell r="J140">
            <v>1</v>
          </cell>
          <cell r="K140" t="str">
            <v xml:space="preserve">11.0 </v>
          </cell>
          <cell r="L140">
            <v>1</v>
          </cell>
          <cell r="M140" t="str">
            <v>PVDM-256K-4=</v>
          </cell>
          <cell r="N140" t="str">
            <v>PVDM-256K-4= 4-Channel Packet Voice/Fax DSP Module /</v>
          </cell>
          <cell r="O140">
            <v>400</v>
          </cell>
          <cell r="P140">
            <v>200</v>
          </cell>
          <cell r="Q140">
            <v>15</v>
          </cell>
          <cell r="R140">
            <v>3000</v>
          </cell>
          <cell r="S140">
            <v>37635</v>
          </cell>
          <cell r="T140" t="str">
            <v>---</v>
          </cell>
          <cell r="W140" t="str">
            <v>3799557</v>
          </cell>
          <cell r="X140">
            <v>3000</v>
          </cell>
          <cell r="Z140" t="str">
            <v>2030000062</v>
          </cell>
          <cell r="AA140">
            <v>3420</v>
          </cell>
          <cell r="AB140">
            <v>37676</v>
          </cell>
          <cell r="AE140">
            <v>37739</v>
          </cell>
          <cell r="AF140" t="str">
            <v>D</v>
          </cell>
          <cell r="AG140">
            <v>60</v>
          </cell>
          <cell r="AH140">
            <v>11</v>
          </cell>
          <cell r="AI140">
            <v>228</v>
          </cell>
          <cell r="AJ140">
            <v>3420</v>
          </cell>
        </row>
        <row r="141">
          <cell r="A141">
            <v>168957</v>
          </cell>
          <cell r="B141">
            <v>37607</v>
          </cell>
          <cell r="D141" t="str">
            <v>ENTEL CHILE - 1600001735</v>
          </cell>
          <cell r="E141">
            <v>3343491</v>
          </cell>
          <cell r="F141">
            <v>8030429</v>
          </cell>
          <cell r="G141">
            <v>2610003</v>
          </cell>
          <cell r="H141">
            <v>37610</v>
          </cell>
          <cell r="I141">
            <v>0.5</v>
          </cell>
          <cell r="J141">
            <v>1</v>
          </cell>
          <cell r="K141" t="str">
            <v xml:space="preserve">12.0 </v>
          </cell>
          <cell r="L141">
            <v>1</v>
          </cell>
          <cell r="M141" t="str">
            <v>NM-1FE2W=</v>
          </cell>
          <cell r="N141" t="str">
            <v>NM-1FE2W= 1 10/100 Ethernet 2 WAN Card Slot Network Module /</v>
          </cell>
          <cell r="O141">
            <v>2300</v>
          </cell>
          <cell r="P141">
            <v>1150</v>
          </cell>
          <cell r="Q141">
            <v>5</v>
          </cell>
          <cell r="R141">
            <v>5750</v>
          </cell>
          <cell r="S141">
            <v>37635</v>
          </cell>
          <cell r="T141" t="str">
            <v>---</v>
          </cell>
          <cell r="W141" t="str">
            <v>3799557</v>
          </cell>
          <cell r="X141">
            <v>5750</v>
          </cell>
          <cell r="Z141" t="str">
            <v>2030000062</v>
          </cell>
          <cell r="AA141">
            <v>6555</v>
          </cell>
          <cell r="AB141">
            <v>37676</v>
          </cell>
          <cell r="AE141">
            <v>37739</v>
          </cell>
          <cell r="AF141" t="str">
            <v>C</v>
          </cell>
          <cell r="AG141">
            <v>431.25</v>
          </cell>
          <cell r="AH141">
            <v>4</v>
          </cell>
          <cell r="AI141">
            <v>1311</v>
          </cell>
          <cell r="AJ141">
            <v>6555</v>
          </cell>
        </row>
        <row r="142">
          <cell r="A142">
            <v>168957</v>
          </cell>
          <cell r="B142">
            <v>37607</v>
          </cell>
          <cell r="D142" t="str">
            <v>ENTEL CHILE - 1600001735</v>
          </cell>
          <cell r="E142">
            <v>3343491</v>
          </cell>
          <cell r="F142">
            <v>8030429</v>
          </cell>
          <cell r="G142">
            <v>2610003</v>
          </cell>
          <cell r="H142">
            <v>37610</v>
          </cell>
          <cell r="I142">
            <v>0.5</v>
          </cell>
          <cell r="J142">
            <v>2</v>
          </cell>
          <cell r="K142" t="str">
            <v xml:space="preserve">13.0 </v>
          </cell>
          <cell r="L142">
            <v>2</v>
          </cell>
          <cell r="M142" t="str">
            <v>WS-C3550-24-SMI</v>
          </cell>
          <cell r="N142" t="str">
            <v>WS-C3550-24-SMI 24-10/100 and 2 GBIC ports:Std Multilayer SW Image /</v>
          </cell>
          <cell r="O142">
            <v>2995</v>
          </cell>
          <cell r="P142">
            <v>1497.5</v>
          </cell>
          <cell r="Q142">
            <v>2</v>
          </cell>
          <cell r="R142">
            <v>2995</v>
          </cell>
          <cell r="S142">
            <v>37635</v>
          </cell>
          <cell r="T142" t="str">
            <v>---</v>
          </cell>
          <cell r="W142" t="str">
            <v>3757334</v>
          </cell>
          <cell r="X142">
            <v>2995</v>
          </cell>
          <cell r="Z142" t="str">
            <v>2030000011</v>
          </cell>
          <cell r="AA142">
            <v>3414</v>
          </cell>
          <cell r="AE142">
            <v>37739</v>
          </cell>
          <cell r="AF142" t="str">
            <v>D</v>
          </cell>
          <cell r="AG142">
            <v>59.9</v>
          </cell>
          <cell r="AH142">
            <v>10</v>
          </cell>
          <cell r="AI142">
            <v>1707</v>
          </cell>
          <cell r="AJ142">
            <v>3414</v>
          </cell>
        </row>
        <row r="143">
          <cell r="A143">
            <v>168957</v>
          </cell>
          <cell r="B143">
            <v>37607</v>
          </cell>
          <cell r="D143" t="str">
            <v>ENTEL CHILE - 1600001735</v>
          </cell>
          <cell r="E143">
            <v>3343491</v>
          </cell>
          <cell r="F143">
            <v>8030429</v>
          </cell>
          <cell r="G143">
            <v>2610003</v>
          </cell>
          <cell r="H143">
            <v>37610</v>
          </cell>
          <cell r="I143">
            <v>0.5</v>
          </cell>
          <cell r="J143">
            <v>2</v>
          </cell>
          <cell r="K143" t="str">
            <v xml:space="preserve">13.1 </v>
          </cell>
          <cell r="L143">
            <v>2</v>
          </cell>
          <cell r="M143" t="str">
            <v>CAB-ACI</v>
          </cell>
          <cell r="N143" t="str">
            <v>CAB-ACI Power Cord-Italian</v>
          </cell>
          <cell r="O143">
            <v>0</v>
          </cell>
          <cell r="P143">
            <v>0</v>
          </cell>
          <cell r="Q143">
            <v>2</v>
          </cell>
          <cell r="R143">
            <v>0</v>
          </cell>
          <cell r="S143">
            <v>37635</v>
          </cell>
          <cell r="T143" t="str">
            <v>---</v>
          </cell>
          <cell r="W143" t="str">
            <v>3757334</v>
          </cell>
          <cell r="X143">
            <v>0</v>
          </cell>
          <cell r="Z143" t="str">
            <v>2030000011</v>
          </cell>
          <cell r="AA143">
            <v>0</v>
          </cell>
          <cell r="AE143">
            <v>37739</v>
          </cell>
          <cell r="AF143" t="str">
            <v>-</v>
          </cell>
          <cell r="AG143">
            <v>0</v>
          </cell>
          <cell r="AH143">
            <v>10</v>
          </cell>
          <cell r="AI143">
            <v>0</v>
          </cell>
          <cell r="AJ143">
            <v>0</v>
          </cell>
        </row>
        <row r="144">
          <cell r="A144">
            <v>168958</v>
          </cell>
          <cell r="B144">
            <v>37609</v>
          </cell>
          <cell r="D144" t="str">
            <v>ENTEL CHILE - 1600001741</v>
          </cell>
          <cell r="E144">
            <v>3343638</v>
          </cell>
          <cell r="F144">
            <v>8030437</v>
          </cell>
          <cell r="G144">
            <v>2610004</v>
          </cell>
          <cell r="H144">
            <v>37610</v>
          </cell>
          <cell r="I144">
            <v>0.5</v>
          </cell>
          <cell r="J144">
            <v>7</v>
          </cell>
          <cell r="K144" t="str">
            <v xml:space="preserve">1.0 </v>
          </cell>
          <cell r="M144" t="str">
            <v>PA-A3-OC3SML=</v>
          </cell>
          <cell r="N144" t="str">
            <v>PA-A3-OC3SML= 1-Port ATM Enhanced OC3c/STM1 Singlemode(LR)Port Adapter /</v>
          </cell>
          <cell r="O144">
            <v>12000</v>
          </cell>
          <cell r="P144">
            <v>6000</v>
          </cell>
          <cell r="Q144">
            <v>1</v>
          </cell>
          <cell r="R144">
            <v>6000</v>
          </cell>
          <cell r="S144">
            <v>37280</v>
          </cell>
          <cell r="T144" t="str">
            <v>---</v>
          </cell>
          <cell r="W144" t="str">
            <v>3762921</v>
          </cell>
          <cell r="X144">
            <v>6000</v>
          </cell>
          <cell r="Z144" t="str">
            <v>2030000033</v>
          </cell>
          <cell r="AA144">
            <v>6600</v>
          </cell>
          <cell r="AB144">
            <v>37666</v>
          </cell>
          <cell r="AE144">
            <v>37739</v>
          </cell>
          <cell r="AF144" t="str">
            <v>B</v>
          </cell>
          <cell r="AG144">
            <v>600</v>
          </cell>
          <cell r="AH144">
            <v>6</v>
          </cell>
          <cell r="AI144">
            <v>6600</v>
          </cell>
          <cell r="AJ144">
            <v>6600</v>
          </cell>
        </row>
        <row r="145">
          <cell r="A145">
            <v>168958</v>
          </cell>
          <cell r="B145">
            <v>37609</v>
          </cell>
          <cell r="D145" t="str">
            <v>ENTEL CHILE - 1600001741</v>
          </cell>
          <cell r="E145">
            <v>3343638</v>
          </cell>
          <cell r="F145">
            <v>8030437</v>
          </cell>
          <cell r="G145">
            <v>2610004</v>
          </cell>
          <cell r="H145">
            <v>37610</v>
          </cell>
          <cell r="I145">
            <v>0.5</v>
          </cell>
          <cell r="J145">
            <v>9</v>
          </cell>
          <cell r="K145" t="str">
            <v xml:space="preserve">2.0 </v>
          </cell>
          <cell r="M145" t="str">
            <v>WS-C3550-24-DC-SMI</v>
          </cell>
          <cell r="N145" t="str">
            <v>WS-C3550-24-DC-SMI 24-10/100+2GBIC ports(DC-Pwrd):Standard Multilayer SW Image /</v>
          </cell>
          <cell r="O145">
            <v>4495</v>
          </cell>
          <cell r="P145">
            <v>2247.5</v>
          </cell>
          <cell r="Q145">
            <v>3</v>
          </cell>
          <cell r="R145">
            <v>6742.5</v>
          </cell>
          <cell r="S145">
            <v>37307</v>
          </cell>
          <cell r="T145" t="str">
            <v>---</v>
          </cell>
          <cell r="Z145" t="str">
            <v>2030000039</v>
          </cell>
          <cell r="AA145">
            <v>7416</v>
          </cell>
          <cell r="AB145">
            <v>37666</v>
          </cell>
          <cell r="AE145">
            <v>37739</v>
          </cell>
          <cell r="AF145" t="str">
            <v>D</v>
          </cell>
          <cell r="AG145">
            <v>134.85</v>
          </cell>
          <cell r="AH145">
            <v>19</v>
          </cell>
          <cell r="AI145">
            <v>2472</v>
          </cell>
          <cell r="AJ145">
            <v>7416</v>
          </cell>
        </row>
        <row r="146">
          <cell r="A146">
            <v>168958</v>
          </cell>
          <cell r="B146">
            <v>37609</v>
          </cell>
          <cell r="D146" t="str">
            <v>ENTEL CHILE - 1600001741</v>
          </cell>
          <cell r="E146">
            <v>3343638</v>
          </cell>
          <cell r="F146">
            <v>8030437</v>
          </cell>
          <cell r="G146">
            <v>2610004</v>
          </cell>
          <cell r="H146">
            <v>37610</v>
          </cell>
          <cell r="I146">
            <v>0.5</v>
          </cell>
          <cell r="J146">
            <v>9</v>
          </cell>
          <cell r="K146" t="str">
            <v xml:space="preserve">3.0 </v>
          </cell>
          <cell r="M146" t="str">
            <v>WS-C3550-12G</v>
          </cell>
          <cell r="N146" t="str">
            <v>WS-C3550-12G 10 GBIC ports and 2-10/100/1000BaseT ports /</v>
          </cell>
          <cell r="O146">
            <v>9995</v>
          </cell>
          <cell r="P146">
            <v>4997.5</v>
          </cell>
          <cell r="Q146">
            <v>3</v>
          </cell>
          <cell r="R146">
            <v>14992.5</v>
          </cell>
          <cell r="S146">
            <v>37307</v>
          </cell>
          <cell r="T146" t="str">
            <v>---</v>
          </cell>
          <cell r="Z146" t="str">
            <v>2030000039</v>
          </cell>
          <cell r="AA146">
            <v>16491</v>
          </cell>
          <cell r="AB146">
            <v>37666</v>
          </cell>
          <cell r="AE146">
            <v>37739</v>
          </cell>
          <cell r="AF146" t="str">
            <v>D</v>
          </cell>
          <cell r="AG146">
            <v>299.85000000000002</v>
          </cell>
          <cell r="AH146">
            <v>18</v>
          </cell>
          <cell r="AI146">
            <v>5497</v>
          </cell>
          <cell r="AJ146">
            <v>16491</v>
          </cell>
        </row>
        <row r="147">
          <cell r="A147">
            <v>168958</v>
          </cell>
          <cell r="B147">
            <v>37609</v>
          </cell>
          <cell r="D147" t="str">
            <v>ENTEL CHILE - 1600001741</v>
          </cell>
          <cell r="E147">
            <v>3343638</v>
          </cell>
          <cell r="F147">
            <v>8030437</v>
          </cell>
          <cell r="G147">
            <v>2610004</v>
          </cell>
          <cell r="H147">
            <v>37610</v>
          </cell>
          <cell r="I147">
            <v>0.5</v>
          </cell>
          <cell r="J147">
            <v>9</v>
          </cell>
          <cell r="K147" t="str">
            <v xml:space="preserve">3.1 </v>
          </cell>
          <cell r="M147" t="str">
            <v>CAB-ACI</v>
          </cell>
          <cell r="N147" t="str">
            <v>CAB-ACI Power Cord-Italian</v>
          </cell>
          <cell r="O147">
            <v>0</v>
          </cell>
          <cell r="P147">
            <v>0</v>
          </cell>
          <cell r="Q147">
            <v>3</v>
          </cell>
          <cell r="R147">
            <v>0</v>
          </cell>
          <cell r="S147">
            <v>37307</v>
          </cell>
          <cell r="T147" t="str">
            <v>---</v>
          </cell>
          <cell r="Z147" t="str">
            <v>2030000039</v>
          </cell>
          <cell r="AA147">
            <v>0</v>
          </cell>
          <cell r="AB147">
            <v>37666</v>
          </cell>
          <cell r="AE147">
            <v>37739</v>
          </cell>
          <cell r="AF147" t="str">
            <v>-</v>
          </cell>
          <cell r="AG147">
            <v>0</v>
          </cell>
          <cell r="AH147">
            <v>18</v>
          </cell>
          <cell r="AI147">
            <v>0</v>
          </cell>
          <cell r="AJ147">
            <v>0</v>
          </cell>
        </row>
        <row r="148">
          <cell r="A148">
            <v>168958</v>
          </cell>
          <cell r="B148">
            <v>37609</v>
          </cell>
          <cell r="D148" t="str">
            <v>ENTEL CHILE - 1600001741</v>
          </cell>
          <cell r="E148">
            <v>3343638</v>
          </cell>
          <cell r="F148">
            <v>8030437</v>
          </cell>
          <cell r="G148">
            <v>2610004</v>
          </cell>
          <cell r="H148">
            <v>37610</v>
          </cell>
          <cell r="I148">
            <v>0.5</v>
          </cell>
          <cell r="J148">
            <v>1</v>
          </cell>
          <cell r="K148" t="str">
            <v xml:space="preserve">4.0 </v>
          </cell>
          <cell r="M148" t="str">
            <v>WS-G5484=</v>
          </cell>
          <cell r="N148" t="str">
            <v>WS-G5484= 1000BASE-SX /</v>
          </cell>
          <cell r="O148">
            <v>500</v>
          </cell>
          <cell r="P148">
            <v>250</v>
          </cell>
          <cell r="Q148">
            <v>10</v>
          </cell>
          <cell r="R148">
            <v>2500</v>
          </cell>
          <cell r="S148">
            <v>37671</v>
          </cell>
          <cell r="T148" t="str">
            <v>---</v>
          </cell>
          <cell r="W148" t="str">
            <v>3794919</v>
          </cell>
          <cell r="X148">
            <v>2500</v>
          </cell>
          <cell r="Z148" t="str">
            <v>2030000055</v>
          </cell>
          <cell r="AA148">
            <v>2750</v>
          </cell>
          <cell r="AB148">
            <v>37672</v>
          </cell>
          <cell r="AE148">
            <v>37739</v>
          </cell>
          <cell r="AF148" t="str">
            <v>D</v>
          </cell>
          <cell r="AG148">
            <v>50</v>
          </cell>
          <cell r="AH148">
            <v>5</v>
          </cell>
          <cell r="AI148">
            <v>275</v>
          </cell>
          <cell r="AJ148">
            <v>2750</v>
          </cell>
        </row>
        <row r="149">
          <cell r="A149">
            <v>168958</v>
          </cell>
          <cell r="B149">
            <v>37609</v>
          </cell>
          <cell r="D149" t="str">
            <v>ENTEL CHILE - 1600001741</v>
          </cell>
          <cell r="E149">
            <v>3343638</v>
          </cell>
          <cell r="F149">
            <v>8030437</v>
          </cell>
          <cell r="G149">
            <v>2610004</v>
          </cell>
          <cell r="H149">
            <v>37610</v>
          </cell>
          <cell r="I149">
            <v>0.5</v>
          </cell>
          <cell r="J149">
            <v>1</v>
          </cell>
          <cell r="K149" t="str">
            <v xml:space="preserve">7.0 </v>
          </cell>
          <cell r="M149" t="str">
            <v>CISCO7401ASR-BB</v>
          </cell>
          <cell r="N149" t="str">
            <v>CISCO7401ASR-BB 7401ASR, 256M SDRAM, Broadband Feature License /</v>
          </cell>
          <cell r="O149">
            <v>22500</v>
          </cell>
          <cell r="P149">
            <v>11250</v>
          </cell>
          <cell r="Q149">
            <v>4</v>
          </cell>
          <cell r="R149">
            <v>45000</v>
          </cell>
          <cell r="S149">
            <v>37671</v>
          </cell>
          <cell r="T149" t="str">
            <v>---</v>
          </cell>
          <cell r="W149" t="str">
            <v>3794919</v>
          </cell>
          <cell r="X149">
            <v>45000</v>
          </cell>
          <cell r="Z149" t="str">
            <v>2030000055</v>
          </cell>
          <cell r="AA149">
            <v>49500</v>
          </cell>
          <cell r="AB149">
            <v>37672</v>
          </cell>
          <cell r="AE149">
            <v>37739</v>
          </cell>
          <cell r="AF149" t="str">
            <v>B</v>
          </cell>
          <cell r="AG149">
            <v>4500</v>
          </cell>
          <cell r="AH149">
            <v>1</v>
          </cell>
          <cell r="AI149">
            <v>12375</v>
          </cell>
          <cell r="AJ149">
            <v>49500</v>
          </cell>
        </row>
        <row r="150">
          <cell r="A150">
            <v>168958</v>
          </cell>
          <cell r="B150">
            <v>37609</v>
          </cell>
          <cell r="D150" t="str">
            <v>ENTEL CHILE - 1600001741</v>
          </cell>
          <cell r="E150">
            <v>3343638</v>
          </cell>
          <cell r="F150">
            <v>8030437</v>
          </cell>
          <cell r="G150">
            <v>2610004</v>
          </cell>
          <cell r="H150">
            <v>37610</v>
          </cell>
          <cell r="I150">
            <v>0.5</v>
          </cell>
          <cell r="J150">
            <v>1</v>
          </cell>
          <cell r="K150" t="str">
            <v xml:space="preserve">7.1 </v>
          </cell>
          <cell r="M150" t="str">
            <v>PWR-7400/2-DC48</v>
          </cell>
          <cell r="N150" t="str">
            <v>PWR-7400/2-DC48 Cisco 7400 Dual DC48 Power Supply Option</v>
          </cell>
          <cell r="O150">
            <v>3000</v>
          </cell>
          <cell r="P150">
            <v>1500</v>
          </cell>
          <cell r="Q150">
            <v>4</v>
          </cell>
          <cell r="R150">
            <v>6000</v>
          </cell>
          <cell r="S150">
            <v>37671</v>
          </cell>
          <cell r="T150" t="str">
            <v>---</v>
          </cell>
          <cell r="W150" t="str">
            <v>3794919</v>
          </cell>
          <cell r="X150">
            <v>6000</v>
          </cell>
          <cell r="Z150" t="str">
            <v>2030000055</v>
          </cell>
          <cell r="AA150">
            <v>6600</v>
          </cell>
          <cell r="AB150">
            <v>37672</v>
          </cell>
          <cell r="AE150">
            <v>37739</v>
          </cell>
          <cell r="AF150" t="str">
            <v>B</v>
          </cell>
          <cell r="AG150">
            <v>600</v>
          </cell>
          <cell r="AH150">
            <v>15</v>
          </cell>
          <cell r="AI150">
            <v>1650</v>
          </cell>
          <cell r="AJ150">
            <v>6600</v>
          </cell>
        </row>
        <row r="151">
          <cell r="A151">
            <v>168958</v>
          </cell>
          <cell r="B151">
            <v>37609</v>
          </cell>
          <cell r="D151" t="str">
            <v>ENTEL CHILE - 1600001741</v>
          </cell>
          <cell r="E151">
            <v>3343638</v>
          </cell>
          <cell r="F151">
            <v>8030437</v>
          </cell>
          <cell r="G151">
            <v>2610004</v>
          </cell>
          <cell r="H151">
            <v>37610</v>
          </cell>
          <cell r="I151">
            <v>0.5</v>
          </cell>
          <cell r="J151">
            <v>1</v>
          </cell>
          <cell r="K151" t="str">
            <v xml:space="preserve">7.2 </v>
          </cell>
          <cell r="M151" t="str">
            <v>S74AHK9-12202DD</v>
          </cell>
          <cell r="N151" t="str">
            <v>S74AHK9-12202DD Cisco 7400 Series IOS ENTERPRISE/FW/IDS IPSEC 3DES</v>
          </cell>
          <cell r="O151">
            <v>10500</v>
          </cell>
          <cell r="P151">
            <v>5250</v>
          </cell>
          <cell r="Q151">
            <v>4</v>
          </cell>
          <cell r="R151">
            <v>21000</v>
          </cell>
          <cell r="S151">
            <v>37671</v>
          </cell>
          <cell r="T151" t="str">
            <v>---</v>
          </cell>
          <cell r="W151" t="str">
            <v>3794919</v>
          </cell>
          <cell r="X151">
            <v>21000</v>
          </cell>
          <cell r="Z151" t="str">
            <v>2030000055</v>
          </cell>
          <cell r="AA151">
            <v>23100</v>
          </cell>
          <cell r="AB151">
            <v>37672</v>
          </cell>
          <cell r="AE151">
            <v>37739</v>
          </cell>
          <cell r="AF151" t="str">
            <v>B</v>
          </cell>
          <cell r="AG151">
            <v>2100</v>
          </cell>
          <cell r="AH151">
            <v>17</v>
          </cell>
          <cell r="AI151">
            <v>5775</v>
          </cell>
          <cell r="AJ151">
            <v>23100</v>
          </cell>
        </row>
        <row r="152">
          <cell r="A152">
            <v>168958</v>
          </cell>
          <cell r="B152">
            <v>37609</v>
          </cell>
          <cell r="D152" t="str">
            <v>ENTEL CHILE - 1600001741</v>
          </cell>
          <cell r="E152">
            <v>3343638</v>
          </cell>
          <cell r="F152">
            <v>8030437</v>
          </cell>
          <cell r="G152">
            <v>2610004</v>
          </cell>
          <cell r="H152">
            <v>37610</v>
          </cell>
          <cell r="I152">
            <v>0.5</v>
          </cell>
          <cell r="J152">
            <v>1</v>
          </cell>
          <cell r="K152" t="str">
            <v xml:space="preserve">7.3 </v>
          </cell>
          <cell r="M152" t="str">
            <v>MEM-7400ASR-512MB</v>
          </cell>
          <cell r="N152" t="str">
            <v>MEM-7400ASR-512MB 512MB Memory for Cisco 7400ASR/VPN</v>
          </cell>
          <cell r="O152">
            <v>6300</v>
          </cell>
          <cell r="P152">
            <v>3150</v>
          </cell>
          <cell r="Q152">
            <v>4</v>
          </cell>
          <cell r="R152">
            <v>12600</v>
          </cell>
          <cell r="S152">
            <v>37671</v>
          </cell>
          <cell r="T152" t="str">
            <v>---</v>
          </cell>
          <cell r="W152" t="str">
            <v>3794919</v>
          </cell>
          <cell r="X152">
            <v>12600</v>
          </cell>
          <cell r="Z152" t="str">
            <v>2030000055</v>
          </cell>
          <cell r="AA152">
            <v>13860</v>
          </cell>
          <cell r="AB152">
            <v>37672</v>
          </cell>
          <cell r="AE152">
            <v>37739</v>
          </cell>
          <cell r="AF152" t="str">
            <v>B</v>
          </cell>
          <cell r="AG152">
            <v>1260</v>
          </cell>
          <cell r="AH152">
            <v>13</v>
          </cell>
          <cell r="AI152">
            <v>3465</v>
          </cell>
          <cell r="AJ152">
            <v>13860</v>
          </cell>
        </row>
        <row r="153">
          <cell r="A153">
            <v>168958</v>
          </cell>
          <cell r="B153">
            <v>37609</v>
          </cell>
          <cell r="D153" t="str">
            <v>ENTEL CHILE - 1600001741</v>
          </cell>
          <cell r="E153">
            <v>3343638</v>
          </cell>
          <cell r="F153">
            <v>8030437</v>
          </cell>
          <cell r="G153">
            <v>2610004</v>
          </cell>
          <cell r="H153">
            <v>37610</v>
          </cell>
          <cell r="I153">
            <v>0.5</v>
          </cell>
          <cell r="J153">
            <v>1</v>
          </cell>
          <cell r="K153" t="str">
            <v xml:space="preserve">7.4 </v>
          </cell>
          <cell r="M153" t="str">
            <v>MEM-COMP-FLD64M</v>
          </cell>
          <cell r="N153" t="str">
            <v>MEM-COMP-FLD64M Cisco 7400ASR Compact Flash Disk, 64 MB</v>
          </cell>
          <cell r="O153">
            <v>400</v>
          </cell>
          <cell r="P153">
            <v>200</v>
          </cell>
          <cell r="Q153">
            <v>4</v>
          </cell>
          <cell r="R153">
            <v>800</v>
          </cell>
          <cell r="S153">
            <v>37671</v>
          </cell>
          <cell r="T153" t="str">
            <v>---</v>
          </cell>
          <cell r="W153" t="str">
            <v>3794919</v>
          </cell>
          <cell r="X153">
            <v>800</v>
          </cell>
          <cell r="Z153" t="str">
            <v>2030000055</v>
          </cell>
          <cell r="AA153">
            <v>880</v>
          </cell>
          <cell r="AB153">
            <v>37672</v>
          </cell>
          <cell r="AE153">
            <v>37739</v>
          </cell>
          <cell r="AF153" t="str">
            <v>B</v>
          </cell>
          <cell r="AG153">
            <v>80</v>
          </cell>
          <cell r="AH153">
            <v>7</v>
          </cell>
          <cell r="AI153">
            <v>220</v>
          </cell>
          <cell r="AJ153">
            <v>880</v>
          </cell>
        </row>
        <row r="154">
          <cell r="A154">
            <v>168958</v>
          </cell>
          <cell r="B154">
            <v>37609</v>
          </cell>
          <cell r="D154" t="str">
            <v>ENTEL CHILE - 1600001741</v>
          </cell>
          <cell r="E154">
            <v>3343638</v>
          </cell>
          <cell r="F154">
            <v>8030437</v>
          </cell>
          <cell r="G154">
            <v>2610004</v>
          </cell>
          <cell r="H154">
            <v>37610</v>
          </cell>
          <cell r="I154">
            <v>0.5</v>
          </cell>
          <cell r="J154">
            <v>1</v>
          </cell>
          <cell r="K154" t="str">
            <v xml:space="preserve">7.5 </v>
          </cell>
          <cell r="M154" t="str">
            <v>PA-A3-OC3MM</v>
          </cell>
          <cell r="N154" t="str">
            <v>PA-A3-OC3MM 1-Port ATM Enhanced OC3c/STM1 Multimode Port Adapter</v>
          </cell>
          <cell r="O154">
            <v>8000</v>
          </cell>
          <cell r="P154">
            <v>4000</v>
          </cell>
          <cell r="Q154">
            <v>4</v>
          </cell>
          <cell r="R154">
            <v>16000</v>
          </cell>
          <cell r="S154">
            <v>37671</v>
          </cell>
          <cell r="T154" t="str">
            <v>---</v>
          </cell>
          <cell r="W154" t="str">
            <v>3794919</v>
          </cell>
          <cell r="X154">
            <v>16000</v>
          </cell>
          <cell r="Z154" t="str">
            <v>2030000055</v>
          </cell>
          <cell r="AA154">
            <v>17600</v>
          </cell>
          <cell r="AB154">
            <v>37672</v>
          </cell>
          <cell r="AE154">
            <v>37739</v>
          </cell>
          <cell r="AF154" t="str">
            <v>B</v>
          </cell>
          <cell r="AG154">
            <v>1600</v>
          </cell>
          <cell r="AH154">
            <v>16</v>
          </cell>
          <cell r="AI154">
            <v>4400</v>
          </cell>
          <cell r="AJ154">
            <v>17600</v>
          </cell>
        </row>
        <row r="155">
          <cell r="A155">
            <v>168958</v>
          </cell>
          <cell r="B155">
            <v>37609</v>
          </cell>
          <cell r="D155" t="str">
            <v>ENTEL CHILE - 1600001741</v>
          </cell>
          <cell r="E155">
            <v>3343638</v>
          </cell>
          <cell r="F155">
            <v>8030437</v>
          </cell>
          <cell r="G155">
            <v>2610004</v>
          </cell>
          <cell r="H155">
            <v>37610</v>
          </cell>
          <cell r="I155">
            <v>0.5</v>
          </cell>
          <cell r="J155">
            <v>1</v>
          </cell>
          <cell r="K155" t="str">
            <v xml:space="preserve">7.6 </v>
          </cell>
          <cell r="M155" t="str">
            <v>GBIC-SX</v>
          </cell>
          <cell r="N155" t="str">
            <v>GBIC-SX Gigabit Intf. Converter For 1000BASE-SX (Short Wavelength)</v>
          </cell>
          <cell r="O155">
            <v>500</v>
          </cell>
          <cell r="P155">
            <v>250</v>
          </cell>
          <cell r="Q155">
            <v>8</v>
          </cell>
          <cell r="R155">
            <v>2000</v>
          </cell>
          <cell r="S155">
            <v>37671</v>
          </cell>
          <cell r="T155" t="str">
            <v>---</v>
          </cell>
          <cell r="W155" t="str">
            <v>3794919</v>
          </cell>
          <cell r="X155">
            <v>2000</v>
          </cell>
          <cell r="Z155" t="str">
            <v>2030000055</v>
          </cell>
          <cell r="AA155">
            <v>2200</v>
          </cell>
          <cell r="AB155">
            <v>37672</v>
          </cell>
          <cell r="AE155">
            <v>37739</v>
          </cell>
          <cell r="AF155" t="str">
            <v>B</v>
          </cell>
          <cell r="AG155">
            <v>200</v>
          </cell>
          <cell r="AH155">
            <v>14</v>
          </cell>
          <cell r="AI155">
            <v>275</v>
          </cell>
          <cell r="AJ155">
            <v>2200</v>
          </cell>
        </row>
        <row r="156">
          <cell r="A156">
            <v>168958</v>
          </cell>
          <cell r="B156">
            <v>37609</v>
          </cell>
          <cell r="D156" t="str">
            <v>ENTEL CHILE - 1600001741</v>
          </cell>
          <cell r="E156">
            <v>3343638</v>
          </cell>
          <cell r="F156">
            <v>8030437</v>
          </cell>
          <cell r="G156">
            <v>2610004</v>
          </cell>
          <cell r="H156">
            <v>37610</v>
          </cell>
          <cell r="I156">
            <v>0.5</v>
          </cell>
          <cell r="J156">
            <v>1</v>
          </cell>
          <cell r="K156" t="str">
            <v xml:space="preserve">7.7 </v>
          </cell>
          <cell r="M156" t="str">
            <v>FR-BUS72</v>
          </cell>
          <cell r="N156" t="str">
            <v>FR-BUS72 Cisco IOS 7200 Series Broadband User Services License</v>
          </cell>
          <cell r="O156">
            <v>0</v>
          </cell>
          <cell r="P156">
            <v>0</v>
          </cell>
          <cell r="Q156">
            <v>4</v>
          </cell>
          <cell r="R156">
            <v>0</v>
          </cell>
          <cell r="S156">
            <v>37671</v>
          </cell>
          <cell r="T156" t="str">
            <v>---</v>
          </cell>
          <cell r="W156" t="str">
            <v>3794919</v>
          </cell>
          <cell r="X156">
            <v>0</v>
          </cell>
          <cell r="Z156" t="str">
            <v>2030000055</v>
          </cell>
          <cell r="AA156">
            <v>0</v>
          </cell>
          <cell r="AB156">
            <v>37672</v>
          </cell>
          <cell r="AE156">
            <v>37739</v>
          </cell>
          <cell r="AF156" t="str">
            <v>B</v>
          </cell>
          <cell r="AG156">
            <v>0</v>
          </cell>
          <cell r="AH156">
            <v>1</v>
          </cell>
          <cell r="AI156">
            <v>0</v>
          </cell>
          <cell r="AJ156">
            <v>0</v>
          </cell>
        </row>
        <row r="157">
          <cell r="A157">
            <v>168958</v>
          </cell>
          <cell r="B157">
            <v>37609</v>
          </cell>
          <cell r="D157" t="str">
            <v>ENTEL CHILE - 1600001741</v>
          </cell>
          <cell r="E157">
            <v>3343638</v>
          </cell>
          <cell r="F157">
            <v>8030437</v>
          </cell>
          <cell r="G157">
            <v>2610004</v>
          </cell>
          <cell r="H157">
            <v>37610</v>
          </cell>
          <cell r="I157">
            <v>0.5</v>
          </cell>
          <cell r="J157">
            <v>9</v>
          </cell>
          <cell r="K157" t="str">
            <v xml:space="preserve">8.0 </v>
          </cell>
          <cell r="M157" t="str">
            <v>WS-C3550-24-DC-SMI</v>
          </cell>
          <cell r="N157" t="str">
            <v>WS-C3550-24-DC-SMI 24-10/100+2GBIC ports(DC-Pwrd):Standard Multilayer SW Image /</v>
          </cell>
          <cell r="O157">
            <v>4495</v>
          </cell>
          <cell r="P157">
            <v>2247.5</v>
          </cell>
          <cell r="Q157">
            <v>3</v>
          </cell>
          <cell r="R157">
            <v>6742.5</v>
          </cell>
          <cell r="S157">
            <v>37307</v>
          </cell>
          <cell r="T157" t="str">
            <v>---</v>
          </cell>
          <cell r="Z157" t="str">
            <v>2030000039</v>
          </cell>
          <cell r="AA157">
            <v>7416</v>
          </cell>
          <cell r="AB157">
            <v>37666</v>
          </cell>
          <cell r="AE157">
            <v>37739</v>
          </cell>
          <cell r="AF157" t="str">
            <v>D</v>
          </cell>
          <cell r="AG157">
            <v>134.85</v>
          </cell>
          <cell r="AH157">
            <v>19</v>
          </cell>
          <cell r="AI157">
            <v>2472</v>
          </cell>
          <cell r="AJ157">
            <v>7416</v>
          </cell>
        </row>
        <row r="158">
          <cell r="A158">
            <v>168958</v>
          </cell>
          <cell r="B158">
            <v>37609</v>
          </cell>
          <cell r="D158" t="str">
            <v>ENTEL CHILE - 1600001741</v>
          </cell>
          <cell r="E158">
            <v>3343638</v>
          </cell>
          <cell r="F158">
            <v>8030437</v>
          </cell>
          <cell r="G158">
            <v>2610004</v>
          </cell>
          <cell r="H158">
            <v>37610</v>
          </cell>
          <cell r="I158">
            <v>0.5</v>
          </cell>
          <cell r="J158">
            <v>1</v>
          </cell>
          <cell r="K158" t="str">
            <v xml:space="preserve">9.0 </v>
          </cell>
          <cell r="M158" t="str">
            <v>WS-G5484</v>
          </cell>
          <cell r="N158" t="str">
            <v>WS-G5484= 1000BASE-SX /</v>
          </cell>
          <cell r="O158">
            <v>500</v>
          </cell>
          <cell r="P158">
            <v>250</v>
          </cell>
          <cell r="Q158">
            <v>3</v>
          </cell>
          <cell r="R158">
            <v>750</v>
          </cell>
          <cell r="S158">
            <v>37671</v>
          </cell>
          <cell r="T158" t="str">
            <v>---</v>
          </cell>
          <cell r="W158" t="str">
            <v>3794919</v>
          </cell>
          <cell r="X158">
            <v>750</v>
          </cell>
          <cell r="Z158" t="str">
            <v>2030000055</v>
          </cell>
          <cell r="AA158">
            <v>825</v>
          </cell>
          <cell r="AB158">
            <v>37672</v>
          </cell>
          <cell r="AE158">
            <v>37739</v>
          </cell>
          <cell r="AF158" t="str">
            <v>D</v>
          </cell>
          <cell r="AG158">
            <v>15</v>
          </cell>
          <cell r="AH158">
            <v>5</v>
          </cell>
          <cell r="AI158">
            <v>275</v>
          </cell>
          <cell r="AJ158">
            <v>825</v>
          </cell>
        </row>
        <row r="159">
          <cell r="A159">
            <v>168958</v>
          </cell>
          <cell r="B159">
            <v>37609</v>
          </cell>
          <cell r="D159" t="str">
            <v>ENTEL CHILE - 1600001741</v>
          </cell>
          <cell r="E159">
            <v>3343638</v>
          </cell>
          <cell r="F159">
            <v>8030437</v>
          </cell>
          <cell r="G159">
            <v>2610004</v>
          </cell>
          <cell r="H159">
            <v>37610</v>
          </cell>
          <cell r="I159">
            <v>0.5</v>
          </cell>
          <cell r="J159">
            <v>1</v>
          </cell>
          <cell r="K159" t="str">
            <v xml:space="preserve">10.0 </v>
          </cell>
          <cell r="M159" t="str">
            <v>WS-G5486</v>
          </cell>
          <cell r="N159" t="str">
            <v>WS-G5486= 1000BASE-LX/LH /</v>
          </cell>
          <cell r="O159">
            <v>995</v>
          </cell>
          <cell r="P159">
            <v>497.5</v>
          </cell>
          <cell r="Q159">
            <v>3</v>
          </cell>
          <cell r="R159">
            <v>1492.5</v>
          </cell>
          <cell r="S159">
            <v>37671</v>
          </cell>
          <cell r="T159" t="str">
            <v>---</v>
          </cell>
          <cell r="W159" t="str">
            <v>3794919</v>
          </cell>
          <cell r="X159">
            <v>1492.5</v>
          </cell>
          <cell r="Z159" t="str">
            <v>2030000055</v>
          </cell>
          <cell r="AA159">
            <v>1641</v>
          </cell>
          <cell r="AB159">
            <v>37672</v>
          </cell>
          <cell r="AE159">
            <v>37739</v>
          </cell>
          <cell r="AF159" t="str">
            <v>D</v>
          </cell>
          <cell r="AG159">
            <v>29.85</v>
          </cell>
          <cell r="AH159">
            <v>12</v>
          </cell>
          <cell r="AI159">
            <v>547</v>
          </cell>
          <cell r="AJ159">
            <v>1641</v>
          </cell>
        </row>
        <row r="160">
          <cell r="A160">
            <v>168958</v>
          </cell>
          <cell r="B160">
            <v>37609</v>
          </cell>
          <cell r="D160" t="str">
            <v>ENTEL CHILE - 1600001741</v>
          </cell>
          <cell r="E160">
            <v>3343638</v>
          </cell>
          <cell r="F160">
            <v>8030437</v>
          </cell>
          <cell r="G160">
            <v>2610004</v>
          </cell>
          <cell r="H160">
            <v>37610</v>
          </cell>
          <cell r="I160">
            <v>0.5</v>
          </cell>
          <cell r="J160">
            <v>10</v>
          </cell>
          <cell r="K160" t="str">
            <v xml:space="preserve">11.0 </v>
          </cell>
          <cell r="M160" t="str">
            <v>WS-C6509-1300AC</v>
          </cell>
          <cell r="N160" t="str">
            <v>WS-C6509-1300AC= Catalyst 6509 Chassis w/ 1300W AC Power Supply /</v>
          </cell>
          <cell r="O160">
            <v>13990</v>
          </cell>
          <cell r="P160">
            <v>6995</v>
          </cell>
          <cell r="Q160">
            <v>1</v>
          </cell>
          <cell r="R160">
            <v>6995</v>
          </cell>
          <cell r="S160">
            <v>37307</v>
          </cell>
          <cell r="T160" t="str">
            <v>---</v>
          </cell>
          <cell r="W160" t="str">
            <v>3780714</v>
          </cell>
          <cell r="X160">
            <v>6995</v>
          </cell>
          <cell r="Z160" t="str">
            <v>2030000038</v>
          </cell>
          <cell r="AA160">
            <v>7695</v>
          </cell>
          <cell r="AB160">
            <v>37969</v>
          </cell>
          <cell r="AE160">
            <v>37739</v>
          </cell>
          <cell r="AF160" t="str">
            <v>B</v>
          </cell>
          <cell r="AG160">
            <v>699.5</v>
          </cell>
          <cell r="AH160">
            <v>10</v>
          </cell>
          <cell r="AI160">
            <v>7695</v>
          </cell>
          <cell r="AJ160">
            <v>7695</v>
          </cell>
        </row>
        <row r="161">
          <cell r="A161">
            <v>168958</v>
          </cell>
          <cell r="B161">
            <v>37609</v>
          </cell>
          <cell r="D161" t="str">
            <v>ENTEL CHILE - 1600001741</v>
          </cell>
          <cell r="E161">
            <v>3343638</v>
          </cell>
          <cell r="F161">
            <v>8030437</v>
          </cell>
          <cell r="G161">
            <v>2610004</v>
          </cell>
          <cell r="H161">
            <v>37610</v>
          </cell>
          <cell r="I161">
            <v>0.5</v>
          </cell>
          <cell r="J161">
            <v>10</v>
          </cell>
          <cell r="K161" t="str">
            <v xml:space="preserve">11.1 </v>
          </cell>
          <cell r="M161" t="str">
            <v>CAB-7513ACI</v>
          </cell>
          <cell r="N161" t="str">
            <v>CAB-7513ACI AC POWER CORD (ITALY)</v>
          </cell>
          <cell r="O161">
            <v>0</v>
          </cell>
          <cell r="P161">
            <v>0</v>
          </cell>
          <cell r="Q161">
            <v>1</v>
          </cell>
          <cell r="R161">
            <v>0</v>
          </cell>
          <cell r="S161">
            <v>37307</v>
          </cell>
          <cell r="T161" t="str">
            <v>---</v>
          </cell>
          <cell r="W161" t="str">
            <v>3780714</v>
          </cell>
          <cell r="X161">
            <v>0</v>
          </cell>
          <cell r="Z161" t="str">
            <v>2030000038</v>
          </cell>
          <cell r="AA161">
            <v>0</v>
          </cell>
          <cell r="AB161">
            <v>37969</v>
          </cell>
          <cell r="AE161">
            <v>37739</v>
          </cell>
          <cell r="AF161" t="str">
            <v>-</v>
          </cell>
          <cell r="AG161">
            <v>0</v>
          </cell>
          <cell r="AH161">
            <v>10</v>
          </cell>
          <cell r="AI161">
            <v>0</v>
          </cell>
          <cell r="AJ161">
            <v>0</v>
          </cell>
        </row>
        <row r="162">
          <cell r="A162">
            <v>168958</v>
          </cell>
          <cell r="B162">
            <v>37609</v>
          </cell>
          <cell r="D162" t="str">
            <v>ENTEL CHILE - 1600001741</v>
          </cell>
          <cell r="E162">
            <v>3343638</v>
          </cell>
          <cell r="F162">
            <v>8030437</v>
          </cell>
          <cell r="G162">
            <v>2610004</v>
          </cell>
          <cell r="H162">
            <v>37610</v>
          </cell>
          <cell r="I162">
            <v>0.5</v>
          </cell>
          <cell r="J162">
            <v>10</v>
          </cell>
          <cell r="K162" t="str">
            <v xml:space="preserve">11.2 </v>
          </cell>
          <cell r="M162" t="str">
            <v>WS-CAC-1300W</v>
          </cell>
          <cell r="N162" t="str">
            <v>WS-CAC-1300W Catalyst 6000 1300W AC Power Supply</v>
          </cell>
          <cell r="O162">
            <v>0</v>
          </cell>
          <cell r="P162">
            <v>0</v>
          </cell>
          <cell r="Q162">
            <v>1</v>
          </cell>
          <cell r="R162">
            <v>0</v>
          </cell>
          <cell r="S162">
            <v>37307</v>
          </cell>
          <cell r="T162" t="str">
            <v>---</v>
          </cell>
          <cell r="W162" t="str">
            <v>3780714</v>
          </cell>
          <cell r="X162">
            <v>0</v>
          </cell>
          <cell r="Z162" t="str">
            <v>2030000038</v>
          </cell>
          <cell r="AA162">
            <v>0</v>
          </cell>
          <cell r="AB162">
            <v>37969</v>
          </cell>
          <cell r="AE162">
            <v>37739</v>
          </cell>
          <cell r="AF162" t="str">
            <v>B</v>
          </cell>
          <cell r="AG162">
            <v>0</v>
          </cell>
          <cell r="AH162">
            <v>10</v>
          </cell>
          <cell r="AI162">
            <v>0</v>
          </cell>
          <cell r="AJ162">
            <v>0</v>
          </cell>
        </row>
        <row r="163">
          <cell r="A163">
            <v>168958</v>
          </cell>
          <cell r="B163">
            <v>37609</v>
          </cell>
          <cell r="D163" t="str">
            <v>ENTEL CHILE - 1600001741</v>
          </cell>
          <cell r="E163">
            <v>3343638</v>
          </cell>
          <cell r="F163">
            <v>8030437</v>
          </cell>
          <cell r="G163">
            <v>2610004</v>
          </cell>
          <cell r="H163">
            <v>37610</v>
          </cell>
          <cell r="I163">
            <v>0.5</v>
          </cell>
          <cell r="J163">
            <v>6</v>
          </cell>
          <cell r="K163" t="str">
            <v xml:space="preserve">12.0 </v>
          </cell>
          <cell r="M163" t="str">
            <v>WS-CAC-1300W</v>
          </cell>
          <cell r="N163" t="str">
            <v>WS-CAC-1300W= Catalyst 6000 1300W AC Power Supply,Spare /</v>
          </cell>
          <cell r="O163">
            <v>3995</v>
          </cell>
          <cell r="P163">
            <v>1997.5</v>
          </cell>
          <cell r="Q163">
            <v>1</v>
          </cell>
          <cell r="R163">
            <v>1997.5</v>
          </cell>
          <cell r="S163">
            <v>37307</v>
          </cell>
          <cell r="T163" t="str">
            <v>---</v>
          </cell>
          <cell r="W163" t="str">
            <v>3762921</v>
          </cell>
          <cell r="X163">
            <v>1997.5</v>
          </cell>
          <cell r="Z163" t="str">
            <v>2030000037</v>
          </cell>
          <cell r="AA163">
            <v>2197</v>
          </cell>
          <cell r="AB163">
            <v>37666</v>
          </cell>
          <cell r="AE163">
            <v>37739</v>
          </cell>
          <cell r="AF163" t="str">
            <v>B</v>
          </cell>
          <cell r="AG163">
            <v>199.75</v>
          </cell>
          <cell r="AH163">
            <v>2</v>
          </cell>
          <cell r="AI163">
            <v>2197</v>
          </cell>
          <cell r="AJ163">
            <v>2197</v>
          </cell>
        </row>
        <row r="164">
          <cell r="A164">
            <v>168958</v>
          </cell>
          <cell r="B164">
            <v>37609</v>
          </cell>
          <cell r="D164" t="str">
            <v>ENTEL CHILE - 1600001741</v>
          </cell>
          <cell r="E164">
            <v>3343638</v>
          </cell>
          <cell r="F164">
            <v>8030437</v>
          </cell>
          <cell r="G164">
            <v>2610004</v>
          </cell>
          <cell r="H164">
            <v>37610</v>
          </cell>
          <cell r="I164">
            <v>0.5</v>
          </cell>
          <cell r="J164">
            <v>6</v>
          </cell>
          <cell r="K164" t="str">
            <v xml:space="preserve">12.1 </v>
          </cell>
          <cell r="M164" t="str">
            <v>CAB-7513ACI</v>
          </cell>
          <cell r="N164" t="str">
            <v>CAB-7513ACI AC POWER CORD (ITALY)</v>
          </cell>
          <cell r="O164">
            <v>0</v>
          </cell>
          <cell r="P164">
            <v>0</v>
          </cell>
          <cell r="Q164">
            <v>1</v>
          </cell>
          <cell r="R164">
            <v>0</v>
          </cell>
          <cell r="S164">
            <v>37307</v>
          </cell>
          <cell r="T164" t="str">
            <v>---</v>
          </cell>
          <cell r="W164" t="str">
            <v>3762921</v>
          </cell>
          <cell r="X164">
            <v>0</v>
          </cell>
          <cell r="Z164" t="str">
            <v>2030000037</v>
          </cell>
          <cell r="AA164">
            <v>0</v>
          </cell>
          <cell r="AB164">
            <v>37666</v>
          </cell>
          <cell r="AE164">
            <v>37739</v>
          </cell>
          <cell r="AF164" t="str">
            <v>-</v>
          </cell>
          <cell r="AG164">
            <v>0</v>
          </cell>
          <cell r="AH164">
            <v>2</v>
          </cell>
          <cell r="AI164">
            <v>0</v>
          </cell>
          <cell r="AJ164">
            <v>0</v>
          </cell>
        </row>
        <row r="165">
          <cell r="A165">
            <v>168958</v>
          </cell>
          <cell r="B165">
            <v>37609</v>
          </cell>
          <cell r="D165" t="str">
            <v>ENTEL CHILE - 1600001741</v>
          </cell>
          <cell r="E165">
            <v>3343638</v>
          </cell>
          <cell r="F165">
            <v>8030437</v>
          </cell>
          <cell r="G165">
            <v>2610004</v>
          </cell>
          <cell r="H165">
            <v>37610</v>
          </cell>
          <cell r="I165">
            <v>0.5</v>
          </cell>
          <cell r="J165">
            <v>9</v>
          </cell>
          <cell r="K165" t="str">
            <v xml:space="preserve">13.0 </v>
          </cell>
          <cell r="M165" t="str">
            <v>WS-C3550-24-SMI</v>
          </cell>
          <cell r="N165" t="str">
            <v>WS-C3550-24-SMI 24-10/100 and 2 GBIC ports:Std Multilayer SW Image /</v>
          </cell>
          <cell r="O165">
            <v>2995</v>
          </cell>
          <cell r="P165">
            <v>1497.5</v>
          </cell>
          <cell r="Q165">
            <v>3</v>
          </cell>
          <cell r="R165">
            <v>4492.5</v>
          </cell>
          <cell r="S165">
            <v>37307</v>
          </cell>
          <cell r="T165" t="str">
            <v>---</v>
          </cell>
          <cell r="Z165" t="str">
            <v>2030000039</v>
          </cell>
          <cell r="AA165">
            <v>4941</v>
          </cell>
          <cell r="AB165">
            <v>37666</v>
          </cell>
          <cell r="AE165">
            <v>37739</v>
          </cell>
          <cell r="AF165" t="str">
            <v>D</v>
          </cell>
          <cell r="AG165">
            <v>89.850000000000009</v>
          </cell>
          <cell r="AH165">
            <v>3</v>
          </cell>
          <cell r="AI165">
            <v>1647</v>
          </cell>
          <cell r="AJ165">
            <v>4941</v>
          </cell>
        </row>
        <row r="166">
          <cell r="A166">
            <v>168958</v>
          </cell>
          <cell r="B166">
            <v>37609</v>
          </cell>
          <cell r="D166" t="str">
            <v>ENTEL CHILE - 1600001741</v>
          </cell>
          <cell r="E166">
            <v>3343638</v>
          </cell>
          <cell r="F166">
            <v>8030437</v>
          </cell>
          <cell r="G166">
            <v>2610004</v>
          </cell>
          <cell r="H166">
            <v>37610</v>
          </cell>
          <cell r="I166">
            <v>0.5</v>
          </cell>
          <cell r="J166">
            <v>9</v>
          </cell>
          <cell r="K166" t="str">
            <v xml:space="preserve">13.1 </v>
          </cell>
          <cell r="M166" t="str">
            <v>CAB-ACI</v>
          </cell>
          <cell r="N166" t="str">
            <v>CAB-ACI Power Cord-Italian</v>
          </cell>
          <cell r="O166">
            <v>0</v>
          </cell>
          <cell r="P166">
            <v>0</v>
          </cell>
          <cell r="Q166">
            <v>3</v>
          </cell>
          <cell r="R166">
            <v>0</v>
          </cell>
          <cell r="S166">
            <v>37307</v>
          </cell>
          <cell r="T166" t="str">
            <v>---</v>
          </cell>
          <cell r="Z166" t="str">
            <v>2030000039</v>
          </cell>
          <cell r="AA166">
            <v>0</v>
          </cell>
          <cell r="AB166">
            <v>37666</v>
          </cell>
          <cell r="AE166">
            <v>37739</v>
          </cell>
          <cell r="AF166" t="str">
            <v>-</v>
          </cell>
          <cell r="AG166">
            <v>0</v>
          </cell>
          <cell r="AH166">
            <v>3</v>
          </cell>
          <cell r="AI166">
            <v>0</v>
          </cell>
          <cell r="AJ166">
            <v>0</v>
          </cell>
        </row>
        <row r="167">
          <cell r="A167">
            <v>168958</v>
          </cell>
          <cell r="B167">
            <v>37609</v>
          </cell>
          <cell r="D167" t="str">
            <v>ENTEL CHILE - 1600001739</v>
          </cell>
          <cell r="E167">
            <v>3343638</v>
          </cell>
          <cell r="F167">
            <v>8030437</v>
          </cell>
          <cell r="G167">
            <v>2610004</v>
          </cell>
          <cell r="H167">
            <v>37610</v>
          </cell>
          <cell r="I167">
            <v>0.5</v>
          </cell>
          <cell r="J167">
            <v>2</v>
          </cell>
          <cell r="K167" t="str">
            <v xml:space="preserve">14.0 </v>
          </cell>
          <cell r="M167" t="str">
            <v>WS-C5505</v>
          </cell>
          <cell r="N167" t="str">
            <v>WS-C5505 Catalyst 5505 Chassis /</v>
          </cell>
          <cell r="O167">
            <v>1495</v>
          </cell>
          <cell r="P167">
            <v>747.5</v>
          </cell>
          <cell r="Q167">
            <v>2</v>
          </cell>
          <cell r="R167">
            <v>1495</v>
          </cell>
          <cell r="S167">
            <v>37307</v>
          </cell>
          <cell r="T167" t="str">
            <v>---</v>
          </cell>
          <cell r="W167" t="str">
            <v>3776927</v>
          </cell>
          <cell r="X167">
            <v>1495</v>
          </cell>
          <cell r="Z167" t="str">
            <v>2030000035</v>
          </cell>
          <cell r="AA167">
            <v>1644</v>
          </cell>
          <cell r="AE167">
            <v>37739</v>
          </cell>
          <cell r="AF167" t="str">
            <v>C</v>
          </cell>
          <cell r="AG167">
            <v>112.125</v>
          </cell>
          <cell r="AH167">
            <v>4</v>
          </cell>
          <cell r="AI167">
            <v>822</v>
          </cell>
          <cell r="AJ167">
            <v>1644</v>
          </cell>
        </row>
        <row r="168">
          <cell r="A168">
            <v>168958</v>
          </cell>
          <cell r="B168">
            <v>37609</v>
          </cell>
          <cell r="D168" t="str">
            <v>ENTEL CHILE - 1600001739</v>
          </cell>
          <cell r="E168">
            <v>3343638</v>
          </cell>
          <cell r="F168">
            <v>8030437</v>
          </cell>
          <cell r="G168">
            <v>2610004</v>
          </cell>
          <cell r="H168">
            <v>37610</v>
          </cell>
          <cell r="I168">
            <v>0.5</v>
          </cell>
          <cell r="J168">
            <v>2</v>
          </cell>
          <cell r="K168" t="str">
            <v xml:space="preserve">14.1 </v>
          </cell>
          <cell r="M168" t="str">
            <v>WS-C5068B</v>
          </cell>
          <cell r="N168" t="str">
            <v>WS-C5068B Catalyst 5000/5505 single DC Power Supply</v>
          </cell>
          <cell r="O168">
            <v>2195</v>
          </cell>
          <cell r="P168">
            <v>1097.5</v>
          </cell>
          <cell r="Q168">
            <v>2</v>
          </cell>
          <cell r="R168">
            <v>2195</v>
          </cell>
          <cell r="S168">
            <v>37307</v>
          </cell>
          <cell r="T168" t="str">
            <v>---</v>
          </cell>
          <cell r="W168" t="str">
            <v>3776927</v>
          </cell>
          <cell r="X168">
            <v>2195</v>
          </cell>
          <cell r="Z168" t="str">
            <v>2030000035</v>
          </cell>
          <cell r="AA168">
            <v>2414</v>
          </cell>
          <cell r="AE168">
            <v>37739</v>
          </cell>
          <cell r="AF168" t="str">
            <v>C</v>
          </cell>
          <cell r="AG168">
            <v>164.625</v>
          </cell>
          <cell r="AH168">
            <v>9</v>
          </cell>
          <cell r="AI168">
            <v>1207</v>
          </cell>
          <cell r="AJ168">
            <v>2414</v>
          </cell>
        </row>
        <row r="169">
          <cell r="A169">
            <v>168958</v>
          </cell>
          <cell r="B169">
            <v>37609</v>
          </cell>
          <cell r="D169" t="str">
            <v>ENTEL CHILE - 1600001739</v>
          </cell>
          <cell r="E169">
            <v>3343638</v>
          </cell>
          <cell r="F169">
            <v>8030437</v>
          </cell>
          <cell r="G169">
            <v>2610004</v>
          </cell>
          <cell r="H169">
            <v>37610</v>
          </cell>
          <cell r="I169">
            <v>0.5</v>
          </cell>
          <cell r="J169">
            <v>2</v>
          </cell>
          <cell r="K169" t="str">
            <v xml:space="preserve">14.2 </v>
          </cell>
          <cell r="M169" t="str">
            <v>WS-C5068B/2</v>
          </cell>
          <cell r="N169" t="str">
            <v>WS-C5068B/2 Catalyst 5000/5505 single DC Power Supply (Redundant)</v>
          </cell>
          <cell r="O169">
            <v>2195</v>
          </cell>
          <cell r="P169">
            <v>1097.5</v>
          </cell>
          <cell r="Q169">
            <v>2</v>
          </cell>
          <cell r="R169">
            <v>2195</v>
          </cell>
          <cell r="S169">
            <v>37307</v>
          </cell>
          <cell r="T169" t="str">
            <v>---</v>
          </cell>
          <cell r="W169" t="str">
            <v>3776927</v>
          </cell>
          <cell r="X169">
            <v>2195</v>
          </cell>
          <cell r="Z169" t="str">
            <v>2030000035</v>
          </cell>
          <cell r="AA169">
            <v>2414</v>
          </cell>
          <cell r="AE169">
            <v>37739</v>
          </cell>
          <cell r="AF169" t="str">
            <v>C</v>
          </cell>
          <cell r="AG169">
            <v>164.625</v>
          </cell>
          <cell r="AH169">
            <v>8</v>
          </cell>
          <cell r="AI169">
            <v>1207</v>
          </cell>
          <cell r="AJ169">
            <v>2414</v>
          </cell>
        </row>
        <row r="170">
          <cell r="A170">
            <v>168958</v>
          </cell>
          <cell r="B170">
            <v>37609</v>
          </cell>
          <cell r="D170" t="str">
            <v>ENTEL CHILE - 1600001739</v>
          </cell>
          <cell r="E170">
            <v>3343638</v>
          </cell>
          <cell r="F170">
            <v>8030437</v>
          </cell>
          <cell r="G170">
            <v>2610004</v>
          </cell>
          <cell r="H170">
            <v>37610</v>
          </cell>
          <cell r="I170">
            <v>0.5</v>
          </cell>
          <cell r="J170">
            <v>2</v>
          </cell>
          <cell r="K170" t="str">
            <v xml:space="preserve">14.3 </v>
          </cell>
          <cell r="M170" t="str">
            <v>WS-X5530-E3A</v>
          </cell>
          <cell r="N170" t="str">
            <v>WS-X5530-E3A Catalyst 5000 Family Supervisor III w/ NFFC II-A</v>
          </cell>
          <cell r="O170">
            <v>13995</v>
          </cell>
          <cell r="P170">
            <v>6997.5</v>
          </cell>
          <cell r="Q170">
            <v>2</v>
          </cell>
          <cell r="R170">
            <v>13995</v>
          </cell>
          <cell r="S170">
            <v>37307</v>
          </cell>
          <cell r="T170" t="str">
            <v>---</v>
          </cell>
          <cell r="W170" t="str">
            <v>3776927</v>
          </cell>
          <cell r="X170">
            <v>13995</v>
          </cell>
          <cell r="Z170" t="str">
            <v>2030000035</v>
          </cell>
          <cell r="AA170">
            <v>15394</v>
          </cell>
          <cell r="AE170">
            <v>37739</v>
          </cell>
          <cell r="AF170" t="str">
            <v>C</v>
          </cell>
          <cell r="AG170">
            <v>1049.625</v>
          </cell>
          <cell r="AH170">
            <v>7</v>
          </cell>
          <cell r="AI170">
            <v>7697</v>
          </cell>
          <cell r="AJ170">
            <v>15394</v>
          </cell>
        </row>
        <row r="171">
          <cell r="A171">
            <v>168958</v>
          </cell>
          <cell r="B171">
            <v>37609</v>
          </cell>
          <cell r="D171" t="str">
            <v>ENTEL CHILE - 1600001739</v>
          </cell>
          <cell r="E171">
            <v>3343638</v>
          </cell>
          <cell r="F171">
            <v>8030437</v>
          </cell>
          <cell r="G171">
            <v>2610004</v>
          </cell>
          <cell r="H171">
            <v>37610</v>
          </cell>
          <cell r="I171">
            <v>0.5</v>
          </cell>
          <cell r="J171">
            <v>2</v>
          </cell>
          <cell r="K171" t="str">
            <v xml:space="preserve">14.4 </v>
          </cell>
          <cell r="M171" t="str">
            <v>SC5K-SUP3-5.5.13</v>
          </cell>
          <cell r="N171" t="str">
            <v>SC5K-SUP3-5.5.13 Catalyst 5K Sup 3, Flash Image, Release 5.5(13)</v>
          </cell>
          <cell r="O171">
            <v>0</v>
          </cell>
          <cell r="P171">
            <v>0</v>
          </cell>
          <cell r="Q171">
            <v>2</v>
          </cell>
          <cell r="R171">
            <v>0</v>
          </cell>
          <cell r="S171">
            <v>37307</v>
          </cell>
          <cell r="T171" t="str">
            <v>---</v>
          </cell>
          <cell r="W171" t="str">
            <v>3776927</v>
          </cell>
          <cell r="X171">
            <v>0</v>
          </cell>
          <cell r="Z171" t="str">
            <v>2030000035</v>
          </cell>
          <cell r="AA171">
            <v>0.02</v>
          </cell>
          <cell r="AE171">
            <v>37739</v>
          </cell>
          <cell r="AF171" t="str">
            <v>C</v>
          </cell>
          <cell r="AG171">
            <v>0</v>
          </cell>
          <cell r="AH171">
            <v>5</v>
          </cell>
          <cell r="AI171">
            <v>0.01</v>
          </cell>
          <cell r="AJ171">
            <v>0.02</v>
          </cell>
        </row>
        <row r="172">
          <cell r="A172">
            <v>168958</v>
          </cell>
          <cell r="B172">
            <v>37609</v>
          </cell>
          <cell r="D172" t="str">
            <v>ENTEL CHILE - 1600001739</v>
          </cell>
          <cell r="E172">
            <v>3343638</v>
          </cell>
          <cell r="F172">
            <v>8030437</v>
          </cell>
          <cell r="G172">
            <v>2610004</v>
          </cell>
          <cell r="H172">
            <v>37610</v>
          </cell>
          <cell r="I172">
            <v>0.5</v>
          </cell>
          <cell r="J172">
            <v>2</v>
          </cell>
          <cell r="K172" t="str">
            <v xml:space="preserve">14.5 </v>
          </cell>
          <cell r="M172" t="str">
            <v>WS-X5234-RJ45</v>
          </cell>
          <cell r="N172" t="str">
            <v>WS-X5234-RJ45 24-port 10/100TX Switch Module (FEC,WRED,802.1Q/ISL,RJ-45)</v>
          </cell>
          <cell r="O172">
            <v>4995</v>
          </cell>
          <cell r="P172">
            <v>2497.5</v>
          </cell>
          <cell r="Q172">
            <v>6</v>
          </cell>
          <cell r="R172">
            <v>14985</v>
          </cell>
          <cell r="S172">
            <v>37307</v>
          </cell>
          <cell r="T172" t="str">
            <v>---</v>
          </cell>
          <cell r="W172" t="str">
            <v>3776927</v>
          </cell>
          <cell r="X172">
            <v>14985</v>
          </cell>
          <cell r="Z172" t="str">
            <v>2030000035</v>
          </cell>
          <cell r="AA172">
            <v>16482</v>
          </cell>
          <cell r="AE172">
            <v>37739</v>
          </cell>
          <cell r="AF172" t="str">
            <v>C</v>
          </cell>
          <cell r="AG172">
            <v>1123.875</v>
          </cell>
          <cell r="AH172">
            <v>3</v>
          </cell>
          <cell r="AI172">
            <v>2747</v>
          </cell>
          <cell r="AJ172">
            <v>16482</v>
          </cell>
        </row>
        <row r="173">
          <cell r="A173">
            <v>168958</v>
          </cell>
          <cell r="B173">
            <v>37609</v>
          </cell>
          <cell r="D173" t="str">
            <v>ENTEL CHILE - 1600001739</v>
          </cell>
          <cell r="E173">
            <v>3343638</v>
          </cell>
          <cell r="F173">
            <v>8030437</v>
          </cell>
          <cell r="G173">
            <v>2610004</v>
          </cell>
          <cell r="H173">
            <v>37610</v>
          </cell>
          <cell r="I173">
            <v>0.5</v>
          </cell>
          <cell r="J173">
            <v>5</v>
          </cell>
          <cell r="K173" t="str">
            <v xml:space="preserve">15.0 </v>
          </cell>
          <cell r="M173" t="str">
            <v>WS-X5234-RJ45</v>
          </cell>
          <cell r="N173" t="str">
            <v>WS-X5234-RJ45= 24-port 10/100TX Switch Module (FEC,WRED,802.1Q/ISL,RJ-45) /</v>
          </cell>
          <cell r="O173">
            <v>4995</v>
          </cell>
          <cell r="P173">
            <v>2497.5</v>
          </cell>
          <cell r="Q173">
            <v>1</v>
          </cell>
          <cell r="R173">
            <v>2497.5</v>
          </cell>
          <cell r="S173">
            <v>37307</v>
          </cell>
          <cell r="T173" t="str">
            <v>---</v>
          </cell>
          <cell r="W173" t="str">
            <v>3783765</v>
          </cell>
          <cell r="X173">
            <v>2497.5</v>
          </cell>
          <cell r="Z173" t="str">
            <v>2030000040</v>
          </cell>
          <cell r="AA173">
            <v>2747</v>
          </cell>
          <cell r="AB173">
            <v>37666</v>
          </cell>
          <cell r="AE173">
            <v>37739</v>
          </cell>
          <cell r="AF173" t="str">
            <v>C</v>
          </cell>
          <cell r="AG173">
            <v>187.3125</v>
          </cell>
          <cell r="AH173">
            <v>3</v>
          </cell>
          <cell r="AI173">
            <v>2747</v>
          </cell>
          <cell r="AJ173">
            <v>2747</v>
          </cell>
        </row>
        <row r="174">
          <cell r="A174">
            <v>168958</v>
          </cell>
          <cell r="B174">
            <v>37609</v>
          </cell>
          <cell r="D174" t="str">
            <v>ENTEL CHILE - 1600001739</v>
          </cell>
          <cell r="E174">
            <v>3343638</v>
          </cell>
          <cell r="F174">
            <v>8030437</v>
          </cell>
          <cell r="G174">
            <v>2610004</v>
          </cell>
          <cell r="H174">
            <v>37610</v>
          </cell>
          <cell r="I174">
            <v>0.5</v>
          </cell>
          <cell r="J174">
            <v>2</v>
          </cell>
          <cell r="K174" t="str">
            <v xml:space="preserve">16.0 </v>
          </cell>
          <cell r="M174" t="str">
            <v>WS-X5167</v>
          </cell>
          <cell r="N174" t="str">
            <v>WS-X5167= C5K ATM OC-3 LANE/MPOA module dual PHY (multimode,SC) spare /</v>
          </cell>
          <cell r="O174">
            <v>12995</v>
          </cell>
          <cell r="P174">
            <v>6497.5</v>
          </cell>
          <cell r="Q174">
            <v>2</v>
          </cell>
          <cell r="R174">
            <v>12995</v>
          </cell>
          <cell r="S174">
            <v>37307</v>
          </cell>
          <cell r="T174" t="str">
            <v>---</v>
          </cell>
          <cell r="W174" t="str">
            <v>3776927</v>
          </cell>
          <cell r="X174">
            <v>12995</v>
          </cell>
          <cell r="Z174" t="str">
            <v>2030000035</v>
          </cell>
          <cell r="AA174">
            <v>14294</v>
          </cell>
          <cell r="AE174">
            <v>37739</v>
          </cell>
          <cell r="AF174" t="str">
            <v>C</v>
          </cell>
          <cell r="AG174">
            <v>974.625</v>
          </cell>
          <cell r="AH174">
            <v>6</v>
          </cell>
          <cell r="AI174">
            <v>7147</v>
          </cell>
          <cell r="AJ174">
            <v>14294</v>
          </cell>
        </row>
        <row r="175">
          <cell r="A175">
            <v>168958</v>
          </cell>
          <cell r="B175">
            <v>37609</v>
          </cell>
          <cell r="D175" t="str">
            <v>ENTEL CHILE - 1600001741</v>
          </cell>
          <cell r="E175">
            <v>3343638</v>
          </cell>
          <cell r="F175">
            <v>8030437</v>
          </cell>
          <cell r="G175">
            <v>2610004</v>
          </cell>
          <cell r="H175">
            <v>37610</v>
          </cell>
          <cell r="I175">
            <v>0.5</v>
          </cell>
          <cell r="J175">
            <v>5</v>
          </cell>
          <cell r="K175" t="str">
            <v xml:space="preserve">17.0 </v>
          </cell>
          <cell r="M175" t="str">
            <v>WS-X5234-RJ45</v>
          </cell>
          <cell r="N175" t="str">
            <v>WS-X5234-RJ45= 24-port 10/100TX Switch Module (FEC,WRED,802.1Q/ISL,RJ-45) /</v>
          </cell>
          <cell r="O175">
            <v>4995</v>
          </cell>
          <cell r="P175">
            <v>2497.5</v>
          </cell>
          <cell r="Q175">
            <v>1</v>
          </cell>
          <cell r="R175">
            <v>2497.5</v>
          </cell>
          <cell r="S175">
            <v>37307</v>
          </cell>
          <cell r="T175" t="str">
            <v>---</v>
          </cell>
          <cell r="W175" t="str">
            <v>3783765</v>
          </cell>
          <cell r="X175">
            <v>2497.5</v>
          </cell>
          <cell r="Z175" t="str">
            <v>2030000040</v>
          </cell>
          <cell r="AA175">
            <v>2747</v>
          </cell>
          <cell r="AB175">
            <v>37666</v>
          </cell>
          <cell r="AE175">
            <v>37739</v>
          </cell>
          <cell r="AF175" t="str">
            <v>C</v>
          </cell>
          <cell r="AG175">
            <v>187.3125</v>
          </cell>
          <cell r="AH175">
            <v>4</v>
          </cell>
          <cell r="AI175">
            <v>2747</v>
          </cell>
          <cell r="AJ175">
            <v>2747</v>
          </cell>
        </row>
        <row r="176">
          <cell r="A176">
            <v>168958</v>
          </cell>
          <cell r="B176">
            <v>37609</v>
          </cell>
          <cell r="D176" t="str">
            <v>ENTEL CHILE - 1600001741</v>
          </cell>
          <cell r="E176">
            <v>3343638</v>
          </cell>
          <cell r="F176">
            <v>8030437</v>
          </cell>
          <cell r="G176">
            <v>2610004</v>
          </cell>
          <cell r="H176">
            <v>37610</v>
          </cell>
          <cell r="I176">
            <v>0.5</v>
          </cell>
          <cell r="J176">
            <v>7</v>
          </cell>
          <cell r="K176" t="str">
            <v xml:space="preserve">18.0 </v>
          </cell>
          <cell r="M176" t="str">
            <v>PA-FE-TX</v>
          </cell>
          <cell r="N176" t="str">
            <v>PA-FE-TX= 1-Port Fast Ethernet 100BaseTx Port Adapter /</v>
          </cell>
          <cell r="O176">
            <v>2500</v>
          </cell>
          <cell r="P176">
            <v>1250</v>
          </cell>
          <cell r="Q176">
            <v>1</v>
          </cell>
          <cell r="R176">
            <v>1250</v>
          </cell>
          <cell r="S176">
            <v>37307</v>
          </cell>
          <cell r="T176" t="str">
            <v>---</v>
          </cell>
          <cell r="W176" t="str">
            <v>3762921</v>
          </cell>
          <cell r="X176">
            <v>1250</v>
          </cell>
          <cell r="Z176" t="str">
            <v>2030000033</v>
          </cell>
          <cell r="AA176">
            <v>1375</v>
          </cell>
          <cell r="AB176">
            <v>37666</v>
          </cell>
          <cell r="AE176">
            <v>37739</v>
          </cell>
          <cell r="AF176" t="str">
            <v>B</v>
          </cell>
          <cell r="AG176">
            <v>125</v>
          </cell>
          <cell r="AH176">
            <v>9</v>
          </cell>
          <cell r="AI176">
            <v>1375</v>
          </cell>
          <cell r="AJ176">
            <v>1375</v>
          </cell>
        </row>
        <row r="177">
          <cell r="A177">
            <v>168958</v>
          </cell>
          <cell r="B177">
            <v>37609</v>
          </cell>
          <cell r="D177" t="str">
            <v>ENTEL CHILE - 1600001741</v>
          </cell>
          <cell r="E177">
            <v>3343638</v>
          </cell>
          <cell r="F177">
            <v>8030437</v>
          </cell>
          <cell r="G177">
            <v>2610004</v>
          </cell>
          <cell r="H177">
            <v>37610</v>
          </cell>
          <cell r="I177">
            <v>0.5</v>
          </cell>
          <cell r="J177">
            <v>3</v>
          </cell>
          <cell r="K177" t="str">
            <v xml:space="preserve">19.0 </v>
          </cell>
          <cell r="M177" t="str">
            <v>NFC-SOSU-3.6</v>
          </cell>
          <cell r="N177" t="str">
            <v>NFC-SOSU-3.6 Netflow Collector 3.6 /</v>
          </cell>
          <cell r="O177">
            <v>3000</v>
          </cell>
          <cell r="P177">
            <v>1500</v>
          </cell>
          <cell r="Q177">
            <v>1</v>
          </cell>
          <cell r="R177">
            <v>1500</v>
          </cell>
          <cell r="S177">
            <v>37307</v>
          </cell>
          <cell r="T177" t="str">
            <v>---</v>
          </cell>
          <cell r="W177" t="str">
            <v>3768303</v>
          </cell>
          <cell r="X177">
            <v>1500</v>
          </cell>
          <cell r="Z177" t="str">
            <v>2030000034</v>
          </cell>
          <cell r="AA177">
            <v>1650</v>
          </cell>
          <cell r="AB177">
            <v>37666</v>
          </cell>
          <cell r="AE177">
            <v>37739</v>
          </cell>
          <cell r="AF177" t="str">
            <v>S</v>
          </cell>
          <cell r="AG177">
            <v>37.5</v>
          </cell>
          <cell r="AH177">
            <v>11</v>
          </cell>
          <cell r="AI177">
            <v>1650</v>
          </cell>
          <cell r="AJ177">
            <v>1650</v>
          </cell>
        </row>
        <row r="178">
          <cell r="A178">
            <v>168958</v>
          </cell>
          <cell r="B178">
            <v>37609</v>
          </cell>
          <cell r="D178" t="str">
            <v>ENTEL CHILE - 1600001740</v>
          </cell>
          <cell r="E178">
            <v>3343638</v>
          </cell>
          <cell r="F178">
            <v>8030437</v>
          </cell>
          <cell r="G178">
            <v>2610004</v>
          </cell>
          <cell r="H178">
            <v>37610</v>
          </cell>
          <cell r="I178">
            <v>0.72</v>
          </cell>
          <cell r="J178">
            <v>5</v>
          </cell>
          <cell r="K178" t="str">
            <v xml:space="preserve">20.0 </v>
          </cell>
          <cell r="M178" t="str">
            <v>4OC3/ATM-MM-SC</v>
          </cell>
          <cell r="N178" t="str">
            <v>4OC3/ATM-MM-SC= 4 port OC3/STM1 multimode ATM line card, spare /</v>
          </cell>
          <cell r="O178">
            <v>37000</v>
          </cell>
          <cell r="P178">
            <v>10360.000000000002</v>
          </cell>
          <cell r="Q178">
            <v>1</v>
          </cell>
          <cell r="R178">
            <v>10360.000000000002</v>
          </cell>
          <cell r="S178">
            <v>37307</v>
          </cell>
          <cell r="T178" t="str">
            <v>---</v>
          </cell>
          <cell r="W178" t="str">
            <v>3783765</v>
          </cell>
          <cell r="X178">
            <v>10360.000000000002</v>
          </cell>
          <cell r="Z178" t="str">
            <v>2030000040</v>
          </cell>
          <cell r="AA178">
            <v>10434</v>
          </cell>
          <cell r="AB178">
            <v>37666</v>
          </cell>
          <cell r="AE178">
            <v>37739</v>
          </cell>
          <cell r="AF178" t="str">
            <v>B</v>
          </cell>
          <cell r="AG178">
            <v>1036.0000000000002</v>
          </cell>
          <cell r="AH178">
            <v>5</v>
          </cell>
          <cell r="AI178">
            <v>10434</v>
          </cell>
          <cell r="AJ178">
            <v>10434</v>
          </cell>
        </row>
        <row r="179">
          <cell r="A179">
            <v>168958</v>
          </cell>
          <cell r="B179">
            <v>37609</v>
          </cell>
          <cell r="D179" t="str">
            <v>ENTEL CHILE - 1600001740</v>
          </cell>
          <cell r="E179">
            <v>3343638</v>
          </cell>
          <cell r="F179">
            <v>8030437</v>
          </cell>
          <cell r="G179">
            <v>2610004</v>
          </cell>
          <cell r="H179">
            <v>37610</v>
          </cell>
          <cell r="I179">
            <v>0.72</v>
          </cell>
          <cell r="J179">
            <v>5</v>
          </cell>
          <cell r="K179" t="str">
            <v xml:space="preserve">20.1 </v>
          </cell>
          <cell r="M179" t="str">
            <v>MEM-GRP/LC-256</v>
          </cell>
          <cell r="N179" t="str">
            <v>MEM-GRP/LC-256 256MB GRP and L.C. Program/Route Memory (2x128MB)</v>
          </cell>
          <cell r="O179">
            <v>6700</v>
          </cell>
          <cell r="P179">
            <v>1876.0000000000002</v>
          </cell>
          <cell r="Q179">
            <v>1</v>
          </cell>
          <cell r="R179">
            <v>1876.0000000000002</v>
          </cell>
          <cell r="S179">
            <v>37307</v>
          </cell>
          <cell r="T179" t="str">
            <v>---</v>
          </cell>
          <cell r="W179" t="str">
            <v>3783765</v>
          </cell>
          <cell r="X179">
            <v>1876.0000000000002</v>
          </cell>
          <cell r="Z179" t="str">
            <v>2030000040</v>
          </cell>
          <cell r="AA179">
            <v>1889</v>
          </cell>
          <cell r="AB179">
            <v>37666</v>
          </cell>
          <cell r="AE179">
            <v>37739</v>
          </cell>
          <cell r="AF179" t="str">
            <v>B</v>
          </cell>
          <cell r="AG179">
            <v>187.60000000000002</v>
          </cell>
          <cell r="AH179">
            <v>12</v>
          </cell>
          <cell r="AI179">
            <v>1889</v>
          </cell>
          <cell r="AJ179">
            <v>1889</v>
          </cell>
        </row>
        <row r="180">
          <cell r="A180">
            <v>168958</v>
          </cell>
          <cell r="B180">
            <v>37609</v>
          </cell>
          <cell r="D180" t="str">
            <v>ENTEL CHILE - 1600001740</v>
          </cell>
          <cell r="E180">
            <v>3343638</v>
          </cell>
          <cell r="F180">
            <v>8030437</v>
          </cell>
          <cell r="G180">
            <v>2610004</v>
          </cell>
          <cell r="H180">
            <v>37610</v>
          </cell>
          <cell r="I180">
            <v>0.72</v>
          </cell>
          <cell r="J180">
            <v>4</v>
          </cell>
          <cell r="K180" t="str">
            <v xml:space="preserve">21.0 </v>
          </cell>
          <cell r="M180" t="str">
            <v>GLC-SX-MM</v>
          </cell>
          <cell r="N180" t="str">
            <v>GLC-SX-MM= GE SFP, LC connector SX transceiver /</v>
          </cell>
          <cell r="O180">
            <v>500</v>
          </cell>
          <cell r="P180">
            <v>140</v>
          </cell>
          <cell r="Q180">
            <v>2</v>
          </cell>
          <cell r="R180">
            <v>280</v>
          </cell>
          <cell r="S180">
            <v>37307</v>
          </cell>
          <cell r="T180" t="str">
            <v>---</v>
          </cell>
          <cell r="W180" t="str">
            <v>3776927</v>
          </cell>
          <cell r="X180">
            <v>280</v>
          </cell>
          <cell r="Z180" t="str">
            <v>2030000036</v>
          </cell>
          <cell r="AA180">
            <v>282</v>
          </cell>
          <cell r="AB180">
            <v>37666</v>
          </cell>
          <cell r="AE180">
            <v>37739</v>
          </cell>
          <cell r="AF180" t="str">
            <v>B</v>
          </cell>
          <cell r="AG180">
            <v>28</v>
          </cell>
          <cell r="AH180">
            <v>8</v>
          </cell>
          <cell r="AI180">
            <v>141</v>
          </cell>
          <cell r="AJ180">
            <v>282</v>
          </cell>
        </row>
        <row r="181">
          <cell r="A181">
            <v>168958</v>
          </cell>
          <cell r="B181">
            <v>37609</v>
          </cell>
          <cell r="D181" t="str">
            <v>ENTEL CHILE - 1600001740</v>
          </cell>
          <cell r="E181">
            <v>3343638</v>
          </cell>
          <cell r="F181">
            <v>8030437</v>
          </cell>
          <cell r="G181">
            <v>2610004</v>
          </cell>
          <cell r="H181">
            <v>37610</v>
          </cell>
          <cell r="I181">
            <v>0.5</v>
          </cell>
          <cell r="J181">
            <v>2</v>
          </cell>
          <cell r="K181" t="str">
            <v xml:space="preserve">22.0 </v>
          </cell>
          <cell r="M181" t="str">
            <v>WS-C5505</v>
          </cell>
          <cell r="N181" t="str">
            <v>WS-C5505 Catalyst 5505 Chassis /</v>
          </cell>
          <cell r="O181">
            <v>1495</v>
          </cell>
          <cell r="P181">
            <v>747.5</v>
          </cell>
          <cell r="Q181">
            <v>1</v>
          </cell>
          <cell r="R181">
            <v>747.5</v>
          </cell>
          <cell r="S181">
            <v>37307</v>
          </cell>
          <cell r="T181" t="str">
            <v>---</v>
          </cell>
          <cell r="W181" t="str">
            <v>3776927</v>
          </cell>
          <cell r="X181">
            <v>747.5</v>
          </cell>
          <cell r="Z181" t="str">
            <v>2030000035</v>
          </cell>
          <cell r="AA181">
            <v>822</v>
          </cell>
          <cell r="AE181">
            <v>37739</v>
          </cell>
          <cell r="AF181" t="str">
            <v>C</v>
          </cell>
          <cell r="AG181">
            <v>56.0625</v>
          </cell>
          <cell r="AH181">
            <v>10</v>
          </cell>
          <cell r="AI181">
            <v>822</v>
          </cell>
          <cell r="AJ181">
            <v>822</v>
          </cell>
        </row>
        <row r="182">
          <cell r="A182">
            <v>168958</v>
          </cell>
          <cell r="B182">
            <v>37609</v>
          </cell>
          <cell r="D182" t="str">
            <v>ENTEL CHILE - 1600001740</v>
          </cell>
          <cell r="E182">
            <v>3343638</v>
          </cell>
          <cell r="F182">
            <v>8030437</v>
          </cell>
          <cell r="G182">
            <v>2610004</v>
          </cell>
          <cell r="H182">
            <v>37610</v>
          </cell>
          <cell r="I182">
            <v>0.5</v>
          </cell>
          <cell r="J182">
            <v>2</v>
          </cell>
          <cell r="K182" t="str">
            <v xml:space="preserve">22.1 </v>
          </cell>
          <cell r="M182" t="str">
            <v>WS-C5068B</v>
          </cell>
          <cell r="N182" t="str">
            <v>WS-C5068B Catalyst 5000/5505 single DC Power Supply</v>
          </cell>
          <cell r="O182">
            <v>2195</v>
          </cell>
          <cell r="P182">
            <v>1097.5</v>
          </cell>
          <cell r="Q182">
            <v>1</v>
          </cell>
          <cell r="R182">
            <v>1097.5</v>
          </cell>
          <cell r="S182">
            <v>37307</v>
          </cell>
          <cell r="T182" t="str">
            <v>---</v>
          </cell>
          <cell r="W182" t="str">
            <v>3776927</v>
          </cell>
          <cell r="X182">
            <v>1097.5</v>
          </cell>
          <cell r="Z182" t="str">
            <v>2030000035</v>
          </cell>
          <cell r="AA182">
            <v>1207</v>
          </cell>
          <cell r="AE182">
            <v>37739</v>
          </cell>
          <cell r="AF182" t="str">
            <v>C</v>
          </cell>
          <cell r="AG182">
            <v>82.3125</v>
          </cell>
          <cell r="AH182">
            <v>4</v>
          </cell>
          <cell r="AI182">
            <v>1207</v>
          </cell>
          <cell r="AJ182">
            <v>1207</v>
          </cell>
        </row>
        <row r="183">
          <cell r="A183">
            <v>168958</v>
          </cell>
          <cell r="B183">
            <v>37609</v>
          </cell>
          <cell r="D183" t="str">
            <v>ENTEL CHILE - 1600001740</v>
          </cell>
          <cell r="E183">
            <v>3343638</v>
          </cell>
          <cell r="F183">
            <v>8030437</v>
          </cell>
          <cell r="G183">
            <v>2610004</v>
          </cell>
          <cell r="H183">
            <v>37610</v>
          </cell>
          <cell r="I183">
            <v>0.5</v>
          </cell>
          <cell r="J183">
            <v>2</v>
          </cell>
          <cell r="K183" t="str">
            <v xml:space="preserve">22.1 </v>
          </cell>
          <cell r="M183" t="str">
            <v>WS-C5068B</v>
          </cell>
          <cell r="N183" t="str">
            <v>WS-C5068B Catalyst 5000/5505 single DC Power Supply</v>
          </cell>
          <cell r="O183">
            <v>2195</v>
          </cell>
          <cell r="P183">
            <v>1097.5</v>
          </cell>
          <cell r="Q183">
            <v>1</v>
          </cell>
          <cell r="R183">
            <v>1097.5</v>
          </cell>
          <cell r="S183">
            <v>37307</v>
          </cell>
          <cell r="T183" t="str">
            <v>---</v>
          </cell>
          <cell r="W183" t="str">
            <v>3776927</v>
          </cell>
          <cell r="X183">
            <v>1097.5</v>
          </cell>
          <cell r="Z183" t="str">
            <v>2030000035</v>
          </cell>
          <cell r="AA183">
            <v>1207</v>
          </cell>
          <cell r="AE183">
            <v>37739</v>
          </cell>
          <cell r="AF183" t="str">
            <v>C</v>
          </cell>
          <cell r="AG183">
            <v>82.3125</v>
          </cell>
          <cell r="AH183">
            <v>11</v>
          </cell>
          <cell r="AI183">
            <v>1207</v>
          </cell>
          <cell r="AJ183">
            <v>1207</v>
          </cell>
        </row>
        <row r="184">
          <cell r="A184">
            <v>168958</v>
          </cell>
          <cell r="B184">
            <v>37609</v>
          </cell>
          <cell r="D184" t="str">
            <v>ENTEL CHILE - 1600001740</v>
          </cell>
          <cell r="E184">
            <v>3343638</v>
          </cell>
          <cell r="F184">
            <v>8030437</v>
          </cell>
          <cell r="G184">
            <v>2610004</v>
          </cell>
          <cell r="H184">
            <v>37610</v>
          </cell>
          <cell r="I184">
            <v>0.5</v>
          </cell>
          <cell r="J184">
            <v>2</v>
          </cell>
          <cell r="K184" t="str">
            <v xml:space="preserve">22.2 </v>
          </cell>
          <cell r="M184" t="str">
            <v>WS-X5550</v>
          </cell>
          <cell r="N184" t="str">
            <v>WS-X5550 Catalyst 5500/5000 Supervisor IIIG</v>
          </cell>
          <cell r="O184">
            <v>13995</v>
          </cell>
          <cell r="P184">
            <v>6997.5</v>
          </cell>
          <cell r="Q184">
            <v>2</v>
          </cell>
          <cell r="R184">
            <v>13995</v>
          </cell>
          <cell r="S184">
            <v>37307</v>
          </cell>
          <cell r="T184" t="str">
            <v>---</v>
          </cell>
          <cell r="W184" t="str">
            <v>3776927</v>
          </cell>
          <cell r="X184">
            <v>13995</v>
          </cell>
          <cell r="Z184" t="str">
            <v>2030000035</v>
          </cell>
          <cell r="AA184">
            <v>15394</v>
          </cell>
          <cell r="AE184">
            <v>37739</v>
          </cell>
          <cell r="AF184" t="str">
            <v>C</v>
          </cell>
          <cell r="AG184">
            <v>1049.625</v>
          </cell>
          <cell r="AH184">
            <v>3</v>
          </cell>
          <cell r="AI184">
            <v>7697</v>
          </cell>
          <cell r="AJ184">
            <v>15394</v>
          </cell>
        </row>
        <row r="185">
          <cell r="A185">
            <v>168958</v>
          </cell>
          <cell r="B185">
            <v>37609</v>
          </cell>
          <cell r="D185" t="str">
            <v>ENTEL CHILE - 1600001740</v>
          </cell>
          <cell r="E185">
            <v>3343638</v>
          </cell>
          <cell r="F185">
            <v>8030437</v>
          </cell>
          <cell r="G185">
            <v>2610004</v>
          </cell>
          <cell r="H185">
            <v>37610</v>
          </cell>
          <cell r="I185">
            <v>0.5</v>
          </cell>
          <cell r="J185">
            <v>2</v>
          </cell>
          <cell r="K185" t="str">
            <v xml:space="preserve">22.3 </v>
          </cell>
          <cell r="M185" t="str">
            <v>SC5K-SUPG-6.3.5</v>
          </cell>
          <cell r="N185" t="str">
            <v>SC5K-SUPG-6.3.5 Catalyst 5K Supervisor 3G, Flash Image, Release 6.3.5</v>
          </cell>
          <cell r="O185">
            <v>0</v>
          </cell>
          <cell r="P185">
            <v>0</v>
          </cell>
          <cell r="Q185">
            <v>1</v>
          </cell>
          <cell r="R185">
            <v>0</v>
          </cell>
          <cell r="S185">
            <v>37307</v>
          </cell>
          <cell r="T185" t="str">
            <v>---</v>
          </cell>
          <cell r="W185" t="str">
            <v>3776927</v>
          </cell>
          <cell r="X185">
            <v>0</v>
          </cell>
          <cell r="Z185" t="str">
            <v>2030000035</v>
          </cell>
          <cell r="AA185">
            <v>0.01</v>
          </cell>
          <cell r="AE185">
            <v>37739</v>
          </cell>
          <cell r="AF185" t="str">
            <v>C</v>
          </cell>
          <cell r="AG185">
            <v>0</v>
          </cell>
          <cell r="AH185">
            <v>14</v>
          </cell>
          <cell r="AI185">
            <v>0.01</v>
          </cell>
          <cell r="AJ185">
            <v>0.01</v>
          </cell>
        </row>
        <row r="186">
          <cell r="A186">
            <v>168958</v>
          </cell>
          <cell r="B186">
            <v>37609</v>
          </cell>
          <cell r="D186" t="str">
            <v>ENTEL CHILE - 1600001740</v>
          </cell>
          <cell r="E186">
            <v>3343638</v>
          </cell>
          <cell r="F186">
            <v>8030437</v>
          </cell>
          <cell r="G186">
            <v>2610004</v>
          </cell>
          <cell r="H186">
            <v>37610</v>
          </cell>
          <cell r="I186">
            <v>0.5</v>
          </cell>
          <cell r="J186">
            <v>2</v>
          </cell>
          <cell r="K186" t="str">
            <v xml:space="preserve">22.4 </v>
          </cell>
          <cell r="M186" t="str">
            <v>WS-G5484</v>
          </cell>
          <cell r="N186" t="str">
            <v>WS-G5484 1000BASE-SX Short Wavelength GBIC (Multimode only)</v>
          </cell>
          <cell r="O186">
            <v>500</v>
          </cell>
          <cell r="P186">
            <v>250</v>
          </cell>
          <cell r="Q186">
            <v>2</v>
          </cell>
          <cell r="R186">
            <v>500</v>
          </cell>
          <cell r="S186">
            <v>37307</v>
          </cell>
          <cell r="T186" t="str">
            <v>---</v>
          </cell>
          <cell r="W186" t="str">
            <v>3776927</v>
          </cell>
          <cell r="X186">
            <v>500</v>
          </cell>
          <cell r="Z186" t="str">
            <v>2030000035</v>
          </cell>
          <cell r="AA186">
            <v>550</v>
          </cell>
          <cell r="AE186">
            <v>37739</v>
          </cell>
          <cell r="AF186" t="str">
            <v>D</v>
          </cell>
          <cell r="AG186">
            <v>10</v>
          </cell>
          <cell r="AH186">
            <v>1</v>
          </cell>
          <cell r="AI186">
            <v>275</v>
          </cell>
          <cell r="AJ186">
            <v>550</v>
          </cell>
        </row>
        <row r="187">
          <cell r="A187">
            <v>168958</v>
          </cell>
          <cell r="B187">
            <v>37609</v>
          </cell>
          <cell r="D187" t="str">
            <v>ENTEL CHILE - 1600001740</v>
          </cell>
          <cell r="E187">
            <v>3343638</v>
          </cell>
          <cell r="F187">
            <v>8030437</v>
          </cell>
          <cell r="G187">
            <v>2610004</v>
          </cell>
          <cell r="H187">
            <v>37610</v>
          </cell>
          <cell r="I187">
            <v>0.5</v>
          </cell>
          <cell r="J187">
            <v>2</v>
          </cell>
          <cell r="K187" t="str">
            <v xml:space="preserve">22.5 </v>
          </cell>
          <cell r="M187" t="str">
            <v>WS-X5234-RJ45</v>
          </cell>
          <cell r="N187" t="str">
            <v>WS-X5234-RJ45 24-port 10/100TX Switch Module (FEC,WRED,802.1Q/ISL,RJ-45)</v>
          </cell>
          <cell r="O187">
            <v>4995</v>
          </cell>
          <cell r="P187">
            <v>2497.5</v>
          </cell>
          <cell r="Q187">
            <v>2</v>
          </cell>
          <cell r="R187">
            <v>4995</v>
          </cell>
          <cell r="S187">
            <v>37307</v>
          </cell>
          <cell r="T187" t="str">
            <v>---</v>
          </cell>
          <cell r="W187" t="str">
            <v>3776927</v>
          </cell>
          <cell r="X187">
            <v>4995</v>
          </cell>
          <cell r="Z187" t="str">
            <v>2030000035</v>
          </cell>
          <cell r="AA187">
            <v>5494</v>
          </cell>
          <cell r="AE187">
            <v>37739</v>
          </cell>
          <cell r="AF187" t="str">
            <v>C</v>
          </cell>
          <cell r="AG187">
            <v>374.625</v>
          </cell>
          <cell r="AH187">
            <v>2</v>
          </cell>
          <cell r="AI187">
            <v>2747</v>
          </cell>
          <cell r="AJ187">
            <v>5494</v>
          </cell>
        </row>
        <row r="188">
          <cell r="A188">
            <v>168958</v>
          </cell>
          <cell r="B188">
            <v>37609</v>
          </cell>
          <cell r="D188" t="str">
            <v>ENTEL CHILE - 1600001740</v>
          </cell>
          <cell r="E188">
            <v>3343638</v>
          </cell>
          <cell r="F188">
            <v>8030437</v>
          </cell>
          <cell r="G188">
            <v>2610004</v>
          </cell>
          <cell r="H188">
            <v>37610</v>
          </cell>
          <cell r="I188">
            <v>0.5</v>
          </cell>
          <cell r="J188">
            <v>2</v>
          </cell>
          <cell r="K188" t="str">
            <v xml:space="preserve">22.6 </v>
          </cell>
          <cell r="M188" t="str">
            <v>WS-X5167</v>
          </cell>
          <cell r="N188" t="str">
            <v>WS-X5167 C5K ATM OC-3 LANE/MPOA module dual PHY (multimode, SC)</v>
          </cell>
          <cell r="O188">
            <v>12995</v>
          </cell>
          <cell r="P188">
            <v>6497.5</v>
          </cell>
          <cell r="Q188">
            <v>1</v>
          </cell>
          <cell r="R188">
            <v>6497.5</v>
          </cell>
          <cell r="S188">
            <v>37307</v>
          </cell>
          <cell r="T188" t="str">
            <v>---</v>
          </cell>
          <cell r="W188" t="str">
            <v>3776927</v>
          </cell>
          <cell r="X188">
            <v>6497.5</v>
          </cell>
          <cell r="Z188" t="str">
            <v>2030000035</v>
          </cell>
          <cell r="AA188">
            <v>7147</v>
          </cell>
          <cell r="AE188">
            <v>37739</v>
          </cell>
          <cell r="AF188" t="str">
            <v>C</v>
          </cell>
          <cell r="AG188">
            <v>487.3125</v>
          </cell>
          <cell r="AH188">
            <v>6</v>
          </cell>
          <cell r="AI188">
            <v>7147</v>
          </cell>
          <cell r="AJ188">
            <v>7147</v>
          </cell>
        </row>
        <row r="189">
          <cell r="A189">
            <v>168958</v>
          </cell>
          <cell r="B189">
            <v>37609</v>
          </cell>
          <cell r="D189" t="str">
            <v>ENTEL CHILE - 1600001740</v>
          </cell>
          <cell r="E189">
            <v>3343638</v>
          </cell>
          <cell r="F189">
            <v>8030437</v>
          </cell>
          <cell r="G189">
            <v>2610004</v>
          </cell>
          <cell r="H189">
            <v>37610</v>
          </cell>
          <cell r="I189">
            <v>0.5</v>
          </cell>
          <cell r="J189">
            <v>2</v>
          </cell>
          <cell r="K189" t="str">
            <v xml:space="preserve">22.7 </v>
          </cell>
          <cell r="M189" t="str">
            <v>SC5ALC-12.0.22W</v>
          </cell>
          <cell r="N189" t="str">
            <v>SC5ALC-12.0.22W Cisco Cat5K ATM Series IOS TRAFFIC SHAPING MPOA/LANE/RFC1483</v>
          </cell>
          <cell r="O189">
            <v>0</v>
          </cell>
          <cell r="P189">
            <v>0</v>
          </cell>
          <cell r="Q189">
            <v>1</v>
          </cell>
          <cell r="R189">
            <v>0</v>
          </cell>
          <cell r="S189">
            <v>37307</v>
          </cell>
          <cell r="T189" t="str">
            <v>---</v>
          </cell>
          <cell r="W189" t="str">
            <v>3776927</v>
          </cell>
          <cell r="X189">
            <v>0</v>
          </cell>
          <cell r="Z189" t="str">
            <v>2030000035</v>
          </cell>
          <cell r="AA189">
            <v>0.01</v>
          </cell>
          <cell r="AE189">
            <v>37739</v>
          </cell>
          <cell r="AF189" t="str">
            <v>C</v>
          </cell>
          <cell r="AG189">
            <v>0</v>
          </cell>
          <cell r="AH189">
            <v>7</v>
          </cell>
          <cell r="AI189">
            <v>0.01</v>
          </cell>
          <cell r="AJ189">
            <v>0.01</v>
          </cell>
        </row>
        <row r="190">
          <cell r="A190">
            <v>168958</v>
          </cell>
          <cell r="B190">
            <v>37609</v>
          </cell>
          <cell r="D190" t="str">
            <v>ENTEL CHILE - 1600001740</v>
          </cell>
          <cell r="E190">
            <v>3343638</v>
          </cell>
          <cell r="F190">
            <v>8030437</v>
          </cell>
          <cell r="G190">
            <v>2610004</v>
          </cell>
          <cell r="H190">
            <v>37610</v>
          </cell>
          <cell r="I190">
            <v>0.5</v>
          </cell>
          <cell r="J190">
            <v>9</v>
          </cell>
          <cell r="K190" t="str">
            <v xml:space="preserve">23.0 </v>
          </cell>
          <cell r="M190" t="str">
            <v>WS-C3550-24-DC-SMI</v>
          </cell>
          <cell r="N190" t="str">
            <v>WS-C3550-24-DC-SMI 24-10/100+2GBIC ports(DC-Pwrd):Standard Multilayer SW Image /</v>
          </cell>
          <cell r="O190">
            <v>4495</v>
          </cell>
          <cell r="P190">
            <v>2247.5</v>
          </cell>
          <cell r="Q190">
            <v>4</v>
          </cell>
          <cell r="R190">
            <v>8990</v>
          </cell>
          <cell r="S190">
            <v>37307</v>
          </cell>
          <cell r="T190" t="str">
            <v>---</v>
          </cell>
          <cell r="Z190" t="str">
            <v>2030000039</v>
          </cell>
          <cell r="AA190">
            <v>9888</v>
          </cell>
          <cell r="AB190">
            <v>37666</v>
          </cell>
          <cell r="AE190">
            <v>37739</v>
          </cell>
          <cell r="AF190" t="str">
            <v>D</v>
          </cell>
          <cell r="AG190">
            <v>179.8</v>
          </cell>
          <cell r="AH190">
            <v>15</v>
          </cell>
          <cell r="AI190">
            <v>2472</v>
          </cell>
          <cell r="AJ190">
            <v>9888</v>
          </cell>
        </row>
        <row r="191">
          <cell r="A191">
            <v>168958</v>
          </cell>
          <cell r="B191">
            <v>37609</v>
          </cell>
          <cell r="D191" t="str">
            <v>ENTEL CHILE - 1600001740</v>
          </cell>
          <cell r="E191">
            <v>3343638</v>
          </cell>
          <cell r="F191">
            <v>8030437</v>
          </cell>
          <cell r="G191">
            <v>2610004</v>
          </cell>
          <cell r="H191">
            <v>37610</v>
          </cell>
          <cell r="I191">
            <v>0.5</v>
          </cell>
          <cell r="J191">
            <v>9</v>
          </cell>
          <cell r="K191" t="str">
            <v xml:space="preserve">24.0 </v>
          </cell>
          <cell r="M191" t="str">
            <v>WS-C3550-48-SMI</v>
          </cell>
          <cell r="N191" t="str">
            <v>WS-C3550-48-SMI 48-10/100 and 2 GBIC ports:Std Multilayer SW Image /</v>
          </cell>
          <cell r="O191">
            <v>4995</v>
          </cell>
          <cell r="P191">
            <v>2497.5</v>
          </cell>
          <cell r="Q191">
            <v>2</v>
          </cell>
          <cell r="R191">
            <v>4995</v>
          </cell>
          <cell r="S191">
            <v>37307</v>
          </cell>
          <cell r="T191" t="str">
            <v>---</v>
          </cell>
          <cell r="Z191" t="str">
            <v>2030000039</v>
          </cell>
          <cell r="AA191">
            <v>5494</v>
          </cell>
          <cell r="AB191">
            <v>37666</v>
          </cell>
          <cell r="AE191">
            <v>37739</v>
          </cell>
          <cell r="AF191" t="str">
            <v>D</v>
          </cell>
          <cell r="AG191">
            <v>99.9</v>
          </cell>
          <cell r="AH191">
            <v>13</v>
          </cell>
          <cell r="AI191">
            <v>2747</v>
          </cell>
          <cell r="AJ191">
            <v>5494</v>
          </cell>
        </row>
        <row r="192">
          <cell r="A192">
            <v>168958</v>
          </cell>
          <cell r="B192">
            <v>37609</v>
          </cell>
          <cell r="D192" t="str">
            <v>ENTEL CHILE - 1600001740</v>
          </cell>
          <cell r="E192">
            <v>3343638</v>
          </cell>
          <cell r="F192">
            <v>8030437</v>
          </cell>
          <cell r="G192">
            <v>2610004</v>
          </cell>
          <cell r="H192">
            <v>37610</v>
          </cell>
          <cell r="I192">
            <v>0.5</v>
          </cell>
          <cell r="J192">
            <v>9</v>
          </cell>
          <cell r="K192" t="str">
            <v xml:space="preserve">24.1 </v>
          </cell>
          <cell r="M192" t="str">
            <v>CAB-ACI</v>
          </cell>
          <cell r="N192" t="str">
            <v>CAB-ACI Power Cord-Italian</v>
          </cell>
          <cell r="O192">
            <v>0</v>
          </cell>
          <cell r="P192">
            <v>0</v>
          </cell>
          <cell r="Q192">
            <v>2</v>
          </cell>
          <cell r="R192">
            <v>0</v>
          </cell>
          <cell r="S192">
            <v>37307</v>
          </cell>
          <cell r="T192" t="str">
            <v>---</v>
          </cell>
          <cell r="Z192" t="str">
            <v>2030000039</v>
          </cell>
          <cell r="AA192">
            <v>0</v>
          </cell>
          <cell r="AB192">
            <v>37666</v>
          </cell>
          <cell r="AE192">
            <v>37739</v>
          </cell>
          <cell r="AF192" t="str">
            <v>-</v>
          </cell>
          <cell r="AG192">
            <v>0</v>
          </cell>
          <cell r="AH192">
            <v>13</v>
          </cell>
          <cell r="AI192">
            <v>0</v>
          </cell>
          <cell r="AJ192">
            <v>0</v>
          </cell>
        </row>
        <row r="193">
          <cell r="A193">
            <v>168958</v>
          </cell>
          <cell r="B193">
            <v>37609</v>
          </cell>
          <cell r="D193" t="str">
            <v>ENTEL CHILE - 1600001740</v>
          </cell>
          <cell r="E193">
            <v>3343638</v>
          </cell>
          <cell r="F193">
            <v>8030437</v>
          </cell>
          <cell r="G193">
            <v>2610004</v>
          </cell>
          <cell r="H193">
            <v>37610</v>
          </cell>
          <cell r="I193">
            <v>0.5</v>
          </cell>
          <cell r="J193">
            <v>1</v>
          </cell>
          <cell r="K193" t="str">
            <v xml:space="preserve">25.0 </v>
          </cell>
          <cell r="M193" t="str">
            <v>WS-G5484</v>
          </cell>
          <cell r="N193" t="str">
            <v>WS-G5484= 1000BASE-SX /</v>
          </cell>
          <cell r="O193">
            <v>500</v>
          </cell>
          <cell r="P193">
            <v>250</v>
          </cell>
          <cell r="Q193">
            <v>6</v>
          </cell>
          <cell r="R193">
            <v>1500</v>
          </cell>
          <cell r="S193">
            <v>37671</v>
          </cell>
          <cell r="T193" t="str">
            <v>---</v>
          </cell>
          <cell r="W193" t="str">
            <v>3794919</v>
          </cell>
          <cell r="X193">
            <v>1500</v>
          </cell>
          <cell r="Z193" t="str">
            <v>2030000055</v>
          </cell>
          <cell r="AA193">
            <v>1650</v>
          </cell>
          <cell r="AB193">
            <v>37672</v>
          </cell>
          <cell r="AE193">
            <v>37739</v>
          </cell>
          <cell r="AF193" t="str">
            <v>D</v>
          </cell>
          <cell r="AG193">
            <v>30</v>
          </cell>
          <cell r="AH193">
            <v>1</v>
          </cell>
          <cell r="AI193">
            <v>275</v>
          </cell>
          <cell r="AJ193">
            <v>1650</v>
          </cell>
        </row>
        <row r="194">
          <cell r="A194">
            <v>168958</v>
          </cell>
          <cell r="B194">
            <v>37616</v>
          </cell>
          <cell r="D194" t="str">
            <v>ENTEL CHILE - 1600001741</v>
          </cell>
          <cell r="E194">
            <v>3368042</v>
          </cell>
          <cell r="F194">
            <v>8058206</v>
          </cell>
          <cell r="G194">
            <v>2607336</v>
          </cell>
          <cell r="H194">
            <v>37672</v>
          </cell>
          <cell r="I194">
            <v>0.5</v>
          </cell>
          <cell r="J194">
            <v>1</v>
          </cell>
          <cell r="K194" t="str">
            <v>1.0</v>
          </cell>
          <cell r="M194" t="str">
            <v>AIR-ANT4941</v>
          </cell>
          <cell r="N194" t="str">
            <v>2,4 GHZ, 2.2 DIPOLE ANTENNA w/ RP-TNC connector</v>
          </cell>
          <cell r="O194">
            <v>19</v>
          </cell>
          <cell r="P194">
            <v>9.5</v>
          </cell>
          <cell r="Q194">
            <v>6</v>
          </cell>
          <cell r="R194">
            <v>57</v>
          </cell>
          <cell r="S194">
            <v>37680</v>
          </cell>
          <cell r="T194" t="str">
            <v>---</v>
          </cell>
          <cell r="W194" t="str">
            <v>3818008</v>
          </cell>
          <cell r="X194">
            <v>57</v>
          </cell>
          <cell r="Z194" t="str">
            <v>2030000115</v>
          </cell>
          <cell r="AA194">
            <v>60</v>
          </cell>
          <cell r="AB194">
            <v>37693</v>
          </cell>
          <cell r="AE194">
            <v>37739</v>
          </cell>
          <cell r="AF194" t="str">
            <v>-</v>
          </cell>
          <cell r="AG194">
            <v>0</v>
          </cell>
          <cell r="AH194">
            <v>22</v>
          </cell>
          <cell r="AI194">
            <v>10</v>
          </cell>
          <cell r="AJ194">
            <v>60</v>
          </cell>
        </row>
        <row r="195">
          <cell r="A195">
            <v>168958</v>
          </cell>
          <cell r="B195">
            <v>37609</v>
          </cell>
          <cell r="D195" t="str">
            <v>ENTEL CHILE - 1600001741</v>
          </cell>
          <cell r="E195">
            <v>3343638</v>
          </cell>
          <cell r="F195">
            <v>8030437</v>
          </cell>
          <cell r="G195">
            <v>2610004</v>
          </cell>
          <cell r="H195">
            <v>37610</v>
          </cell>
          <cell r="I195">
            <v>0.5</v>
          </cell>
          <cell r="J195">
            <v>8</v>
          </cell>
          <cell r="K195" t="str">
            <v xml:space="preserve">26.0 </v>
          </cell>
          <cell r="M195" t="str">
            <v>AIR-AP352E2R-E-K9</v>
          </cell>
          <cell r="N195" t="str">
            <v>AIR-AP352E2R-E-K9 802.11b 100 mW AP w/Line Pwr, Dual RP-TNC, ETSI Cnfg /</v>
          </cell>
          <cell r="O195">
            <v>849</v>
          </cell>
          <cell r="P195">
            <v>424.5</v>
          </cell>
          <cell r="Q195">
            <v>3</v>
          </cell>
          <cell r="R195">
            <v>1273.5</v>
          </cell>
          <cell r="S195">
            <v>37307</v>
          </cell>
          <cell r="T195" t="str">
            <v>---</v>
          </cell>
          <cell r="W195" t="str">
            <v>3798486</v>
          </cell>
          <cell r="X195">
            <v>1273.5</v>
          </cell>
          <cell r="Z195" t="str">
            <v>2030000063</v>
          </cell>
          <cell r="AA195">
            <v>1401</v>
          </cell>
          <cell r="AB195">
            <v>37676</v>
          </cell>
          <cell r="AE195">
            <v>37739</v>
          </cell>
          <cell r="AF195" t="str">
            <v>D</v>
          </cell>
          <cell r="AG195">
            <v>25.47</v>
          </cell>
          <cell r="AH195">
            <v>21</v>
          </cell>
          <cell r="AI195">
            <v>467</v>
          </cell>
          <cell r="AJ195">
            <v>1401</v>
          </cell>
        </row>
        <row r="196">
          <cell r="A196">
            <v>168958</v>
          </cell>
          <cell r="B196">
            <v>37609</v>
          </cell>
          <cell r="D196" t="str">
            <v>ENTEL CHILE - 1600001741</v>
          </cell>
          <cell r="E196">
            <v>3343638</v>
          </cell>
          <cell r="F196">
            <v>8030437</v>
          </cell>
          <cell r="G196">
            <v>2610004</v>
          </cell>
          <cell r="H196">
            <v>37610</v>
          </cell>
          <cell r="I196">
            <v>0.5</v>
          </cell>
          <cell r="J196">
            <v>8</v>
          </cell>
          <cell r="K196" t="str">
            <v xml:space="preserve">26.1 </v>
          </cell>
          <cell r="M196" t="str">
            <v>AIR-PWR-CORD-IT</v>
          </cell>
          <cell r="N196" t="str">
            <v>AIR-PWR-CORD-IT AIR Line Cord Italy</v>
          </cell>
          <cell r="O196">
            <v>0</v>
          </cell>
          <cell r="P196">
            <v>0</v>
          </cell>
          <cell r="Q196">
            <v>3</v>
          </cell>
          <cell r="R196">
            <v>0</v>
          </cell>
          <cell r="S196">
            <v>37307</v>
          </cell>
          <cell r="T196" t="str">
            <v>---</v>
          </cell>
          <cell r="W196" t="str">
            <v>3798486</v>
          </cell>
          <cell r="X196">
            <v>0</v>
          </cell>
          <cell r="Z196" t="str">
            <v>2030000063</v>
          </cell>
          <cell r="AA196">
            <v>0</v>
          </cell>
          <cell r="AB196">
            <v>37676</v>
          </cell>
          <cell r="AE196">
            <v>37739</v>
          </cell>
          <cell r="AF196" t="str">
            <v>D</v>
          </cell>
          <cell r="AG196">
            <v>0</v>
          </cell>
          <cell r="AH196">
            <v>21</v>
          </cell>
          <cell r="AI196">
            <v>0</v>
          </cell>
          <cell r="AJ196">
            <v>0</v>
          </cell>
        </row>
        <row r="197">
          <cell r="A197">
            <v>168958</v>
          </cell>
          <cell r="B197">
            <v>37609</v>
          </cell>
          <cell r="D197" t="str">
            <v>ENTEL CHILE - 1600001741</v>
          </cell>
          <cell r="E197">
            <v>3343638</v>
          </cell>
          <cell r="F197">
            <v>8030437</v>
          </cell>
          <cell r="G197">
            <v>2610004</v>
          </cell>
          <cell r="H197">
            <v>37610</v>
          </cell>
          <cell r="I197">
            <v>0.5</v>
          </cell>
          <cell r="J197">
            <v>8</v>
          </cell>
          <cell r="K197" t="str">
            <v xml:space="preserve">27.0 </v>
          </cell>
          <cell r="M197" t="str">
            <v>AIR-PCM352</v>
          </cell>
          <cell r="N197" t="str">
            <v>AIR-PCM352 802.11b PC Card w/Integrated Antenna /</v>
          </cell>
          <cell r="O197">
            <v>169</v>
          </cell>
          <cell r="P197">
            <v>84.5</v>
          </cell>
          <cell r="Q197">
            <v>5</v>
          </cell>
          <cell r="R197">
            <v>422.5</v>
          </cell>
          <cell r="S197">
            <v>37307</v>
          </cell>
          <cell r="T197" t="str">
            <v>---</v>
          </cell>
          <cell r="W197" t="str">
            <v>3798486</v>
          </cell>
          <cell r="X197">
            <v>422.5</v>
          </cell>
          <cell r="Z197" t="str">
            <v>2030000063</v>
          </cell>
          <cell r="AA197">
            <v>465</v>
          </cell>
          <cell r="AB197">
            <v>37676</v>
          </cell>
          <cell r="AE197">
            <v>37739</v>
          </cell>
          <cell r="AF197" t="str">
            <v>D</v>
          </cell>
          <cell r="AG197">
            <v>8.4499999999999993</v>
          </cell>
          <cell r="AH197">
            <v>20</v>
          </cell>
          <cell r="AI197">
            <v>93</v>
          </cell>
          <cell r="AJ197">
            <v>465</v>
          </cell>
        </row>
        <row r="198">
          <cell r="A198">
            <v>168958</v>
          </cell>
          <cell r="B198">
            <v>37609</v>
          </cell>
          <cell r="D198" t="str">
            <v>ENTEL CHILE - 1600001741</v>
          </cell>
          <cell r="E198">
            <v>3343638</v>
          </cell>
          <cell r="F198">
            <v>8030437</v>
          </cell>
          <cell r="G198">
            <v>2610004</v>
          </cell>
          <cell r="H198">
            <v>37610</v>
          </cell>
          <cell r="I198">
            <v>0.5</v>
          </cell>
          <cell r="J198">
            <v>8</v>
          </cell>
          <cell r="K198" t="str">
            <v xml:space="preserve">27.1 </v>
          </cell>
          <cell r="M198" t="str">
            <v>AIR-AMERICAS</v>
          </cell>
          <cell r="N198" t="str">
            <v>AIR-AMERICAS Regulatory Domain Configuration for Americas (FCC)</v>
          </cell>
          <cell r="O198">
            <v>0</v>
          </cell>
          <cell r="P198">
            <v>0</v>
          </cell>
          <cell r="Q198">
            <v>5</v>
          </cell>
          <cell r="R198">
            <v>0</v>
          </cell>
          <cell r="S198">
            <v>37307</v>
          </cell>
          <cell r="T198" t="str">
            <v>---</v>
          </cell>
          <cell r="W198" t="str">
            <v>3798486</v>
          </cell>
          <cell r="X198">
            <v>0</v>
          </cell>
          <cell r="Z198" t="str">
            <v>2030000063</v>
          </cell>
          <cell r="AA198">
            <v>0</v>
          </cell>
          <cell r="AB198">
            <v>37676</v>
          </cell>
          <cell r="AE198">
            <v>37739</v>
          </cell>
          <cell r="AF198" t="str">
            <v>-</v>
          </cell>
          <cell r="AG198">
            <v>0</v>
          </cell>
          <cell r="AH198">
            <v>20</v>
          </cell>
          <cell r="AI198">
            <v>0</v>
          </cell>
          <cell r="AJ198">
            <v>0</v>
          </cell>
        </row>
        <row r="199">
          <cell r="A199">
            <v>168963</v>
          </cell>
          <cell r="B199">
            <v>37650</v>
          </cell>
          <cell r="D199" t="str">
            <v>ENTEL CHILE - 1600001753</v>
          </cell>
          <cell r="E199">
            <v>3446821</v>
          </cell>
          <cell r="F199">
            <v>8058273</v>
          </cell>
          <cell r="G199">
            <v>2607554</v>
          </cell>
          <cell r="H199">
            <v>37672</v>
          </cell>
          <cell r="I199">
            <v>0.5</v>
          </cell>
          <cell r="J199">
            <v>2</v>
          </cell>
          <cell r="K199" t="str">
            <v xml:space="preserve">1.0 </v>
          </cell>
          <cell r="M199" t="str">
            <v>CISCO806</v>
          </cell>
          <cell r="N199" t="str">
            <v>CISCO806 Cisco 806 Broadband Router 4E, 1E, stateful firewall /</v>
          </cell>
          <cell r="O199">
            <v>649</v>
          </cell>
          <cell r="P199">
            <v>324.5</v>
          </cell>
          <cell r="Q199">
            <v>15</v>
          </cell>
          <cell r="R199">
            <v>4867.5</v>
          </cell>
          <cell r="T199" t="str">
            <v>---</v>
          </cell>
          <cell r="W199" t="str">
            <v>3815963</v>
          </cell>
          <cell r="X199">
            <v>4867.5</v>
          </cell>
          <cell r="Z199" t="str">
            <v>203000116</v>
          </cell>
          <cell r="AA199">
            <v>5548.95</v>
          </cell>
          <cell r="AB199">
            <v>37693</v>
          </cell>
          <cell r="AE199">
            <v>37739</v>
          </cell>
          <cell r="AF199" t="str">
            <v>D</v>
          </cell>
          <cell r="AG199">
            <v>97.350000000000009</v>
          </cell>
          <cell r="AH199">
            <v>4</v>
          </cell>
          <cell r="AI199">
            <v>369.93</v>
          </cell>
          <cell r="AJ199">
            <v>5548.95</v>
          </cell>
        </row>
        <row r="200">
          <cell r="A200">
            <v>168963</v>
          </cell>
          <cell r="B200">
            <v>37650</v>
          </cell>
          <cell r="D200" t="str">
            <v>ENTEL CHILE - 1600001753</v>
          </cell>
          <cell r="E200">
            <v>3446821</v>
          </cell>
          <cell r="F200">
            <v>8058273</v>
          </cell>
          <cell r="G200">
            <v>2607554</v>
          </cell>
          <cell r="H200">
            <v>37672</v>
          </cell>
          <cell r="I200">
            <v>0.5</v>
          </cell>
          <cell r="J200">
            <v>2</v>
          </cell>
          <cell r="K200" t="str">
            <v xml:space="preserve">1.1 </v>
          </cell>
          <cell r="M200" t="str">
            <v>CAB-ACI</v>
          </cell>
          <cell r="N200" t="str">
            <v>CAB-ACI Power Cord-Italian</v>
          </cell>
          <cell r="O200">
            <v>0</v>
          </cell>
          <cell r="P200">
            <v>0</v>
          </cell>
          <cell r="Q200">
            <v>15</v>
          </cell>
          <cell r="R200">
            <v>0</v>
          </cell>
          <cell r="T200" t="str">
            <v>---</v>
          </cell>
          <cell r="W200" t="str">
            <v>3815963</v>
          </cell>
          <cell r="X200">
            <v>0</v>
          </cell>
          <cell r="Z200" t="str">
            <v>203000116</v>
          </cell>
          <cell r="AA200">
            <v>0.15</v>
          </cell>
          <cell r="AB200">
            <v>37693</v>
          </cell>
          <cell r="AE200">
            <v>37739</v>
          </cell>
          <cell r="AF200" t="str">
            <v>-</v>
          </cell>
          <cell r="AG200">
            <v>0</v>
          </cell>
          <cell r="AH200">
            <v>8</v>
          </cell>
          <cell r="AI200">
            <v>0.01</v>
          </cell>
          <cell r="AJ200">
            <v>0.15</v>
          </cell>
        </row>
        <row r="201">
          <cell r="A201">
            <v>168963</v>
          </cell>
          <cell r="B201">
            <v>37650</v>
          </cell>
          <cell r="D201" t="str">
            <v>ENTEL CHILE - 1600001753</v>
          </cell>
          <cell r="E201">
            <v>3446821</v>
          </cell>
          <cell r="F201">
            <v>8058273</v>
          </cell>
          <cell r="G201">
            <v>2607554</v>
          </cell>
          <cell r="H201">
            <v>37672</v>
          </cell>
          <cell r="I201">
            <v>0.5</v>
          </cell>
          <cell r="J201">
            <v>2</v>
          </cell>
          <cell r="K201" t="str">
            <v xml:space="preserve">1.2 </v>
          </cell>
          <cell r="M201" t="str">
            <v>S806CHK9-12208T</v>
          </cell>
          <cell r="N201" t="str">
            <v>S806CHK9-12208T Cisco 806 Series IOS IP/FW PLUS 3DES</v>
          </cell>
          <cell r="O201">
            <v>150</v>
          </cell>
          <cell r="P201">
            <v>75</v>
          </cell>
          <cell r="Q201">
            <v>15</v>
          </cell>
          <cell r="R201">
            <v>1125</v>
          </cell>
          <cell r="T201" t="str">
            <v>---</v>
          </cell>
          <cell r="W201" t="str">
            <v>3815963</v>
          </cell>
          <cell r="X201">
            <v>1125</v>
          </cell>
          <cell r="Z201" t="str">
            <v>203000116</v>
          </cell>
          <cell r="AA201">
            <v>1282.5</v>
          </cell>
          <cell r="AB201">
            <v>37693</v>
          </cell>
          <cell r="AE201">
            <v>37739</v>
          </cell>
          <cell r="AF201" t="str">
            <v>D</v>
          </cell>
          <cell r="AG201">
            <v>22.5</v>
          </cell>
          <cell r="AH201">
            <v>2</v>
          </cell>
          <cell r="AI201">
            <v>85.5</v>
          </cell>
          <cell r="AJ201">
            <v>1282.5</v>
          </cell>
        </row>
        <row r="202">
          <cell r="A202">
            <v>168963</v>
          </cell>
          <cell r="B202">
            <v>37650</v>
          </cell>
          <cell r="D202" t="str">
            <v>ENTEL CHILE - 1600001753</v>
          </cell>
          <cell r="E202">
            <v>3446821</v>
          </cell>
          <cell r="F202">
            <v>8058273</v>
          </cell>
          <cell r="G202">
            <v>2607554</v>
          </cell>
          <cell r="H202">
            <v>37672</v>
          </cell>
          <cell r="I202">
            <v>0.5</v>
          </cell>
          <cell r="J202">
            <v>2</v>
          </cell>
          <cell r="K202" t="str">
            <v xml:space="preserve">1.3 </v>
          </cell>
          <cell r="M202" t="str">
            <v>MEM820-16U32D</v>
          </cell>
          <cell r="N202" t="str">
            <v>MEM820-16U32D Cisco 820/806 DRAM upgrade 16Mbyte-32Mbyte</v>
          </cell>
          <cell r="O202">
            <v>0</v>
          </cell>
          <cell r="P202">
            <v>0</v>
          </cell>
          <cell r="Q202">
            <v>15</v>
          </cell>
          <cell r="R202">
            <v>0</v>
          </cell>
          <cell r="T202" t="str">
            <v>---</v>
          </cell>
          <cell r="W202" t="str">
            <v>3815963</v>
          </cell>
          <cell r="X202">
            <v>0</v>
          </cell>
          <cell r="Z202" t="str">
            <v>203000116</v>
          </cell>
          <cell r="AA202">
            <v>2565</v>
          </cell>
          <cell r="AB202">
            <v>37693</v>
          </cell>
          <cell r="AE202">
            <v>37739</v>
          </cell>
          <cell r="AF202" t="str">
            <v>D</v>
          </cell>
          <cell r="AG202">
            <v>0</v>
          </cell>
          <cell r="AH202">
            <v>5</v>
          </cell>
          <cell r="AI202">
            <v>171</v>
          </cell>
          <cell r="AJ202">
            <v>2565</v>
          </cell>
        </row>
        <row r="203">
          <cell r="A203">
            <v>168963</v>
          </cell>
          <cell r="B203">
            <v>37650</v>
          </cell>
          <cell r="D203" t="str">
            <v>ENTEL CHILE - 1600001753</v>
          </cell>
          <cell r="E203">
            <v>3446821</v>
          </cell>
          <cell r="F203">
            <v>8058273</v>
          </cell>
          <cell r="G203">
            <v>2607554</v>
          </cell>
          <cell r="H203">
            <v>37672</v>
          </cell>
          <cell r="I203">
            <v>0.5</v>
          </cell>
          <cell r="J203">
            <v>1</v>
          </cell>
          <cell r="K203" t="str">
            <v xml:space="preserve">2.0 </v>
          </cell>
          <cell r="M203" t="str">
            <v>CISCO805</v>
          </cell>
          <cell r="N203" t="str">
            <v>CISCO805 Cisco 805 Ethernet/Serial Router /</v>
          </cell>
          <cell r="O203">
            <v>999</v>
          </cell>
          <cell r="P203">
            <v>499.5</v>
          </cell>
          <cell r="Q203">
            <v>1</v>
          </cell>
          <cell r="R203">
            <v>499.5</v>
          </cell>
          <cell r="T203" t="str">
            <v>---</v>
          </cell>
          <cell r="W203" t="str">
            <v>3812103</v>
          </cell>
          <cell r="X203">
            <v>499.5</v>
          </cell>
          <cell r="Z203" t="str">
            <v>2030000105</v>
          </cell>
          <cell r="AA203">
            <v>569.42999999999995</v>
          </cell>
          <cell r="AE203">
            <v>37739</v>
          </cell>
          <cell r="AF203" t="str">
            <v>D</v>
          </cell>
          <cell r="AG203">
            <v>9.99</v>
          </cell>
          <cell r="AH203">
            <v>3</v>
          </cell>
          <cell r="AI203">
            <v>569.42999999999995</v>
          </cell>
          <cell r="AJ203">
            <v>569.42999999999995</v>
          </cell>
        </row>
        <row r="204">
          <cell r="A204">
            <v>168963</v>
          </cell>
          <cell r="B204">
            <v>37650</v>
          </cell>
          <cell r="D204" t="str">
            <v>ENTEL CHILE - 1600001753</v>
          </cell>
          <cell r="E204">
            <v>3446821</v>
          </cell>
          <cell r="F204">
            <v>8058273</v>
          </cell>
          <cell r="G204">
            <v>2607554</v>
          </cell>
          <cell r="H204">
            <v>37672</v>
          </cell>
          <cell r="I204">
            <v>0.5</v>
          </cell>
          <cell r="J204">
            <v>1</v>
          </cell>
          <cell r="K204" t="str">
            <v xml:space="preserve">2.1 </v>
          </cell>
          <cell r="M204" t="str">
            <v>CAB-ACI</v>
          </cell>
          <cell r="N204" t="str">
            <v>CAB-ACI Power Cord-Italian</v>
          </cell>
          <cell r="O204">
            <v>0</v>
          </cell>
          <cell r="P204">
            <v>0</v>
          </cell>
          <cell r="Q204">
            <v>1</v>
          </cell>
          <cell r="R204">
            <v>0</v>
          </cell>
          <cell r="T204" t="str">
            <v>---</v>
          </cell>
          <cell r="W204" t="str">
            <v>3812103</v>
          </cell>
          <cell r="X204">
            <v>0</v>
          </cell>
          <cell r="Z204" t="str">
            <v>2030000105</v>
          </cell>
          <cell r="AA204">
            <v>0.01</v>
          </cell>
          <cell r="AE204">
            <v>37739</v>
          </cell>
          <cell r="AF204" t="str">
            <v>-</v>
          </cell>
          <cell r="AG204">
            <v>0</v>
          </cell>
          <cell r="AH204">
            <v>8</v>
          </cell>
          <cell r="AI204">
            <v>0.01</v>
          </cell>
          <cell r="AJ204">
            <v>0.01</v>
          </cell>
        </row>
        <row r="205">
          <cell r="A205">
            <v>168963</v>
          </cell>
          <cell r="B205">
            <v>37650</v>
          </cell>
          <cell r="D205" t="str">
            <v>ENTEL CHILE - 1600001753</v>
          </cell>
          <cell r="E205">
            <v>3446821</v>
          </cell>
          <cell r="F205">
            <v>8058273</v>
          </cell>
          <cell r="G205">
            <v>2607554</v>
          </cell>
          <cell r="H205">
            <v>37672</v>
          </cell>
          <cell r="I205">
            <v>0.5</v>
          </cell>
          <cell r="J205">
            <v>1</v>
          </cell>
          <cell r="K205" t="str">
            <v xml:space="preserve">2.2 </v>
          </cell>
          <cell r="M205" t="str">
            <v>S805CHK9-12213T</v>
          </cell>
          <cell r="N205" t="str">
            <v>S805CHK9-12213T Cisco 805 Series IOS IP/FW PLUS IPSEC 3DES</v>
          </cell>
          <cell r="O205">
            <v>250</v>
          </cell>
          <cell r="P205">
            <v>125</v>
          </cell>
          <cell r="Q205">
            <v>1</v>
          </cell>
          <cell r="R205">
            <v>125</v>
          </cell>
          <cell r="T205" t="str">
            <v>---</v>
          </cell>
          <cell r="W205" t="str">
            <v>3812103</v>
          </cell>
          <cell r="X205">
            <v>125</v>
          </cell>
          <cell r="Z205" t="str">
            <v>2030000105</v>
          </cell>
          <cell r="AA205">
            <v>142.5</v>
          </cell>
          <cell r="AE205">
            <v>37739</v>
          </cell>
          <cell r="AF205" t="str">
            <v>D</v>
          </cell>
          <cell r="AG205">
            <v>2.5</v>
          </cell>
          <cell r="AH205">
            <v>7</v>
          </cell>
          <cell r="AI205">
            <v>142.5</v>
          </cell>
          <cell r="AJ205">
            <v>142.5</v>
          </cell>
        </row>
        <row r="206">
          <cell r="A206">
            <v>168963</v>
          </cell>
          <cell r="B206">
            <v>37650</v>
          </cell>
          <cell r="D206" t="str">
            <v>ENTEL CHILE - 1600001753</v>
          </cell>
          <cell r="E206">
            <v>3446821</v>
          </cell>
          <cell r="F206">
            <v>8058273</v>
          </cell>
          <cell r="G206">
            <v>2607554</v>
          </cell>
          <cell r="H206">
            <v>37672</v>
          </cell>
          <cell r="I206">
            <v>0.5</v>
          </cell>
          <cell r="J206">
            <v>1</v>
          </cell>
          <cell r="K206" t="str">
            <v xml:space="preserve">2.3 </v>
          </cell>
          <cell r="M206" t="str">
            <v>MEM805-8U12D</v>
          </cell>
          <cell r="N206" t="str">
            <v>MEM805-8U12D Cisco 805 8-MB to 12-MB DRAM factory upgrade</v>
          </cell>
          <cell r="O206">
            <v>100</v>
          </cell>
          <cell r="P206">
            <v>50</v>
          </cell>
          <cell r="Q206">
            <v>1</v>
          </cell>
          <cell r="R206">
            <v>50</v>
          </cell>
          <cell r="T206" t="str">
            <v>---</v>
          </cell>
          <cell r="W206" t="str">
            <v>3812103</v>
          </cell>
          <cell r="X206">
            <v>50</v>
          </cell>
          <cell r="Z206" t="str">
            <v>2030000105</v>
          </cell>
          <cell r="AA206">
            <v>57</v>
          </cell>
          <cell r="AE206">
            <v>37739</v>
          </cell>
          <cell r="AF206" t="str">
            <v>D</v>
          </cell>
          <cell r="AG206">
            <v>1</v>
          </cell>
          <cell r="AH206">
            <v>1</v>
          </cell>
          <cell r="AI206">
            <v>57</v>
          </cell>
          <cell r="AJ206">
            <v>57</v>
          </cell>
        </row>
        <row r="207">
          <cell r="A207">
            <v>168963</v>
          </cell>
          <cell r="B207">
            <v>37650</v>
          </cell>
          <cell r="D207" t="str">
            <v>ENTEL CHILE - 1600001753</v>
          </cell>
          <cell r="E207">
            <v>3446821</v>
          </cell>
          <cell r="F207">
            <v>8058273</v>
          </cell>
          <cell r="G207">
            <v>2607554</v>
          </cell>
          <cell r="H207">
            <v>37672</v>
          </cell>
          <cell r="I207">
            <v>0.5</v>
          </cell>
          <cell r="J207">
            <v>1</v>
          </cell>
          <cell r="K207" t="str">
            <v xml:space="preserve">2.4 </v>
          </cell>
          <cell r="M207" t="str">
            <v>MEM805-4U8F</v>
          </cell>
          <cell r="N207" t="str">
            <v>MEM805-4U8F Cisco 805 4-MB to 8-MB Flash factory upgrade</v>
          </cell>
          <cell r="O207">
            <v>100</v>
          </cell>
          <cell r="P207">
            <v>50</v>
          </cell>
          <cell r="Q207">
            <v>1</v>
          </cell>
          <cell r="R207">
            <v>50</v>
          </cell>
          <cell r="T207" t="str">
            <v>---</v>
          </cell>
          <cell r="W207" t="str">
            <v>3812103</v>
          </cell>
          <cell r="X207">
            <v>50</v>
          </cell>
          <cell r="Z207" t="str">
            <v>2030000105</v>
          </cell>
          <cell r="AA207">
            <v>57</v>
          </cell>
          <cell r="AE207">
            <v>37739</v>
          </cell>
          <cell r="AF207" t="str">
            <v>D</v>
          </cell>
          <cell r="AG207">
            <v>1</v>
          </cell>
          <cell r="AH207">
            <v>6</v>
          </cell>
          <cell r="AI207">
            <v>57</v>
          </cell>
          <cell r="AJ207">
            <v>57</v>
          </cell>
        </row>
        <row r="208">
          <cell r="A208">
            <v>168960</v>
          </cell>
          <cell r="B208">
            <v>37643</v>
          </cell>
          <cell r="D208" t="str">
            <v>ENTEL CHILE - 1600001750</v>
          </cell>
          <cell r="E208">
            <v>3422410</v>
          </cell>
          <cell r="F208">
            <v>8044042</v>
          </cell>
          <cell r="G208">
            <v>2620001</v>
          </cell>
          <cell r="H208">
            <v>37644</v>
          </cell>
          <cell r="I208">
            <v>0.5</v>
          </cell>
          <cell r="J208">
            <v>1</v>
          </cell>
          <cell r="K208">
            <v>1</v>
          </cell>
          <cell r="M208" t="str">
            <v>CISCO3640A</v>
          </cell>
          <cell r="N208" t="str">
            <v>CISCO 3600 4-SLOT MODULAR ROUTER - AC WITH IP SOFTWARE</v>
          </cell>
          <cell r="O208">
            <v>6500</v>
          </cell>
          <cell r="P208">
            <v>3250</v>
          </cell>
          <cell r="Q208">
            <v>1</v>
          </cell>
          <cell r="R208">
            <v>3250</v>
          </cell>
          <cell r="T208" t="str">
            <v>---</v>
          </cell>
          <cell r="W208" t="str">
            <v>3799568</v>
          </cell>
          <cell r="X208">
            <v>3250</v>
          </cell>
          <cell r="Z208" t="str">
            <v>2030000067</v>
          </cell>
          <cell r="AA208">
            <v>3705</v>
          </cell>
          <cell r="AB208">
            <v>37677</v>
          </cell>
          <cell r="AE208">
            <v>37739</v>
          </cell>
          <cell r="AF208" t="str">
            <v>C</v>
          </cell>
          <cell r="AG208">
            <v>243.75</v>
          </cell>
          <cell r="AH208">
            <v>11</v>
          </cell>
          <cell r="AI208">
            <v>3705</v>
          </cell>
          <cell r="AJ208">
            <v>3705</v>
          </cell>
        </row>
        <row r="209">
          <cell r="A209">
            <v>168960</v>
          </cell>
          <cell r="B209">
            <v>37643</v>
          </cell>
          <cell r="D209" t="str">
            <v>ENTEL CHILE - 1600001750</v>
          </cell>
          <cell r="E209">
            <v>3422410</v>
          </cell>
          <cell r="F209">
            <v>8044042</v>
          </cell>
          <cell r="G209">
            <v>2620001</v>
          </cell>
          <cell r="H209">
            <v>37644</v>
          </cell>
          <cell r="I209">
            <v>0.5</v>
          </cell>
          <cell r="J209">
            <v>1</v>
          </cell>
          <cell r="K209">
            <v>1.1000000000000001</v>
          </cell>
          <cell r="M209" t="str">
            <v>CAB-ACI</v>
          </cell>
          <cell r="N209" t="str">
            <v>Power Cord-Italian</v>
          </cell>
          <cell r="O209">
            <v>0</v>
          </cell>
          <cell r="P209">
            <v>0</v>
          </cell>
          <cell r="Q209">
            <v>1</v>
          </cell>
          <cell r="R209">
            <v>0</v>
          </cell>
          <cell r="T209" t="str">
            <v>---</v>
          </cell>
          <cell r="W209" t="str">
            <v>3799568</v>
          </cell>
          <cell r="X209">
            <v>0</v>
          </cell>
          <cell r="Z209" t="str">
            <v>2030000067</v>
          </cell>
          <cell r="AA209">
            <v>0.01</v>
          </cell>
          <cell r="AB209">
            <v>37677</v>
          </cell>
          <cell r="AE209">
            <v>37739</v>
          </cell>
          <cell r="AF209" t="str">
            <v>-</v>
          </cell>
          <cell r="AG209">
            <v>0</v>
          </cell>
          <cell r="AH209">
            <v>18</v>
          </cell>
          <cell r="AI209">
            <v>0.01</v>
          </cell>
          <cell r="AJ209">
            <v>0.01</v>
          </cell>
        </row>
        <row r="210">
          <cell r="A210">
            <v>168960</v>
          </cell>
          <cell r="B210">
            <v>37643</v>
          </cell>
          <cell r="D210" t="str">
            <v>ENTEL CHILE - 1600001750</v>
          </cell>
          <cell r="E210">
            <v>3422410</v>
          </cell>
          <cell r="F210">
            <v>8044042</v>
          </cell>
          <cell r="G210">
            <v>2620001</v>
          </cell>
          <cell r="H210">
            <v>37644</v>
          </cell>
          <cell r="I210">
            <v>0.5</v>
          </cell>
          <cell r="J210">
            <v>1</v>
          </cell>
          <cell r="K210">
            <v>1.2</v>
          </cell>
          <cell r="M210" t="str">
            <v>S364CP-12211T</v>
          </cell>
          <cell r="N210" t="str">
            <v>CISCO 3640 SERIES IOS IP</v>
          </cell>
          <cell r="O210">
            <v>700</v>
          </cell>
          <cell r="P210">
            <v>350</v>
          </cell>
          <cell r="Q210">
            <v>1</v>
          </cell>
          <cell r="R210">
            <v>350</v>
          </cell>
          <cell r="T210" t="str">
            <v>---</v>
          </cell>
          <cell r="W210" t="str">
            <v>3799568</v>
          </cell>
          <cell r="X210">
            <v>350</v>
          </cell>
          <cell r="Z210" t="str">
            <v>2030000067</v>
          </cell>
          <cell r="AA210">
            <v>399</v>
          </cell>
          <cell r="AB210">
            <v>37677</v>
          </cell>
          <cell r="AE210">
            <v>37739</v>
          </cell>
          <cell r="AF210" t="str">
            <v>C</v>
          </cell>
          <cell r="AG210">
            <v>26.25</v>
          </cell>
          <cell r="AH210">
            <v>4</v>
          </cell>
          <cell r="AI210">
            <v>399</v>
          </cell>
          <cell r="AJ210">
            <v>399</v>
          </cell>
        </row>
        <row r="211">
          <cell r="A211">
            <v>168960</v>
          </cell>
          <cell r="B211">
            <v>37643</v>
          </cell>
          <cell r="D211" t="str">
            <v>ENTEL CHILE - 1600001750</v>
          </cell>
          <cell r="E211">
            <v>3422410</v>
          </cell>
          <cell r="F211">
            <v>8044042</v>
          </cell>
          <cell r="G211">
            <v>2620001</v>
          </cell>
          <cell r="H211">
            <v>37644</v>
          </cell>
          <cell r="I211">
            <v>0.5</v>
          </cell>
          <cell r="J211">
            <v>1</v>
          </cell>
          <cell r="K211">
            <v>1.3</v>
          </cell>
          <cell r="M211" t="str">
            <v>MEM3600-16U32FS</v>
          </cell>
          <cell r="N211" t="str">
            <v>16 TO 32 MB FACTORY FLASH UP GRADE FOR CISCO 3600</v>
          </cell>
          <cell r="O211">
            <v>600</v>
          </cell>
          <cell r="P211">
            <v>300</v>
          </cell>
          <cell r="Q211">
            <v>1</v>
          </cell>
          <cell r="R211">
            <v>300</v>
          </cell>
          <cell r="T211" t="str">
            <v>---</v>
          </cell>
          <cell r="W211" t="str">
            <v>3799568</v>
          </cell>
          <cell r="X211">
            <v>300</v>
          </cell>
          <cell r="Z211" t="str">
            <v>2030000067</v>
          </cell>
          <cell r="AA211">
            <v>342</v>
          </cell>
          <cell r="AB211">
            <v>37677</v>
          </cell>
          <cell r="AE211">
            <v>37739</v>
          </cell>
          <cell r="AF211" t="str">
            <v>C</v>
          </cell>
          <cell r="AG211">
            <v>22.5</v>
          </cell>
          <cell r="AH211">
            <v>7</v>
          </cell>
          <cell r="AI211">
            <v>342</v>
          </cell>
          <cell r="AJ211">
            <v>342</v>
          </cell>
        </row>
        <row r="212">
          <cell r="A212">
            <v>168960</v>
          </cell>
          <cell r="B212">
            <v>37643</v>
          </cell>
          <cell r="D212" t="str">
            <v>ENTEL CHILE - 1600001750</v>
          </cell>
          <cell r="E212">
            <v>3422410</v>
          </cell>
          <cell r="F212">
            <v>8044042</v>
          </cell>
          <cell r="G212">
            <v>2620001</v>
          </cell>
          <cell r="H212">
            <v>37644</v>
          </cell>
          <cell r="I212">
            <v>0.5</v>
          </cell>
          <cell r="J212">
            <v>1</v>
          </cell>
          <cell r="K212">
            <v>1.4</v>
          </cell>
          <cell r="M212" t="str">
            <v>MEM3640-32U96D</v>
          </cell>
          <cell r="N212" t="str">
            <v>32MB-TO-96MB DRAM FACTORY UPGRADEFOR CISCO 3640</v>
          </cell>
          <cell r="O212">
            <v>1920</v>
          </cell>
          <cell r="P212">
            <v>960</v>
          </cell>
          <cell r="Q212">
            <v>1</v>
          </cell>
          <cell r="R212">
            <v>960</v>
          </cell>
          <cell r="T212" t="str">
            <v>---</v>
          </cell>
          <cell r="W212" t="str">
            <v>3799568</v>
          </cell>
          <cell r="X212">
            <v>960</v>
          </cell>
          <cell r="Z212" t="str">
            <v>2030000067</v>
          </cell>
          <cell r="AA212">
            <v>1094</v>
          </cell>
          <cell r="AB212">
            <v>37677</v>
          </cell>
          <cell r="AE212">
            <v>37739</v>
          </cell>
          <cell r="AF212" t="str">
            <v>C</v>
          </cell>
          <cell r="AG212">
            <v>72</v>
          </cell>
          <cell r="AH212">
            <v>15</v>
          </cell>
          <cell r="AI212">
            <v>1094</v>
          </cell>
          <cell r="AJ212">
            <v>1094</v>
          </cell>
        </row>
        <row r="213">
          <cell r="A213">
            <v>168960</v>
          </cell>
          <cell r="B213">
            <v>37643</v>
          </cell>
          <cell r="D213" t="str">
            <v>ENTEL CHILE - 1600001750</v>
          </cell>
          <cell r="E213">
            <v>3422410</v>
          </cell>
          <cell r="F213">
            <v>8044042</v>
          </cell>
          <cell r="G213">
            <v>2620001</v>
          </cell>
          <cell r="H213">
            <v>37644</v>
          </cell>
          <cell r="I213">
            <v>0.5</v>
          </cell>
          <cell r="J213">
            <v>1</v>
          </cell>
          <cell r="K213">
            <v>1.5</v>
          </cell>
          <cell r="M213" t="str">
            <v>NM-2FE2W</v>
          </cell>
          <cell r="N213" t="str">
            <v>2 10/100 ETHERNET 2 WAN CARD SLOT NETWORK MODULE</v>
          </cell>
          <cell r="O213">
            <v>3200</v>
          </cell>
          <cell r="P213">
            <v>1600</v>
          </cell>
          <cell r="Q213">
            <v>1</v>
          </cell>
          <cell r="R213">
            <v>1600</v>
          </cell>
          <cell r="T213" t="str">
            <v>---</v>
          </cell>
          <cell r="W213" t="str">
            <v>3799568</v>
          </cell>
          <cell r="X213">
            <v>1600</v>
          </cell>
          <cell r="Z213" t="str">
            <v>2030000067</v>
          </cell>
          <cell r="AA213">
            <v>1824</v>
          </cell>
          <cell r="AB213">
            <v>37677</v>
          </cell>
          <cell r="AE213">
            <v>37739</v>
          </cell>
          <cell r="AF213" t="str">
            <v>C</v>
          </cell>
          <cell r="AG213">
            <v>120</v>
          </cell>
          <cell r="AH213">
            <v>10</v>
          </cell>
          <cell r="AI213">
            <v>1824</v>
          </cell>
          <cell r="AJ213">
            <v>1824</v>
          </cell>
        </row>
        <row r="214">
          <cell r="A214">
            <v>168960</v>
          </cell>
          <cell r="B214">
            <v>37643</v>
          </cell>
          <cell r="D214" t="str">
            <v>ENTEL CHILE - 1600001750</v>
          </cell>
          <cell r="E214">
            <v>3422410</v>
          </cell>
          <cell r="F214">
            <v>8044042</v>
          </cell>
          <cell r="G214">
            <v>2620001</v>
          </cell>
          <cell r="H214">
            <v>37644</v>
          </cell>
          <cell r="I214">
            <v>0.5</v>
          </cell>
          <cell r="J214">
            <v>1</v>
          </cell>
          <cell r="K214">
            <v>1.6</v>
          </cell>
          <cell r="M214" t="str">
            <v>NM-2W</v>
          </cell>
          <cell r="N214" t="str">
            <v>2 WAN CARD SLOT NETWORK MODULE (NO LAN)</v>
          </cell>
          <cell r="O214">
            <v>1500</v>
          </cell>
          <cell r="P214">
            <v>750</v>
          </cell>
          <cell r="Q214">
            <v>1</v>
          </cell>
          <cell r="R214">
            <v>750</v>
          </cell>
          <cell r="T214" t="str">
            <v>---</v>
          </cell>
          <cell r="W214" t="str">
            <v>3799568</v>
          </cell>
          <cell r="X214">
            <v>750</v>
          </cell>
          <cell r="Z214" t="str">
            <v>2030000067</v>
          </cell>
          <cell r="AA214">
            <v>855</v>
          </cell>
          <cell r="AB214">
            <v>37677</v>
          </cell>
          <cell r="AE214">
            <v>37739</v>
          </cell>
          <cell r="AF214" t="str">
            <v>C</v>
          </cell>
          <cell r="AG214">
            <v>56.25</v>
          </cell>
          <cell r="AH214">
            <v>6</v>
          </cell>
          <cell r="AI214">
            <v>855</v>
          </cell>
          <cell r="AJ214">
            <v>855</v>
          </cell>
        </row>
        <row r="215">
          <cell r="A215">
            <v>168960</v>
          </cell>
          <cell r="B215">
            <v>37643</v>
          </cell>
          <cell r="D215" t="str">
            <v>ENTEL CHILE - 1600001750</v>
          </cell>
          <cell r="E215">
            <v>3422410</v>
          </cell>
          <cell r="F215">
            <v>8044042</v>
          </cell>
          <cell r="G215">
            <v>2620001</v>
          </cell>
          <cell r="H215">
            <v>37644</v>
          </cell>
          <cell r="I215">
            <v>0.5</v>
          </cell>
          <cell r="J215">
            <v>1</v>
          </cell>
          <cell r="K215">
            <v>1.7</v>
          </cell>
          <cell r="M215" t="str">
            <v>CAB-V35MT</v>
          </cell>
          <cell r="N215" t="str">
            <v>V.35 CABLE, DTE, MALE, 10 FEET</v>
          </cell>
          <cell r="O215">
            <v>100</v>
          </cell>
          <cell r="P215">
            <v>50</v>
          </cell>
          <cell r="Q215">
            <v>1</v>
          </cell>
          <cell r="R215">
            <v>50</v>
          </cell>
          <cell r="T215" t="str">
            <v>---</v>
          </cell>
          <cell r="W215" t="str">
            <v>3799568</v>
          </cell>
          <cell r="X215">
            <v>50</v>
          </cell>
          <cell r="Z215" t="str">
            <v>2030000067</v>
          </cell>
          <cell r="AA215">
            <v>57</v>
          </cell>
          <cell r="AB215">
            <v>37677</v>
          </cell>
          <cell r="AE215">
            <v>37739</v>
          </cell>
          <cell r="AF215" t="str">
            <v>-</v>
          </cell>
          <cell r="AG215">
            <v>0</v>
          </cell>
          <cell r="AH215">
            <v>17</v>
          </cell>
          <cell r="AI215">
            <v>57</v>
          </cell>
          <cell r="AJ215">
            <v>57</v>
          </cell>
        </row>
        <row r="216">
          <cell r="A216">
            <v>168960</v>
          </cell>
          <cell r="B216">
            <v>37643</v>
          </cell>
          <cell r="D216" t="str">
            <v>ENTEL CHILE - 1600001750</v>
          </cell>
          <cell r="E216">
            <v>3422410</v>
          </cell>
          <cell r="F216">
            <v>8044042</v>
          </cell>
          <cell r="G216">
            <v>2620001</v>
          </cell>
          <cell r="H216">
            <v>37644</v>
          </cell>
          <cell r="I216">
            <v>0.5</v>
          </cell>
          <cell r="J216">
            <v>1</v>
          </cell>
          <cell r="K216">
            <v>2</v>
          </cell>
          <cell r="M216" t="str">
            <v>CISCO3640A</v>
          </cell>
          <cell r="N216" t="str">
            <v>CISCO 3600 4-SLOT MODULAR ROUTER - AC WITH IP SOFTWARE</v>
          </cell>
          <cell r="O216">
            <v>6500</v>
          </cell>
          <cell r="P216">
            <v>3250</v>
          </cell>
          <cell r="Q216">
            <v>1</v>
          </cell>
          <cell r="R216">
            <v>3250</v>
          </cell>
          <cell r="T216" t="str">
            <v>---</v>
          </cell>
          <cell r="W216" t="str">
            <v>3799568</v>
          </cell>
          <cell r="X216">
            <v>3250</v>
          </cell>
          <cell r="Z216" t="str">
            <v>2030000067</v>
          </cell>
          <cell r="AA216">
            <v>3705</v>
          </cell>
          <cell r="AB216">
            <v>37677</v>
          </cell>
          <cell r="AE216">
            <v>37739</v>
          </cell>
          <cell r="AF216" t="str">
            <v>C</v>
          </cell>
          <cell r="AG216">
            <v>243.75</v>
          </cell>
          <cell r="AH216">
            <v>11</v>
          </cell>
          <cell r="AI216">
            <v>3705</v>
          </cell>
          <cell r="AJ216">
            <v>3705</v>
          </cell>
        </row>
        <row r="217">
          <cell r="A217">
            <v>168960</v>
          </cell>
          <cell r="B217">
            <v>37643</v>
          </cell>
          <cell r="D217" t="str">
            <v>ENTEL CHILE - 1600001750</v>
          </cell>
          <cell r="E217">
            <v>3422410</v>
          </cell>
          <cell r="F217">
            <v>8044042</v>
          </cell>
          <cell r="G217">
            <v>2620001</v>
          </cell>
          <cell r="H217">
            <v>37644</v>
          </cell>
          <cell r="I217">
            <v>0.5</v>
          </cell>
          <cell r="J217">
            <v>1</v>
          </cell>
          <cell r="K217">
            <v>2.1</v>
          </cell>
          <cell r="M217" t="str">
            <v>CAB-ACI</v>
          </cell>
          <cell r="N217" t="str">
            <v>Power Cord-Italian</v>
          </cell>
          <cell r="O217">
            <v>0</v>
          </cell>
          <cell r="P217">
            <v>0</v>
          </cell>
          <cell r="Q217">
            <v>1</v>
          </cell>
          <cell r="R217">
            <v>0</v>
          </cell>
          <cell r="T217" t="str">
            <v>---</v>
          </cell>
          <cell r="W217" t="str">
            <v>3799568</v>
          </cell>
          <cell r="X217">
            <v>0</v>
          </cell>
          <cell r="Z217" t="str">
            <v>2030000067</v>
          </cell>
          <cell r="AA217">
            <v>0.01</v>
          </cell>
          <cell r="AB217">
            <v>37677</v>
          </cell>
          <cell r="AE217">
            <v>37739</v>
          </cell>
          <cell r="AF217" t="str">
            <v>-</v>
          </cell>
          <cell r="AG217">
            <v>0</v>
          </cell>
          <cell r="AH217">
            <v>18</v>
          </cell>
          <cell r="AI217">
            <v>0.01</v>
          </cell>
          <cell r="AJ217">
            <v>0.01</v>
          </cell>
        </row>
        <row r="218">
          <cell r="A218">
            <v>168960</v>
          </cell>
          <cell r="B218">
            <v>37643</v>
          </cell>
          <cell r="D218" t="str">
            <v>ENTEL CHILE - 1600001750</v>
          </cell>
          <cell r="E218">
            <v>3422410</v>
          </cell>
          <cell r="F218">
            <v>8044042</v>
          </cell>
          <cell r="G218">
            <v>2620001</v>
          </cell>
          <cell r="H218">
            <v>37644</v>
          </cell>
          <cell r="I218">
            <v>0.5</v>
          </cell>
          <cell r="J218">
            <v>1</v>
          </cell>
          <cell r="K218">
            <v>2.2000000000000002</v>
          </cell>
          <cell r="M218" t="str">
            <v>S364CP-12211T</v>
          </cell>
          <cell r="N218" t="str">
            <v>CISCO 3640 SERIES IOS IP</v>
          </cell>
          <cell r="O218">
            <v>700</v>
          </cell>
          <cell r="P218">
            <v>350</v>
          </cell>
          <cell r="Q218">
            <v>1</v>
          </cell>
          <cell r="R218">
            <v>350</v>
          </cell>
          <cell r="T218" t="str">
            <v>---</v>
          </cell>
          <cell r="W218" t="str">
            <v>3799568</v>
          </cell>
          <cell r="X218">
            <v>350</v>
          </cell>
          <cell r="Z218" t="str">
            <v>2030000067</v>
          </cell>
          <cell r="AA218">
            <v>399</v>
          </cell>
          <cell r="AB218">
            <v>37677</v>
          </cell>
          <cell r="AE218">
            <v>37739</v>
          </cell>
          <cell r="AF218" t="str">
            <v>C</v>
          </cell>
          <cell r="AG218">
            <v>26.25</v>
          </cell>
          <cell r="AH218">
            <v>4</v>
          </cell>
          <cell r="AI218">
            <v>399</v>
          </cell>
          <cell r="AJ218">
            <v>399</v>
          </cell>
        </row>
        <row r="219">
          <cell r="A219">
            <v>168960</v>
          </cell>
          <cell r="B219">
            <v>37643</v>
          </cell>
          <cell r="D219" t="str">
            <v>ENTEL CHILE - 1600001750</v>
          </cell>
          <cell r="E219">
            <v>3422410</v>
          </cell>
          <cell r="F219">
            <v>8044042</v>
          </cell>
          <cell r="G219">
            <v>2620001</v>
          </cell>
          <cell r="H219">
            <v>37644</v>
          </cell>
          <cell r="I219">
            <v>0.5</v>
          </cell>
          <cell r="J219">
            <v>1</v>
          </cell>
          <cell r="K219">
            <v>2.2999999999999998</v>
          </cell>
          <cell r="M219" t="str">
            <v>MEM3600-16U32FS</v>
          </cell>
          <cell r="N219" t="str">
            <v>16 TO 32 MB FACTORY FLASH UP GRADE FOR CISCO 3600</v>
          </cell>
          <cell r="O219">
            <v>600</v>
          </cell>
          <cell r="P219">
            <v>300</v>
          </cell>
          <cell r="Q219">
            <v>1</v>
          </cell>
          <cell r="R219">
            <v>300</v>
          </cell>
          <cell r="T219" t="str">
            <v>---</v>
          </cell>
          <cell r="W219" t="str">
            <v>3799568</v>
          </cell>
          <cell r="X219">
            <v>300</v>
          </cell>
          <cell r="Z219" t="str">
            <v>2030000067</v>
          </cell>
          <cell r="AA219">
            <v>342</v>
          </cell>
          <cell r="AB219">
            <v>37677</v>
          </cell>
          <cell r="AE219">
            <v>37739</v>
          </cell>
          <cell r="AF219" t="str">
            <v>C</v>
          </cell>
          <cell r="AG219">
            <v>22.5</v>
          </cell>
          <cell r="AH219">
            <v>7</v>
          </cell>
          <cell r="AI219">
            <v>342</v>
          </cell>
          <cell r="AJ219">
            <v>342</v>
          </cell>
        </row>
        <row r="220">
          <cell r="A220">
            <v>168960</v>
          </cell>
          <cell r="B220">
            <v>37643</v>
          </cell>
          <cell r="D220" t="str">
            <v>ENTEL CHILE - 1600001750</v>
          </cell>
          <cell r="E220">
            <v>3422410</v>
          </cell>
          <cell r="F220">
            <v>8044042</v>
          </cell>
          <cell r="G220">
            <v>2620001</v>
          </cell>
          <cell r="H220">
            <v>37644</v>
          </cell>
          <cell r="I220">
            <v>0.5</v>
          </cell>
          <cell r="J220">
            <v>1</v>
          </cell>
          <cell r="K220">
            <v>2.4</v>
          </cell>
          <cell r="M220" t="str">
            <v>MEM3640-32U96D</v>
          </cell>
          <cell r="N220" t="str">
            <v>32MB-TO-96MB DRAM FACTORY UPGRADEFOR CISCO 3640</v>
          </cell>
          <cell r="O220">
            <v>1920</v>
          </cell>
          <cell r="P220">
            <v>960</v>
          </cell>
          <cell r="Q220">
            <v>1</v>
          </cell>
          <cell r="R220">
            <v>960</v>
          </cell>
          <cell r="T220" t="str">
            <v>---</v>
          </cell>
          <cell r="W220" t="str">
            <v>3799568</v>
          </cell>
          <cell r="X220">
            <v>960</v>
          </cell>
          <cell r="Z220" t="str">
            <v>2030000067</v>
          </cell>
          <cell r="AA220">
            <v>570</v>
          </cell>
          <cell r="AB220">
            <v>37677</v>
          </cell>
          <cell r="AE220">
            <v>37739</v>
          </cell>
          <cell r="AF220" t="str">
            <v>C</v>
          </cell>
          <cell r="AG220">
            <v>72</v>
          </cell>
          <cell r="AH220">
            <v>1</v>
          </cell>
          <cell r="AI220">
            <v>570</v>
          </cell>
          <cell r="AJ220">
            <v>570</v>
          </cell>
        </row>
        <row r="221">
          <cell r="A221">
            <v>168960</v>
          </cell>
          <cell r="B221">
            <v>37643</v>
          </cell>
          <cell r="D221" t="str">
            <v>ENTEL CHILE - 1600001750</v>
          </cell>
          <cell r="E221">
            <v>3422410</v>
          </cell>
          <cell r="F221">
            <v>8044042</v>
          </cell>
          <cell r="G221">
            <v>2620001</v>
          </cell>
          <cell r="H221">
            <v>37644</v>
          </cell>
          <cell r="I221">
            <v>0.5</v>
          </cell>
          <cell r="J221">
            <v>1</v>
          </cell>
          <cell r="K221">
            <v>2.5</v>
          </cell>
          <cell r="M221" t="str">
            <v>NM-1E2W</v>
          </cell>
          <cell r="N221" t="str">
            <v>1-PORT ETHERNET NET MODULE</v>
          </cell>
          <cell r="O221">
            <v>1000</v>
          </cell>
          <cell r="P221">
            <v>500</v>
          </cell>
          <cell r="Q221">
            <v>1</v>
          </cell>
          <cell r="R221">
            <v>500</v>
          </cell>
          <cell r="T221" t="str">
            <v>---</v>
          </cell>
          <cell r="W221" t="str">
            <v>3799568</v>
          </cell>
          <cell r="X221">
            <v>500</v>
          </cell>
          <cell r="Z221" t="str">
            <v>2030000067</v>
          </cell>
          <cell r="AA221">
            <v>570</v>
          </cell>
          <cell r="AB221">
            <v>37677</v>
          </cell>
          <cell r="AE221">
            <v>37739</v>
          </cell>
          <cell r="AF221" t="str">
            <v>C</v>
          </cell>
          <cell r="AG221">
            <v>37.5</v>
          </cell>
          <cell r="AH221">
            <v>3</v>
          </cell>
          <cell r="AI221">
            <v>570</v>
          </cell>
          <cell r="AJ221">
            <v>570</v>
          </cell>
        </row>
        <row r="222">
          <cell r="A222">
            <v>168960</v>
          </cell>
          <cell r="B222">
            <v>37643</v>
          </cell>
          <cell r="D222" t="str">
            <v>ENTEL CHILE - 1600001750</v>
          </cell>
          <cell r="E222">
            <v>3422410</v>
          </cell>
          <cell r="F222">
            <v>8044042</v>
          </cell>
          <cell r="G222">
            <v>2620001</v>
          </cell>
          <cell r="H222">
            <v>37644</v>
          </cell>
          <cell r="I222">
            <v>0.5</v>
          </cell>
          <cell r="J222">
            <v>1</v>
          </cell>
          <cell r="K222">
            <v>2.6</v>
          </cell>
          <cell r="M222" t="str">
            <v>NM-1FE2CE1B</v>
          </cell>
          <cell r="N222" t="str">
            <v>1-PORT F ETHERNET 2 PORT CHANNELIZED E1-ISDNPRI BALANCED NM</v>
          </cell>
          <cell r="O222">
            <v>6050</v>
          </cell>
          <cell r="P222">
            <v>3025</v>
          </cell>
          <cell r="Q222">
            <v>1</v>
          </cell>
          <cell r="R222">
            <v>3025</v>
          </cell>
          <cell r="T222" t="str">
            <v>---</v>
          </cell>
          <cell r="W222" t="str">
            <v>3799568</v>
          </cell>
          <cell r="X222">
            <v>3025</v>
          </cell>
          <cell r="Z222" t="str">
            <v>2030000067</v>
          </cell>
          <cell r="AA222">
            <v>3449</v>
          </cell>
          <cell r="AB222">
            <v>37677</v>
          </cell>
          <cell r="AE222">
            <v>37739</v>
          </cell>
          <cell r="AF222" t="str">
            <v>C</v>
          </cell>
          <cell r="AG222">
            <v>226.875</v>
          </cell>
          <cell r="AH222">
            <v>12</v>
          </cell>
          <cell r="AI222">
            <v>3449</v>
          </cell>
          <cell r="AJ222">
            <v>3449</v>
          </cell>
        </row>
        <row r="223">
          <cell r="A223">
            <v>168960</v>
          </cell>
          <cell r="B223">
            <v>37643</v>
          </cell>
          <cell r="D223" t="str">
            <v>ENTEL CHILE - 1600001750</v>
          </cell>
          <cell r="E223">
            <v>3422410</v>
          </cell>
          <cell r="F223">
            <v>8044042</v>
          </cell>
          <cell r="G223">
            <v>2620001</v>
          </cell>
          <cell r="H223">
            <v>37644</v>
          </cell>
          <cell r="I223">
            <v>0.5</v>
          </cell>
          <cell r="J223">
            <v>1</v>
          </cell>
          <cell r="K223">
            <v>2.7</v>
          </cell>
          <cell r="M223" t="str">
            <v>NM-30DM</v>
          </cell>
          <cell r="N223" t="str">
            <v>30 PORT DIGITAL MODEM NETWORK MODULE</v>
          </cell>
          <cell r="O223">
            <v>8600</v>
          </cell>
          <cell r="P223">
            <v>4300</v>
          </cell>
          <cell r="Q223">
            <v>1</v>
          </cell>
          <cell r="R223">
            <v>4300</v>
          </cell>
          <cell r="T223" t="str">
            <v>---</v>
          </cell>
          <cell r="W223" t="str">
            <v>3799568</v>
          </cell>
          <cell r="X223">
            <v>4300</v>
          </cell>
          <cell r="Z223" t="str">
            <v>2030000067</v>
          </cell>
          <cell r="AA223">
            <v>4902</v>
          </cell>
          <cell r="AB223">
            <v>37677</v>
          </cell>
          <cell r="AE223">
            <v>37739</v>
          </cell>
          <cell r="AF223" t="str">
            <v>C</v>
          </cell>
          <cell r="AG223">
            <v>322.5</v>
          </cell>
          <cell r="AH223">
            <v>2</v>
          </cell>
          <cell r="AI223">
            <v>4902</v>
          </cell>
          <cell r="AJ223">
            <v>4902</v>
          </cell>
        </row>
        <row r="224">
          <cell r="A224">
            <v>168960</v>
          </cell>
          <cell r="B224">
            <v>37643</v>
          </cell>
          <cell r="D224" t="str">
            <v>ENTEL CHILE - 1600001750</v>
          </cell>
          <cell r="E224">
            <v>3422410</v>
          </cell>
          <cell r="F224">
            <v>8044042</v>
          </cell>
          <cell r="G224">
            <v>2620001</v>
          </cell>
          <cell r="H224">
            <v>37644</v>
          </cell>
          <cell r="I224">
            <v>0.5</v>
          </cell>
          <cell r="J224">
            <v>1</v>
          </cell>
          <cell r="K224">
            <v>2.8</v>
          </cell>
          <cell r="M224" t="str">
            <v>CAB-E1-BNC-3M</v>
          </cell>
          <cell r="N224" t="str">
            <v>E1 CABLE BNC E1 75 OHM/UNBALANCED M METERS</v>
          </cell>
          <cell r="O224">
            <v>100</v>
          </cell>
          <cell r="P224">
            <v>50</v>
          </cell>
          <cell r="Q224">
            <v>2</v>
          </cell>
          <cell r="R224">
            <v>100</v>
          </cell>
          <cell r="T224" t="str">
            <v>---</v>
          </cell>
          <cell r="W224" t="str">
            <v>3799568</v>
          </cell>
          <cell r="X224">
            <v>100</v>
          </cell>
          <cell r="Z224" t="str">
            <v>2030000067</v>
          </cell>
          <cell r="AA224">
            <v>228</v>
          </cell>
          <cell r="AB224">
            <v>37677</v>
          </cell>
          <cell r="AE224">
            <v>37739</v>
          </cell>
          <cell r="AF224" t="str">
            <v>-</v>
          </cell>
          <cell r="AG224">
            <v>0</v>
          </cell>
          <cell r="AH224">
            <v>13</v>
          </cell>
          <cell r="AI224">
            <v>114</v>
          </cell>
          <cell r="AJ224">
            <v>228</v>
          </cell>
        </row>
        <row r="225">
          <cell r="A225">
            <v>168960</v>
          </cell>
          <cell r="B225">
            <v>37643</v>
          </cell>
          <cell r="D225" t="str">
            <v>ENTEL CHILE - 1600001750</v>
          </cell>
          <cell r="E225">
            <v>3422410</v>
          </cell>
          <cell r="F225">
            <v>8044042</v>
          </cell>
          <cell r="G225">
            <v>2620001</v>
          </cell>
          <cell r="H225">
            <v>37644</v>
          </cell>
          <cell r="I225">
            <v>0.5</v>
          </cell>
          <cell r="J225">
            <v>1</v>
          </cell>
          <cell r="K225">
            <v>4</v>
          </cell>
          <cell r="M225" t="str">
            <v>CISCO1720</v>
          </cell>
          <cell r="N225" t="str">
            <v>10/100 BASE T MODULAR ROUTER W/2 WAN SLOTS 8M FLASH/32M DRAM</v>
          </cell>
          <cell r="O225">
            <v>1195</v>
          </cell>
          <cell r="P225">
            <v>597.5</v>
          </cell>
          <cell r="Q225">
            <v>24</v>
          </cell>
          <cell r="R225">
            <v>14340</v>
          </cell>
          <cell r="T225" t="str">
            <v>---</v>
          </cell>
          <cell r="W225" t="str">
            <v>3799568</v>
          </cell>
          <cell r="X225">
            <v>14340</v>
          </cell>
          <cell r="Z225" t="str">
            <v>2030000067</v>
          </cell>
          <cell r="AA225">
            <v>16344</v>
          </cell>
          <cell r="AB225">
            <v>37677</v>
          </cell>
          <cell r="AE225">
            <v>37739</v>
          </cell>
          <cell r="AF225" t="str">
            <v>D</v>
          </cell>
          <cell r="AG225">
            <v>286.8</v>
          </cell>
          <cell r="AH225">
            <v>14</v>
          </cell>
          <cell r="AI225">
            <v>681</v>
          </cell>
          <cell r="AJ225">
            <v>16344</v>
          </cell>
        </row>
        <row r="226">
          <cell r="A226">
            <v>168960</v>
          </cell>
          <cell r="B226">
            <v>37643</v>
          </cell>
          <cell r="D226" t="str">
            <v>ENTEL CHILE - 1600001750</v>
          </cell>
          <cell r="E226">
            <v>3422410</v>
          </cell>
          <cell r="F226">
            <v>8044042</v>
          </cell>
          <cell r="G226">
            <v>2620001</v>
          </cell>
          <cell r="H226">
            <v>37644</v>
          </cell>
          <cell r="I226">
            <v>0.5</v>
          </cell>
          <cell r="J226">
            <v>1</v>
          </cell>
          <cell r="K226">
            <v>4.0999999999999996</v>
          </cell>
          <cell r="M226" t="str">
            <v>CAB-ACI</v>
          </cell>
          <cell r="N226" t="str">
            <v>Power Cord-Italian</v>
          </cell>
          <cell r="O226">
            <v>0</v>
          </cell>
          <cell r="P226">
            <v>0</v>
          </cell>
          <cell r="Q226">
            <v>24</v>
          </cell>
          <cell r="R226">
            <v>0</v>
          </cell>
          <cell r="T226" t="str">
            <v>---</v>
          </cell>
          <cell r="W226" t="str">
            <v>3799568</v>
          </cell>
          <cell r="X226">
            <v>0</v>
          </cell>
          <cell r="Z226" t="str">
            <v>2030000067</v>
          </cell>
          <cell r="AA226">
            <v>0.24</v>
          </cell>
          <cell r="AB226">
            <v>37677</v>
          </cell>
          <cell r="AE226">
            <v>37739</v>
          </cell>
          <cell r="AF226" t="str">
            <v>-</v>
          </cell>
          <cell r="AG226">
            <v>0</v>
          </cell>
          <cell r="AH226">
            <v>18</v>
          </cell>
          <cell r="AI226">
            <v>0.01</v>
          </cell>
          <cell r="AJ226">
            <v>0.24</v>
          </cell>
        </row>
        <row r="227">
          <cell r="A227">
            <v>168960</v>
          </cell>
          <cell r="B227">
            <v>37643</v>
          </cell>
          <cell r="D227" t="str">
            <v>ENTEL CHILE - 1600001750</v>
          </cell>
          <cell r="E227">
            <v>3422410</v>
          </cell>
          <cell r="F227">
            <v>8044042</v>
          </cell>
          <cell r="G227">
            <v>2620001</v>
          </cell>
          <cell r="H227">
            <v>37644</v>
          </cell>
          <cell r="I227">
            <v>0.5</v>
          </cell>
          <cell r="J227">
            <v>1</v>
          </cell>
          <cell r="K227">
            <v>4.2</v>
          </cell>
          <cell r="M227" t="str">
            <v>WIC-1B-S/T</v>
          </cell>
          <cell r="N227" t="str">
            <v>1-PORT ISDN WAN INTERFACE CARD (DIAL AND LEASED LINE)</v>
          </cell>
          <cell r="O227">
            <v>500</v>
          </cell>
          <cell r="P227">
            <v>250</v>
          </cell>
          <cell r="Q227">
            <v>24</v>
          </cell>
          <cell r="R227">
            <v>6000</v>
          </cell>
          <cell r="T227" t="str">
            <v>---</v>
          </cell>
          <cell r="W227" t="str">
            <v>3799568</v>
          </cell>
          <cell r="X227">
            <v>6000</v>
          </cell>
          <cell r="Z227" t="str">
            <v>2030000067</v>
          </cell>
          <cell r="AA227">
            <v>6840</v>
          </cell>
          <cell r="AB227">
            <v>37677</v>
          </cell>
          <cell r="AE227">
            <v>37739</v>
          </cell>
          <cell r="AF227" t="str">
            <v>C</v>
          </cell>
          <cell r="AG227">
            <v>450</v>
          </cell>
          <cell r="AH227">
            <v>19</v>
          </cell>
          <cell r="AI227">
            <v>285</v>
          </cell>
          <cell r="AJ227">
            <v>6840</v>
          </cell>
        </row>
        <row r="228">
          <cell r="A228">
            <v>168960</v>
          </cell>
          <cell r="B228">
            <v>37643</v>
          </cell>
          <cell r="D228" t="str">
            <v>ENTEL CHILE - 1600001750</v>
          </cell>
          <cell r="E228">
            <v>3422410</v>
          </cell>
          <cell r="F228">
            <v>8044042</v>
          </cell>
          <cell r="G228">
            <v>2620001</v>
          </cell>
          <cell r="H228">
            <v>37644</v>
          </cell>
          <cell r="I228">
            <v>0.5</v>
          </cell>
          <cell r="J228">
            <v>1</v>
          </cell>
          <cell r="K228">
            <v>4.3</v>
          </cell>
          <cell r="M228" t="str">
            <v>WIC-1T</v>
          </cell>
          <cell r="N228" t="str">
            <v>1-PORT SERIAL WAN INERFACE CARD</v>
          </cell>
          <cell r="O228">
            <v>400</v>
          </cell>
          <cell r="P228">
            <v>200</v>
          </cell>
          <cell r="Q228">
            <v>24</v>
          </cell>
          <cell r="R228">
            <v>4800</v>
          </cell>
          <cell r="T228" t="str">
            <v>---</v>
          </cell>
          <cell r="W228" t="str">
            <v>3799568</v>
          </cell>
          <cell r="X228">
            <v>4800</v>
          </cell>
          <cell r="Z228" t="str">
            <v>2030000067</v>
          </cell>
          <cell r="AA228">
            <v>5472</v>
          </cell>
          <cell r="AB228">
            <v>37677</v>
          </cell>
          <cell r="AE228">
            <v>37739</v>
          </cell>
          <cell r="AF228" t="str">
            <v>D</v>
          </cell>
          <cell r="AG228">
            <v>96</v>
          </cell>
          <cell r="AH228">
            <v>5</v>
          </cell>
          <cell r="AI228">
            <v>228</v>
          </cell>
          <cell r="AJ228">
            <v>5472</v>
          </cell>
        </row>
        <row r="229">
          <cell r="A229">
            <v>168960</v>
          </cell>
          <cell r="B229">
            <v>37643</v>
          </cell>
          <cell r="D229" t="str">
            <v>ENTEL CHILE - 1600001750</v>
          </cell>
          <cell r="E229">
            <v>3422410</v>
          </cell>
          <cell r="F229">
            <v>8044042</v>
          </cell>
          <cell r="G229">
            <v>2620001</v>
          </cell>
          <cell r="H229">
            <v>37644</v>
          </cell>
          <cell r="I229">
            <v>0.5</v>
          </cell>
          <cell r="J229">
            <v>1</v>
          </cell>
          <cell r="K229">
            <v>4.4000000000000004</v>
          </cell>
          <cell r="M229" t="str">
            <v>CAB-V35MT</v>
          </cell>
          <cell r="N229" t="str">
            <v>V.35 CABLE, DTE, MALE, 10 FEET</v>
          </cell>
          <cell r="O229">
            <v>100</v>
          </cell>
          <cell r="P229">
            <v>50</v>
          </cell>
          <cell r="Q229">
            <v>24</v>
          </cell>
          <cell r="R229">
            <v>1200</v>
          </cell>
          <cell r="T229" t="str">
            <v>---</v>
          </cell>
          <cell r="W229" t="str">
            <v>3799568</v>
          </cell>
          <cell r="X229">
            <v>1200</v>
          </cell>
          <cell r="Z229" t="str">
            <v>2030000067</v>
          </cell>
          <cell r="AA229">
            <v>1368</v>
          </cell>
          <cell r="AB229">
            <v>37677</v>
          </cell>
          <cell r="AE229">
            <v>37739</v>
          </cell>
          <cell r="AF229" t="str">
            <v>-</v>
          </cell>
          <cell r="AG229">
            <v>0</v>
          </cell>
          <cell r="AH229">
            <v>17</v>
          </cell>
          <cell r="AI229">
            <v>57</v>
          </cell>
          <cell r="AJ229">
            <v>1368</v>
          </cell>
        </row>
        <row r="230">
          <cell r="A230">
            <v>168960</v>
          </cell>
          <cell r="B230">
            <v>37643</v>
          </cell>
          <cell r="D230" t="str">
            <v>ENTEL CHILE - 1600001750</v>
          </cell>
          <cell r="E230">
            <v>3422410</v>
          </cell>
          <cell r="F230">
            <v>8044042</v>
          </cell>
          <cell r="G230">
            <v>2620001</v>
          </cell>
          <cell r="H230">
            <v>37644</v>
          </cell>
          <cell r="I230">
            <v>0.5</v>
          </cell>
          <cell r="J230">
            <v>1</v>
          </cell>
          <cell r="K230">
            <v>4.5</v>
          </cell>
          <cell r="M230" t="str">
            <v>S17CP-12105T</v>
          </cell>
          <cell r="N230" t="str">
            <v>CISCO 1700 SER IOS IP PLUS</v>
          </cell>
          <cell r="O230">
            <v>400</v>
          </cell>
          <cell r="P230">
            <v>200</v>
          </cell>
          <cell r="Q230">
            <v>24</v>
          </cell>
          <cell r="R230">
            <v>4800</v>
          </cell>
          <cell r="T230" t="str">
            <v>---</v>
          </cell>
          <cell r="W230" t="str">
            <v>3799568</v>
          </cell>
          <cell r="X230">
            <v>4800</v>
          </cell>
          <cell r="Z230" t="str">
            <v>2030000067</v>
          </cell>
          <cell r="AA230">
            <v>5472</v>
          </cell>
          <cell r="AB230">
            <v>37677</v>
          </cell>
          <cell r="AE230">
            <v>37739</v>
          </cell>
          <cell r="AF230" t="str">
            <v>D</v>
          </cell>
          <cell r="AG230">
            <v>96</v>
          </cell>
          <cell r="AH230">
            <v>9</v>
          </cell>
          <cell r="AI230">
            <v>228</v>
          </cell>
          <cell r="AJ230">
            <v>5472</v>
          </cell>
        </row>
        <row r="231">
          <cell r="A231">
            <v>168960</v>
          </cell>
          <cell r="B231">
            <v>37643</v>
          </cell>
          <cell r="D231" t="str">
            <v>ENTEL CHILE - 1600001750</v>
          </cell>
          <cell r="E231">
            <v>3422410</v>
          </cell>
          <cell r="F231">
            <v>8044042</v>
          </cell>
          <cell r="G231">
            <v>2620001</v>
          </cell>
          <cell r="H231">
            <v>37644</v>
          </cell>
          <cell r="I231">
            <v>0.5</v>
          </cell>
          <cell r="J231">
            <v>1</v>
          </cell>
          <cell r="K231">
            <v>4.5999999999999996</v>
          </cell>
          <cell r="M231" t="str">
            <v>MEM1700-16U32D</v>
          </cell>
          <cell r="N231" t="str">
            <v>CISCO 1700 16MB TO 32 MB DRAM FACTORY UPGRADE</v>
          </cell>
          <cell r="O231">
            <v>0</v>
          </cell>
          <cell r="P231">
            <v>0</v>
          </cell>
          <cell r="Q231">
            <v>24</v>
          </cell>
          <cell r="R231">
            <v>0</v>
          </cell>
          <cell r="T231" t="str">
            <v>---</v>
          </cell>
          <cell r="W231" t="str">
            <v>3799568</v>
          </cell>
          <cell r="X231">
            <v>0</v>
          </cell>
          <cell r="Z231" t="str">
            <v>2030000067</v>
          </cell>
          <cell r="AA231">
            <v>6840</v>
          </cell>
          <cell r="AB231">
            <v>37677</v>
          </cell>
          <cell r="AE231">
            <v>37739</v>
          </cell>
          <cell r="AF231" t="str">
            <v>D</v>
          </cell>
          <cell r="AG231">
            <v>0</v>
          </cell>
          <cell r="AH231">
            <v>16</v>
          </cell>
          <cell r="AI231">
            <v>285</v>
          </cell>
          <cell r="AJ231">
            <v>6840</v>
          </cell>
        </row>
        <row r="232">
          <cell r="A232">
            <v>168960</v>
          </cell>
          <cell r="B232">
            <v>37643</v>
          </cell>
          <cell r="D232" t="str">
            <v>ENTEL CHILE - 1600001750</v>
          </cell>
          <cell r="E232">
            <v>3422410</v>
          </cell>
          <cell r="F232">
            <v>8044042</v>
          </cell>
          <cell r="G232">
            <v>2620001</v>
          </cell>
          <cell r="H232">
            <v>37644</v>
          </cell>
          <cell r="I232">
            <v>0.5</v>
          </cell>
          <cell r="J232">
            <v>1</v>
          </cell>
          <cell r="K232">
            <v>4.7</v>
          </cell>
          <cell r="M232" t="str">
            <v>MEM1700-8MFC</v>
          </cell>
          <cell r="N232" t="str">
            <v>CISCO 1700 8MB MINI FLASH CARD</v>
          </cell>
          <cell r="O232">
            <v>0</v>
          </cell>
          <cell r="P232">
            <v>0</v>
          </cell>
          <cell r="Q232">
            <v>24</v>
          </cell>
          <cell r="R232">
            <v>0</v>
          </cell>
          <cell r="T232" t="str">
            <v>---</v>
          </cell>
          <cell r="W232" t="str">
            <v>3799568</v>
          </cell>
          <cell r="X232">
            <v>0</v>
          </cell>
          <cell r="Z232" t="str">
            <v>2030000067</v>
          </cell>
          <cell r="AA232">
            <v>4800</v>
          </cell>
          <cell r="AB232">
            <v>37677</v>
          </cell>
          <cell r="AE232">
            <v>37739</v>
          </cell>
          <cell r="AF232" t="str">
            <v>D</v>
          </cell>
          <cell r="AG232">
            <v>0</v>
          </cell>
          <cell r="AH232">
            <v>8</v>
          </cell>
          <cell r="AI232">
            <v>200</v>
          </cell>
          <cell r="AJ232">
            <v>4800</v>
          </cell>
        </row>
        <row r="233">
          <cell r="A233">
            <v>168964</v>
          </cell>
          <cell r="B233">
            <v>37652</v>
          </cell>
          <cell r="D233" t="str">
            <v>ENTEL CHILE - 1600001759</v>
          </cell>
          <cell r="E233">
            <v>3455118</v>
          </cell>
          <cell r="F233">
            <v>8058236</v>
          </cell>
          <cell r="G233">
            <v>2607577</v>
          </cell>
          <cell r="H233">
            <v>37672</v>
          </cell>
          <cell r="I233">
            <v>0.5</v>
          </cell>
          <cell r="J233">
            <v>1</v>
          </cell>
          <cell r="K233" t="str">
            <v xml:space="preserve">1.0 </v>
          </cell>
          <cell r="M233" t="str">
            <v>CISCO1721</v>
          </cell>
          <cell r="N233" t="str">
            <v>CISCO1721 10/100BaseT Modular Router w/2 WAN slots, 16M Flash/32M DRAM /</v>
          </cell>
          <cell r="O233">
            <v>1195</v>
          </cell>
          <cell r="P233">
            <v>597.5</v>
          </cell>
          <cell r="Q233">
            <v>18</v>
          </cell>
          <cell r="R233">
            <v>10755</v>
          </cell>
          <cell r="T233" t="str">
            <v>---</v>
          </cell>
          <cell r="W233" t="str">
            <v>3815967</v>
          </cell>
          <cell r="X233">
            <v>10755</v>
          </cell>
          <cell r="Z233" t="str">
            <v>203000117</v>
          </cell>
          <cell r="AA233">
            <v>12258</v>
          </cell>
          <cell r="AB233">
            <v>37693</v>
          </cell>
          <cell r="AE233">
            <v>37739</v>
          </cell>
          <cell r="AF233" t="str">
            <v>D</v>
          </cell>
          <cell r="AG233">
            <v>215.1</v>
          </cell>
          <cell r="AH233">
            <v>3</v>
          </cell>
          <cell r="AI233">
            <v>681</v>
          </cell>
          <cell r="AJ233">
            <v>12258</v>
          </cell>
        </row>
        <row r="234">
          <cell r="A234">
            <v>168964</v>
          </cell>
          <cell r="B234">
            <v>37652</v>
          </cell>
          <cell r="D234" t="str">
            <v>ENTEL CHILE - 1600001759</v>
          </cell>
          <cell r="E234">
            <v>3455118</v>
          </cell>
          <cell r="F234">
            <v>8058236</v>
          </cell>
          <cell r="G234">
            <v>2607577</v>
          </cell>
          <cell r="H234">
            <v>37672</v>
          </cell>
          <cell r="I234">
            <v>0.5</v>
          </cell>
          <cell r="J234">
            <v>1</v>
          </cell>
          <cell r="K234" t="str">
            <v xml:space="preserve">1.1 </v>
          </cell>
          <cell r="M234" t="str">
            <v>WIC-1ADSL</v>
          </cell>
          <cell r="N234" t="str">
            <v>WIC-1ADSL 1-port ADSL WAN Interface Card</v>
          </cell>
          <cell r="O234">
            <v>750</v>
          </cell>
          <cell r="P234">
            <v>375</v>
          </cell>
          <cell r="Q234">
            <v>18</v>
          </cell>
          <cell r="R234">
            <v>6750</v>
          </cell>
          <cell r="T234" t="str">
            <v>---</v>
          </cell>
          <cell r="W234" t="str">
            <v>3815967</v>
          </cell>
          <cell r="X234">
            <v>6750</v>
          </cell>
          <cell r="Z234" t="str">
            <v>203000117</v>
          </cell>
          <cell r="AA234">
            <v>7704</v>
          </cell>
          <cell r="AB234">
            <v>37693</v>
          </cell>
          <cell r="AE234">
            <v>37739</v>
          </cell>
          <cell r="AF234" t="str">
            <v>D</v>
          </cell>
          <cell r="AG234">
            <v>135</v>
          </cell>
          <cell r="AH234">
            <v>8</v>
          </cell>
          <cell r="AI234">
            <v>428</v>
          </cell>
          <cell r="AJ234">
            <v>7704</v>
          </cell>
        </row>
        <row r="235">
          <cell r="A235">
            <v>168964</v>
          </cell>
          <cell r="B235">
            <v>37652</v>
          </cell>
          <cell r="D235" t="str">
            <v>ENTEL CHILE - 1600001759</v>
          </cell>
          <cell r="E235">
            <v>3455118</v>
          </cell>
          <cell r="F235">
            <v>8058236</v>
          </cell>
          <cell r="G235">
            <v>2607577</v>
          </cell>
          <cell r="H235">
            <v>37672</v>
          </cell>
          <cell r="I235">
            <v>0.5</v>
          </cell>
          <cell r="J235">
            <v>1</v>
          </cell>
          <cell r="K235" t="str">
            <v xml:space="preserve">1.2 </v>
          </cell>
          <cell r="M235" t="str">
            <v>WIC-1B-S/T</v>
          </cell>
          <cell r="N235" t="str">
            <v>WIC-1B-S/T 1-Port ISDN WAN Interface Card(dial and leased line)</v>
          </cell>
          <cell r="O235">
            <v>500</v>
          </cell>
          <cell r="P235">
            <v>250</v>
          </cell>
          <cell r="Q235">
            <v>18</v>
          </cell>
          <cell r="R235">
            <v>4500</v>
          </cell>
          <cell r="T235" t="str">
            <v>---</v>
          </cell>
          <cell r="W235" t="str">
            <v>3815967</v>
          </cell>
          <cell r="X235">
            <v>4500</v>
          </cell>
          <cell r="Z235" t="str">
            <v>203000117</v>
          </cell>
          <cell r="AA235">
            <v>5130</v>
          </cell>
          <cell r="AB235">
            <v>37693</v>
          </cell>
          <cell r="AE235">
            <v>37739</v>
          </cell>
          <cell r="AF235" t="str">
            <v>C</v>
          </cell>
          <cell r="AG235">
            <v>337.5</v>
          </cell>
          <cell r="AH235">
            <v>1</v>
          </cell>
          <cell r="AI235">
            <v>285</v>
          </cell>
          <cell r="AJ235">
            <v>5130</v>
          </cell>
        </row>
        <row r="236">
          <cell r="A236">
            <v>168964</v>
          </cell>
          <cell r="B236">
            <v>37652</v>
          </cell>
          <cell r="D236" t="str">
            <v>ENTEL CHILE - 1600001759</v>
          </cell>
          <cell r="E236">
            <v>3455118</v>
          </cell>
          <cell r="F236">
            <v>8058236</v>
          </cell>
          <cell r="G236">
            <v>2607577</v>
          </cell>
          <cell r="H236">
            <v>37672</v>
          </cell>
          <cell r="I236">
            <v>0.5</v>
          </cell>
          <cell r="J236">
            <v>1</v>
          </cell>
          <cell r="K236" t="str">
            <v xml:space="preserve">1.3 </v>
          </cell>
          <cell r="M236" t="str">
            <v>S17C7-12208T</v>
          </cell>
          <cell r="N236" t="str">
            <v>S17C7-12208T Cisco 1700 IOS IP/ADSL</v>
          </cell>
          <cell r="O236">
            <v>0</v>
          </cell>
          <cell r="P236">
            <v>0</v>
          </cell>
          <cell r="Q236">
            <v>18</v>
          </cell>
          <cell r="R236">
            <v>0</v>
          </cell>
          <cell r="T236" t="str">
            <v>---</v>
          </cell>
          <cell r="W236" t="str">
            <v>3815967</v>
          </cell>
          <cell r="X236">
            <v>0</v>
          </cell>
          <cell r="Z236" t="str">
            <v>203000117</v>
          </cell>
          <cell r="AA236">
            <v>0</v>
          </cell>
          <cell r="AB236">
            <v>37693</v>
          </cell>
          <cell r="AE236">
            <v>37739</v>
          </cell>
          <cell r="AF236" t="str">
            <v>D</v>
          </cell>
          <cell r="AG236">
            <v>0</v>
          </cell>
          <cell r="AH236">
            <v>3</v>
          </cell>
          <cell r="AI236">
            <v>0</v>
          </cell>
          <cell r="AJ236">
            <v>0</v>
          </cell>
        </row>
        <row r="237">
          <cell r="A237">
            <v>168964</v>
          </cell>
          <cell r="B237">
            <v>37652</v>
          </cell>
          <cell r="D237" t="str">
            <v>ENTEL CHILE - 1600001759</v>
          </cell>
          <cell r="E237">
            <v>3455118</v>
          </cell>
          <cell r="F237">
            <v>8058236</v>
          </cell>
          <cell r="G237">
            <v>2607577</v>
          </cell>
          <cell r="H237">
            <v>37672</v>
          </cell>
          <cell r="I237">
            <v>0.5</v>
          </cell>
          <cell r="J237">
            <v>1</v>
          </cell>
          <cell r="K237" t="str">
            <v xml:space="preserve">1.4 </v>
          </cell>
          <cell r="M237" t="str">
            <v>CAB-ACI</v>
          </cell>
          <cell r="N237" t="str">
            <v>CAB-ACI Power Cord-Italian</v>
          </cell>
          <cell r="O237">
            <v>0</v>
          </cell>
          <cell r="P237">
            <v>0</v>
          </cell>
          <cell r="Q237">
            <v>18</v>
          </cell>
          <cell r="R237">
            <v>0</v>
          </cell>
          <cell r="T237" t="str">
            <v>---</v>
          </cell>
          <cell r="W237" t="str">
            <v>3815967</v>
          </cell>
          <cell r="X237">
            <v>0</v>
          </cell>
          <cell r="Z237" t="str">
            <v>203000117</v>
          </cell>
          <cell r="AA237">
            <v>0</v>
          </cell>
          <cell r="AB237">
            <v>37693</v>
          </cell>
          <cell r="AE237">
            <v>37739</v>
          </cell>
          <cell r="AF237" t="str">
            <v>-</v>
          </cell>
          <cell r="AG237">
            <v>0</v>
          </cell>
          <cell r="AH237">
            <v>3</v>
          </cell>
          <cell r="AI237">
            <v>0</v>
          </cell>
          <cell r="AJ237">
            <v>0</v>
          </cell>
        </row>
        <row r="238">
          <cell r="A238">
            <v>168964</v>
          </cell>
          <cell r="B238">
            <v>37652</v>
          </cell>
          <cell r="D238" t="str">
            <v>ENTEL CHILE - 1600001759</v>
          </cell>
          <cell r="E238">
            <v>3455118</v>
          </cell>
          <cell r="F238">
            <v>8058236</v>
          </cell>
          <cell r="G238">
            <v>2607577</v>
          </cell>
          <cell r="H238">
            <v>37672</v>
          </cell>
          <cell r="I238">
            <v>0.5</v>
          </cell>
          <cell r="J238">
            <v>1</v>
          </cell>
          <cell r="K238" t="str">
            <v xml:space="preserve">1.5 </v>
          </cell>
          <cell r="M238" t="str">
            <v>CAB-ADSL-RJ11</v>
          </cell>
          <cell r="N238" t="str">
            <v>CAB-ADSL-RJ11 Lavender Cable for xDSL, Straight-through, RJ-11, 6 feet</v>
          </cell>
          <cell r="O238">
            <v>0</v>
          </cell>
          <cell r="P238">
            <v>0</v>
          </cell>
          <cell r="Q238">
            <v>18</v>
          </cell>
          <cell r="R238">
            <v>0</v>
          </cell>
          <cell r="T238" t="str">
            <v>---</v>
          </cell>
          <cell r="W238" t="str">
            <v>3815967</v>
          </cell>
          <cell r="X238">
            <v>0</v>
          </cell>
          <cell r="Z238" t="str">
            <v>203000117</v>
          </cell>
          <cell r="AA238">
            <v>0</v>
          </cell>
          <cell r="AB238">
            <v>37693</v>
          </cell>
          <cell r="AE238">
            <v>37739</v>
          </cell>
          <cell r="AF238" t="str">
            <v>-</v>
          </cell>
          <cell r="AG238">
            <v>0</v>
          </cell>
          <cell r="AH238">
            <v>3</v>
          </cell>
          <cell r="AI238">
            <v>0</v>
          </cell>
          <cell r="AJ238">
            <v>0</v>
          </cell>
        </row>
        <row r="239">
          <cell r="A239">
            <v>168964</v>
          </cell>
          <cell r="B239">
            <v>37652</v>
          </cell>
          <cell r="D239" t="str">
            <v>ENTEL CHILE - 1600001759</v>
          </cell>
          <cell r="E239">
            <v>3455118</v>
          </cell>
          <cell r="F239">
            <v>8058236</v>
          </cell>
          <cell r="G239">
            <v>2607577</v>
          </cell>
          <cell r="H239">
            <v>37672</v>
          </cell>
          <cell r="I239">
            <v>0.5</v>
          </cell>
          <cell r="J239">
            <v>1</v>
          </cell>
          <cell r="K239" t="str">
            <v xml:space="preserve">2.0 </v>
          </cell>
          <cell r="M239" t="str">
            <v>CISCO3725</v>
          </cell>
          <cell r="N239" t="str">
            <v>CISCO3725 Cisco 3700 Series 2-slot Multiservice Access Router /</v>
          </cell>
          <cell r="O239">
            <v>8500</v>
          </cell>
          <cell r="P239">
            <v>4250</v>
          </cell>
          <cell r="Q239">
            <v>2</v>
          </cell>
          <cell r="R239">
            <v>8500</v>
          </cell>
          <cell r="T239" t="str">
            <v>---</v>
          </cell>
          <cell r="W239" t="str">
            <v>3815967</v>
          </cell>
          <cell r="X239">
            <v>8500</v>
          </cell>
          <cell r="Z239" t="str">
            <v>203000117</v>
          </cell>
          <cell r="AA239">
            <v>9690</v>
          </cell>
          <cell r="AB239">
            <v>37693</v>
          </cell>
          <cell r="AE239">
            <v>37739</v>
          </cell>
          <cell r="AF239" t="str">
            <v>C</v>
          </cell>
          <cell r="AG239">
            <v>637.5</v>
          </cell>
          <cell r="AH239">
            <v>4</v>
          </cell>
          <cell r="AI239">
            <v>4845</v>
          </cell>
          <cell r="AJ239">
            <v>9690</v>
          </cell>
        </row>
        <row r="240">
          <cell r="A240">
            <v>168964</v>
          </cell>
          <cell r="B240">
            <v>37652</v>
          </cell>
          <cell r="D240" t="str">
            <v>ENTEL CHILE - 1600001759</v>
          </cell>
          <cell r="E240">
            <v>3455118</v>
          </cell>
          <cell r="F240">
            <v>8058236</v>
          </cell>
          <cell r="G240">
            <v>2607577</v>
          </cell>
          <cell r="H240">
            <v>37672</v>
          </cell>
          <cell r="I240">
            <v>0.5</v>
          </cell>
          <cell r="J240">
            <v>1</v>
          </cell>
          <cell r="K240" t="str">
            <v xml:space="preserve">2.1 </v>
          </cell>
          <cell r="M240" t="str">
            <v>NM-2FE2W</v>
          </cell>
          <cell r="N240" t="str">
            <v>NM-2FE2W 2 10/100 Ethernet 2 WAN Card Slot Network Module</v>
          </cell>
          <cell r="O240">
            <v>3200</v>
          </cell>
          <cell r="P240">
            <v>1600</v>
          </cell>
          <cell r="Q240">
            <v>2</v>
          </cell>
          <cell r="R240">
            <v>3200</v>
          </cell>
          <cell r="T240" t="str">
            <v>---</v>
          </cell>
          <cell r="W240" t="str">
            <v>3815967</v>
          </cell>
          <cell r="X240">
            <v>3200</v>
          </cell>
          <cell r="Z240" t="str">
            <v>203000117</v>
          </cell>
          <cell r="AA240">
            <v>3648</v>
          </cell>
          <cell r="AB240">
            <v>37693</v>
          </cell>
          <cell r="AE240">
            <v>37739</v>
          </cell>
          <cell r="AF240" t="str">
            <v>C</v>
          </cell>
          <cell r="AG240">
            <v>240</v>
          </cell>
          <cell r="AH240">
            <v>7</v>
          </cell>
          <cell r="AI240">
            <v>1824</v>
          </cell>
          <cell r="AJ240">
            <v>3648</v>
          </cell>
        </row>
        <row r="241">
          <cell r="A241">
            <v>168964</v>
          </cell>
          <cell r="B241">
            <v>37652</v>
          </cell>
          <cell r="D241" t="str">
            <v>ENTEL CHILE - 1600001759</v>
          </cell>
          <cell r="E241">
            <v>3455118</v>
          </cell>
          <cell r="F241">
            <v>8058236</v>
          </cell>
          <cell r="G241">
            <v>2607577</v>
          </cell>
          <cell r="H241">
            <v>37672</v>
          </cell>
          <cell r="I241">
            <v>0.5</v>
          </cell>
          <cell r="J241">
            <v>1</v>
          </cell>
          <cell r="K241" t="str">
            <v xml:space="preserve">2.2 </v>
          </cell>
          <cell r="M241" t="str">
            <v>WIC-2T</v>
          </cell>
          <cell r="N241" t="str">
            <v>WIC-2T 2-Port Serial WAN Interface Card</v>
          </cell>
          <cell r="O241">
            <v>700</v>
          </cell>
          <cell r="P241">
            <v>350</v>
          </cell>
          <cell r="Q241">
            <v>4</v>
          </cell>
          <cell r="R241">
            <v>1400</v>
          </cell>
          <cell r="T241" t="str">
            <v>---</v>
          </cell>
          <cell r="W241" t="str">
            <v>3815967</v>
          </cell>
          <cell r="X241">
            <v>1400</v>
          </cell>
          <cell r="Z241" t="str">
            <v>203000117</v>
          </cell>
          <cell r="AA241">
            <v>1596</v>
          </cell>
          <cell r="AB241">
            <v>37693</v>
          </cell>
          <cell r="AE241">
            <v>37739</v>
          </cell>
          <cell r="AF241" t="str">
            <v>C</v>
          </cell>
          <cell r="AG241">
            <v>105</v>
          </cell>
          <cell r="AH241">
            <v>2</v>
          </cell>
          <cell r="AI241">
            <v>399</v>
          </cell>
          <cell r="AJ241">
            <v>1596</v>
          </cell>
        </row>
        <row r="242">
          <cell r="A242">
            <v>168964</v>
          </cell>
          <cell r="B242">
            <v>37652</v>
          </cell>
          <cell r="D242" t="str">
            <v>ENTEL CHILE - 1600001759</v>
          </cell>
          <cell r="E242">
            <v>3455118</v>
          </cell>
          <cell r="F242">
            <v>8058236</v>
          </cell>
          <cell r="G242">
            <v>2607577</v>
          </cell>
          <cell r="H242">
            <v>37672</v>
          </cell>
          <cell r="I242">
            <v>0.5</v>
          </cell>
          <cell r="J242">
            <v>1</v>
          </cell>
          <cell r="K242" t="str">
            <v xml:space="preserve">2.3 </v>
          </cell>
          <cell r="M242" t="str">
            <v>CAB-ACI</v>
          </cell>
          <cell r="N242" t="str">
            <v>CAB-ACI Power Cord-Italian</v>
          </cell>
          <cell r="O242">
            <v>0</v>
          </cell>
          <cell r="P242">
            <v>0</v>
          </cell>
          <cell r="Q242">
            <v>2</v>
          </cell>
          <cell r="R242">
            <v>0</v>
          </cell>
          <cell r="T242" t="str">
            <v>---</v>
          </cell>
          <cell r="W242" t="str">
            <v>3815967</v>
          </cell>
          <cell r="X242">
            <v>0</v>
          </cell>
          <cell r="Z242" t="str">
            <v>203000117</v>
          </cell>
          <cell r="AA242">
            <v>0</v>
          </cell>
          <cell r="AB242">
            <v>37693</v>
          </cell>
          <cell r="AE242">
            <v>37739</v>
          </cell>
          <cell r="AF242" t="str">
            <v>-</v>
          </cell>
          <cell r="AG242">
            <v>0</v>
          </cell>
          <cell r="AH242">
            <v>4</v>
          </cell>
          <cell r="AI242">
            <v>0</v>
          </cell>
          <cell r="AJ242">
            <v>0</v>
          </cell>
        </row>
        <row r="243">
          <cell r="A243">
            <v>168964</v>
          </cell>
          <cell r="B243">
            <v>37652</v>
          </cell>
          <cell r="D243" t="str">
            <v>ENTEL CHILE - 1600001759</v>
          </cell>
          <cell r="E243">
            <v>3455118</v>
          </cell>
          <cell r="F243">
            <v>8058236</v>
          </cell>
          <cell r="G243">
            <v>2607577</v>
          </cell>
          <cell r="H243">
            <v>37672</v>
          </cell>
          <cell r="I243">
            <v>0.5</v>
          </cell>
          <cell r="J243">
            <v>1</v>
          </cell>
          <cell r="K243" t="str">
            <v xml:space="preserve">2.4 </v>
          </cell>
          <cell r="M243" t="str">
            <v>CAB-SS-V35MT</v>
          </cell>
          <cell r="N243" t="str">
            <v>CAB-SS-V35MT V.35 Cable, DTE Male to Smart Serial, 10 Feet</v>
          </cell>
          <cell r="O243">
            <v>100</v>
          </cell>
          <cell r="P243">
            <v>50</v>
          </cell>
          <cell r="Q243">
            <v>4</v>
          </cell>
          <cell r="R243">
            <v>200</v>
          </cell>
          <cell r="T243" t="str">
            <v>---</v>
          </cell>
          <cell r="W243" t="str">
            <v>3815967</v>
          </cell>
          <cell r="X243">
            <v>200</v>
          </cell>
          <cell r="Z243" t="str">
            <v>203000117</v>
          </cell>
          <cell r="AA243">
            <v>228</v>
          </cell>
          <cell r="AB243">
            <v>37693</v>
          </cell>
          <cell r="AE243">
            <v>37739</v>
          </cell>
          <cell r="AF243" t="str">
            <v>-</v>
          </cell>
          <cell r="AG243">
            <v>0</v>
          </cell>
          <cell r="AH243">
            <v>6</v>
          </cell>
          <cell r="AI243">
            <v>57</v>
          </cell>
          <cell r="AJ243">
            <v>228</v>
          </cell>
        </row>
        <row r="244">
          <cell r="A244">
            <v>168964</v>
          </cell>
          <cell r="B244">
            <v>37652</v>
          </cell>
          <cell r="D244" t="str">
            <v>ENTEL CHILE - 1600001759</v>
          </cell>
          <cell r="E244">
            <v>3455118</v>
          </cell>
          <cell r="F244">
            <v>8058236</v>
          </cell>
          <cell r="G244">
            <v>2607577</v>
          </cell>
          <cell r="H244">
            <v>37672</v>
          </cell>
          <cell r="I244">
            <v>0.5</v>
          </cell>
          <cell r="J244">
            <v>1</v>
          </cell>
          <cell r="K244" t="str">
            <v xml:space="preserve">2.5 </v>
          </cell>
          <cell r="M244" t="str">
            <v>S372C-12208T</v>
          </cell>
          <cell r="N244" t="str">
            <v>S372C-12208T Cisco 3725 Series IOS IP</v>
          </cell>
          <cell r="O244">
            <v>0</v>
          </cell>
          <cell r="P244">
            <v>0</v>
          </cell>
          <cell r="Q244">
            <v>2</v>
          </cell>
          <cell r="R244">
            <v>0</v>
          </cell>
          <cell r="T244" t="str">
            <v>---</v>
          </cell>
          <cell r="W244" t="str">
            <v>3815967</v>
          </cell>
          <cell r="X244">
            <v>0</v>
          </cell>
          <cell r="Z244" t="str">
            <v>203000117</v>
          </cell>
          <cell r="AA244">
            <v>0</v>
          </cell>
          <cell r="AB244">
            <v>37693</v>
          </cell>
          <cell r="AE244">
            <v>37739</v>
          </cell>
          <cell r="AF244" t="str">
            <v>C</v>
          </cell>
          <cell r="AG244">
            <v>0</v>
          </cell>
          <cell r="AH244">
            <v>4</v>
          </cell>
          <cell r="AI244">
            <v>0</v>
          </cell>
          <cell r="AJ244">
            <v>0</v>
          </cell>
        </row>
        <row r="245">
          <cell r="A245">
            <v>168964</v>
          </cell>
          <cell r="B245">
            <v>37652</v>
          </cell>
          <cell r="D245" t="str">
            <v>ENTEL CHILE - 1600001759</v>
          </cell>
          <cell r="E245">
            <v>3455118</v>
          </cell>
          <cell r="F245">
            <v>8058236</v>
          </cell>
          <cell r="G245">
            <v>2607577</v>
          </cell>
          <cell r="H245">
            <v>37672</v>
          </cell>
          <cell r="I245">
            <v>0.5</v>
          </cell>
          <cell r="J245">
            <v>2</v>
          </cell>
          <cell r="K245" t="str">
            <v xml:space="preserve">3.0 </v>
          </cell>
          <cell r="M245" t="str">
            <v>WS-C2950G-12-EI</v>
          </cell>
          <cell r="N245" t="str">
            <v>WS-C2950G-12-EI Catalyst 2950, 12 10/100 with 2 GBIC slots, Enhanced Image /</v>
          </cell>
          <cell r="O245">
            <v>2295</v>
          </cell>
          <cell r="P245">
            <v>1147.5</v>
          </cell>
          <cell r="Q245">
            <v>2</v>
          </cell>
          <cell r="R245">
            <v>2295</v>
          </cell>
          <cell r="T245" t="str">
            <v>---</v>
          </cell>
          <cell r="W245" t="str">
            <v>3810827</v>
          </cell>
          <cell r="X245">
            <v>2295</v>
          </cell>
          <cell r="Z245" t="str">
            <v>200000106</v>
          </cell>
          <cell r="AA245">
            <v>2616</v>
          </cell>
          <cell r="AB245">
            <v>37692</v>
          </cell>
          <cell r="AE245">
            <v>37739</v>
          </cell>
          <cell r="AF245" t="str">
            <v>D</v>
          </cell>
          <cell r="AG245">
            <v>45.9</v>
          </cell>
          <cell r="AH245">
            <v>5</v>
          </cell>
          <cell r="AI245">
            <v>1308</v>
          </cell>
          <cell r="AJ245">
            <v>2616</v>
          </cell>
        </row>
        <row r="246">
          <cell r="A246">
            <v>168964</v>
          </cell>
          <cell r="B246">
            <v>37652</v>
          </cell>
          <cell r="D246" t="str">
            <v>ENTEL CHILE - 1600001759</v>
          </cell>
          <cell r="E246">
            <v>3455118</v>
          </cell>
          <cell r="F246">
            <v>8058236</v>
          </cell>
          <cell r="G246">
            <v>2607577</v>
          </cell>
          <cell r="H246">
            <v>37672</v>
          </cell>
          <cell r="I246">
            <v>0.5</v>
          </cell>
          <cell r="J246">
            <v>2</v>
          </cell>
          <cell r="K246" t="str">
            <v xml:space="preserve">3.1 </v>
          </cell>
          <cell r="M246" t="str">
            <v>CAB-ACI</v>
          </cell>
          <cell r="N246" t="str">
            <v>CAB-ACI Power Cord-Italian</v>
          </cell>
          <cell r="O246">
            <v>0</v>
          </cell>
          <cell r="P246">
            <v>0</v>
          </cell>
          <cell r="Q246">
            <v>2</v>
          </cell>
          <cell r="R246">
            <v>0</v>
          </cell>
          <cell r="T246" t="str">
            <v>---</v>
          </cell>
          <cell r="W246" t="str">
            <v>3810827</v>
          </cell>
          <cell r="X246">
            <v>0</v>
          </cell>
          <cell r="Z246" t="str">
            <v>200000106</v>
          </cell>
          <cell r="AA246">
            <v>0</v>
          </cell>
          <cell r="AB246">
            <v>37692</v>
          </cell>
          <cell r="AE246">
            <v>37739</v>
          </cell>
          <cell r="AF246" t="str">
            <v>-</v>
          </cell>
          <cell r="AG246">
            <v>0</v>
          </cell>
          <cell r="AH246">
            <v>5</v>
          </cell>
          <cell r="AI246">
            <v>0</v>
          </cell>
          <cell r="AJ246">
            <v>0</v>
          </cell>
        </row>
        <row r="247">
          <cell r="A247">
            <v>168961</v>
          </cell>
          <cell r="B247">
            <v>37643</v>
          </cell>
          <cell r="D247" t="str">
            <v>ENTEL CHILE - 1600001749</v>
          </cell>
          <cell r="E247">
            <v>3422833</v>
          </cell>
          <cell r="F247">
            <v>8044039</v>
          </cell>
          <cell r="G247">
            <v>2620000</v>
          </cell>
          <cell r="H247">
            <v>37644</v>
          </cell>
          <cell r="I247">
            <v>0.51500000000000001</v>
          </cell>
          <cell r="J247">
            <v>1</v>
          </cell>
          <cell r="K247">
            <v>1</v>
          </cell>
          <cell r="M247" t="str">
            <v>NM-1E2W=</v>
          </cell>
          <cell r="N247" t="str">
            <v>1 Ethernet 2 WAN Card Slot Network Module</v>
          </cell>
          <cell r="O247">
            <v>1500</v>
          </cell>
          <cell r="P247">
            <v>727.5</v>
          </cell>
          <cell r="Q247">
            <v>5</v>
          </cell>
          <cell r="R247">
            <v>3637.5</v>
          </cell>
          <cell r="S247">
            <v>37684</v>
          </cell>
          <cell r="T247" t="str">
            <v>---</v>
          </cell>
          <cell r="W247" t="str">
            <v>3864313</v>
          </cell>
          <cell r="X247">
            <v>3637.5</v>
          </cell>
          <cell r="Z247" t="str">
            <v>2030000108</v>
          </cell>
          <cell r="AA247">
            <v>4125</v>
          </cell>
          <cell r="AB247">
            <v>37692</v>
          </cell>
          <cell r="AE247">
            <v>37739</v>
          </cell>
          <cell r="AF247" t="str">
            <v>C</v>
          </cell>
          <cell r="AG247">
            <v>272.8125</v>
          </cell>
          <cell r="AH247">
            <v>16</v>
          </cell>
          <cell r="AI247">
            <v>825</v>
          </cell>
          <cell r="AJ247">
            <v>4125</v>
          </cell>
        </row>
        <row r="248">
          <cell r="A248">
            <v>168961</v>
          </cell>
          <cell r="B248">
            <v>37643</v>
          </cell>
          <cell r="D248" t="str">
            <v>ENTEL CHILE - 1600001749</v>
          </cell>
          <cell r="E248">
            <v>3422833</v>
          </cell>
          <cell r="F248">
            <v>8044039</v>
          </cell>
          <cell r="G248">
            <v>2620000</v>
          </cell>
          <cell r="H248">
            <v>37644</v>
          </cell>
          <cell r="I248">
            <v>0.51500000000000001</v>
          </cell>
          <cell r="J248">
            <v>1</v>
          </cell>
          <cell r="K248">
            <v>2</v>
          </cell>
          <cell r="M248" t="str">
            <v>NM-1CE1U=</v>
          </cell>
          <cell r="N248" t="str">
            <v>1-Port Channelized E1/ISDN-PRI Unbalanced Network Module</v>
          </cell>
          <cell r="O248">
            <v>2600</v>
          </cell>
          <cell r="P248">
            <v>1261</v>
          </cell>
          <cell r="Q248">
            <v>2</v>
          </cell>
          <cell r="R248">
            <v>2522</v>
          </cell>
          <cell r="S248">
            <v>37684</v>
          </cell>
          <cell r="T248" t="str">
            <v>---</v>
          </cell>
          <cell r="W248" t="str">
            <v>3864313</v>
          </cell>
          <cell r="X248">
            <v>2522</v>
          </cell>
          <cell r="Z248" t="str">
            <v>2030000108</v>
          </cell>
          <cell r="AA248">
            <v>2860</v>
          </cell>
          <cell r="AB248">
            <v>37692</v>
          </cell>
          <cell r="AE248">
            <v>37739</v>
          </cell>
          <cell r="AF248" t="str">
            <v>C</v>
          </cell>
          <cell r="AG248">
            <v>189.15</v>
          </cell>
          <cell r="AH248">
            <v>5</v>
          </cell>
          <cell r="AI248">
            <v>1430</v>
          </cell>
          <cell r="AJ248">
            <v>2860</v>
          </cell>
        </row>
        <row r="249">
          <cell r="A249">
            <v>168961</v>
          </cell>
          <cell r="B249">
            <v>37643</v>
          </cell>
          <cell r="D249" t="str">
            <v>ENTEL CHILE - 1600001749</v>
          </cell>
          <cell r="E249">
            <v>3422833</v>
          </cell>
          <cell r="F249">
            <v>8044039</v>
          </cell>
          <cell r="G249">
            <v>2620000</v>
          </cell>
          <cell r="H249">
            <v>37644</v>
          </cell>
          <cell r="I249">
            <v>0.51500000000000001</v>
          </cell>
          <cell r="J249">
            <v>1</v>
          </cell>
          <cell r="K249">
            <v>3</v>
          </cell>
          <cell r="M249" t="str">
            <v>NM-1E=</v>
          </cell>
          <cell r="N249" t="str">
            <v>1-Port Ethernet Network Module</v>
          </cell>
          <cell r="O249">
            <v>1000</v>
          </cell>
          <cell r="P249">
            <v>485</v>
          </cell>
          <cell r="Q249">
            <v>2</v>
          </cell>
          <cell r="R249">
            <v>970</v>
          </cell>
          <cell r="S249">
            <v>37684</v>
          </cell>
          <cell r="T249" t="str">
            <v>---</v>
          </cell>
          <cell r="W249" t="str">
            <v>3864313</v>
          </cell>
          <cell r="X249">
            <v>970</v>
          </cell>
          <cell r="Z249" t="str">
            <v>2030000108</v>
          </cell>
          <cell r="AA249">
            <v>1100</v>
          </cell>
          <cell r="AB249">
            <v>37692</v>
          </cell>
          <cell r="AE249">
            <v>37739</v>
          </cell>
          <cell r="AF249" t="str">
            <v>C</v>
          </cell>
          <cell r="AG249">
            <v>72.75</v>
          </cell>
          <cell r="AH249">
            <v>15</v>
          </cell>
          <cell r="AI249">
            <v>550</v>
          </cell>
          <cell r="AJ249">
            <v>1100</v>
          </cell>
        </row>
        <row r="250">
          <cell r="A250">
            <v>168961</v>
          </cell>
          <cell r="B250">
            <v>37643</v>
          </cell>
          <cell r="D250" t="str">
            <v>ENTEL CHILE - 1600001749</v>
          </cell>
          <cell r="E250">
            <v>3422833</v>
          </cell>
          <cell r="F250">
            <v>8044039</v>
          </cell>
          <cell r="G250">
            <v>2620000</v>
          </cell>
          <cell r="H250">
            <v>37644</v>
          </cell>
          <cell r="I250">
            <v>0.51500000000000001</v>
          </cell>
          <cell r="J250">
            <v>1</v>
          </cell>
          <cell r="K250">
            <v>4</v>
          </cell>
          <cell r="M250" t="str">
            <v>NM-2FE2W=</v>
          </cell>
          <cell r="N250" t="str">
            <v>2 10/100 Ethernet 2 WAN Card Slot Network Module</v>
          </cell>
          <cell r="O250">
            <v>3200</v>
          </cell>
          <cell r="P250">
            <v>1552</v>
          </cell>
          <cell r="Q250">
            <v>1</v>
          </cell>
          <cell r="R250">
            <v>1552</v>
          </cell>
          <cell r="S250">
            <v>37684</v>
          </cell>
          <cell r="T250" t="str">
            <v>---</v>
          </cell>
          <cell r="W250" t="str">
            <v>3864313</v>
          </cell>
          <cell r="X250">
            <v>1552</v>
          </cell>
          <cell r="Z250" t="str">
            <v>2030000108</v>
          </cell>
          <cell r="AA250">
            <v>1760</v>
          </cell>
          <cell r="AB250">
            <v>37692</v>
          </cell>
          <cell r="AE250">
            <v>37739</v>
          </cell>
          <cell r="AF250" t="str">
            <v>C</v>
          </cell>
          <cell r="AG250">
            <v>116.39999999999999</v>
          </cell>
          <cell r="AH250">
            <v>6</v>
          </cell>
          <cell r="AI250">
            <v>1760</v>
          </cell>
          <cell r="AJ250">
            <v>1760</v>
          </cell>
        </row>
        <row r="251">
          <cell r="A251">
            <v>168961</v>
          </cell>
          <cell r="B251">
            <v>37643</v>
          </cell>
          <cell r="D251" t="str">
            <v>ENTEL CHILE - 1600001749</v>
          </cell>
          <cell r="E251">
            <v>3422833</v>
          </cell>
          <cell r="F251">
            <v>8044039</v>
          </cell>
          <cell r="G251">
            <v>2620000</v>
          </cell>
          <cell r="H251">
            <v>37644</v>
          </cell>
          <cell r="I251">
            <v>0.51500000000000001</v>
          </cell>
          <cell r="J251">
            <v>3</v>
          </cell>
          <cell r="K251">
            <v>5</v>
          </cell>
          <cell r="M251" t="str">
            <v>WS-C2924M-XL-EN</v>
          </cell>
          <cell r="N251" t="str">
            <v>24-port 10/100 Switch w/Two Module Slots (Enterprise Edition</v>
          </cell>
          <cell r="O251">
            <v>2495</v>
          </cell>
          <cell r="P251">
            <v>1210.075</v>
          </cell>
          <cell r="Q251">
            <v>3</v>
          </cell>
          <cell r="R251">
            <v>3630.2250000000004</v>
          </cell>
          <cell r="S251">
            <v>37670</v>
          </cell>
          <cell r="T251" t="str">
            <v>---</v>
          </cell>
          <cell r="W251" t="str">
            <v>3792987</v>
          </cell>
          <cell r="X251">
            <v>3630.2250000000004</v>
          </cell>
          <cell r="Z251" t="str">
            <v>2030000054</v>
          </cell>
          <cell r="AA251">
            <v>4116</v>
          </cell>
          <cell r="AB251">
            <v>37672</v>
          </cell>
          <cell r="AE251">
            <v>37739</v>
          </cell>
          <cell r="AF251" t="str">
            <v>D</v>
          </cell>
          <cell r="AG251">
            <v>72.604500000000016</v>
          </cell>
          <cell r="AH251">
            <v>1</v>
          </cell>
          <cell r="AI251">
            <v>1372</v>
          </cell>
          <cell r="AJ251">
            <v>4116</v>
          </cell>
        </row>
        <row r="252">
          <cell r="A252">
            <v>168961</v>
          </cell>
          <cell r="B252">
            <v>37643</v>
          </cell>
          <cell r="D252" t="str">
            <v>ENTEL CHILE - 1600001749</v>
          </cell>
          <cell r="E252">
            <v>3422833</v>
          </cell>
          <cell r="F252">
            <v>8044039</v>
          </cell>
          <cell r="G252">
            <v>2620000</v>
          </cell>
          <cell r="H252">
            <v>37644</v>
          </cell>
          <cell r="I252">
            <v>0.51500000000000001</v>
          </cell>
          <cell r="J252">
            <v>3</v>
          </cell>
          <cell r="K252">
            <v>5.0999999999999996</v>
          </cell>
          <cell r="M252" t="str">
            <v>CAB-ACI</v>
          </cell>
          <cell r="N252" t="str">
            <v>Power Cord-Italian</v>
          </cell>
          <cell r="O252">
            <v>0</v>
          </cell>
          <cell r="P252">
            <v>0</v>
          </cell>
          <cell r="Q252">
            <v>3</v>
          </cell>
          <cell r="R252">
            <v>0</v>
          </cell>
          <cell r="S252">
            <v>37670</v>
          </cell>
          <cell r="T252" t="str">
            <v>---</v>
          </cell>
          <cell r="W252" t="str">
            <v>3792987</v>
          </cell>
          <cell r="X252">
            <v>0</v>
          </cell>
          <cell r="Z252" t="str">
            <v>2030000054</v>
          </cell>
          <cell r="AA252">
            <v>0</v>
          </cell>
          <cell r="AB252">
            <v>37672</v>
          </cell>
          <cell r="AE252">
            <v>37739</v>
          </cell>
          <cell r="AF252" t="str">
            <v>-</v>
          </cell>
          <cell r="AG252">
            <v>0</v>
          </cell>
          <cell r="AH252">
            <v>1</v>
          </cell>
          <cell r="AI252">
            <v>0</v>
          </cell>
          <cell r="AJ252">
            <v>0</v>
          </cell>
        </row>
        <row r="253">
          <cell r="A253">
            <v>168961</v>
          </cell>
          <cell r="B253">
            <v>37643</v>
          </cell>
          <cell r="D253" t="str">
            <v>ENTEL CHILE - 1600001749</v>
          </cell>
          <cell r="E253">
            <v>3422833</v>
          </cell>
          <cell r="F253">
            <v>8044039</v>
          </cell>
          <cell r="G253">
            <v>2620000</v>
          </cell>
          <cell r="H253">
            <v>37644</v>
          </cell>
          <cell r="I253">
            <v>0.51500000000000001</v>
          </cell>
          <cell r="J253">
            <v>1</v>
          </cell>
          <cell r="K253">
            <v>6</v>
          </cell>
          <cell r="M253" t="str">
            <v>NM-2FE2W=</v>
          </cell>
          <cell r="N253" t="str">
            <v>2 10/100 Ethernet 2 WAN Card Slot Network Module</v>
          </cell>
          <cell r="O253">
            <v>2500</v>
          </cell>
          <cell r="P253">
            <v>1212.5</v>
          </cell>
          <cell r="Q253">
            <v>3</v>
          </cell>
          <cell r="R253">
            <v>3637.5</v>
          </cell>
          <cell r="S253">
            <v>37684</v>
          </cell>
          <cell r="T253" t="str">
            <v>---</v>
          </cell>
          <cell r="W253" t="str">
            <v>3864313</v>
          </cell>
          <cell r="X253">
            <v>3637.5</v>
          </cell>
          <cell r="Z253" t="str">
            <v>2030000108</v>
          </cell>
          <cell r="AA253">
            <v>4125</v>
          </cell>
          <cell r="AB253">
            <v>37692</v>
          </cell>
          <cell r="AE253">
            <v>37739</v>
          </cell>
          <cell r="AF253" t="str">
            <v>C</v>
          </cell>
          <cell r="AG253">
            <v>272.8125</v>
          </cell>
          <cell r="AH253">
            <v>14</v>
          </cell>
          <cell r="AI253">
            <v>1375</v>
          </cell>
          <cell r="AJ253">
            <v>4125</v>
          </cell>
        </row>
        <row r="254">
          <cell r="A254">
            <v>168961</v>
          </cell>
          <cell r="B254">
            <v>37643</v>
          </cell>
          <cell r="D254" t="str">
            <v>ENTEL CHILE - 1600001749</v>
          </cell>
          <cell r="E254">
            <v>3422833</v>
          </cell>
          <cell r="F254">
            <v>8044039</v>
          </cell>
          <cell r="G254">
            <v>2620000</v>
          </cell>
          <cell r="H254">
            <v>37644</v>
          </cell>
          <cell r="I254">
            <v>0.51500000000000001</v>
          </cell>
          <cell r="J254">
            <v>1</v>
          </cell>
          <cell r="K254">
            <v>7</v>
          </cell>
          <cell r="M254" t="str">
            <v>CISCO1601-R</v>
          </cell>
          <cell r="N254" t="e">
            <v>#N/A</v>
          </cell>
          <cell r="O254">
            <v>1495</v>
          </cell>
          <cell r="P254">
            <v>725.07499999999993</v>
          </cell>
          <cell r="Q254">
            <v>15</v>
          </cell>
          <cell r="R254">
            <v>10876.124999999998</v>
          </cell>
          <cell r="S254">
            <v>37684</v>
          </cell>
          <cell r="T254" t="str">
            <v>---</v>
          </cell>
          <cell r="W254" t="str">
            <v>3864313</v>
          </cell>
          <cell r="X254">
            <v>10876.124999999998</v>
          </cell>
          <cell r="Z254" t="str">
            <v>2030000108</v>
          </cell>
          <cell r="AA254">
            <v>12330</v>
          </cell>
          <cell r="AB254">
            <v>37692</v>
          </cell>
          <cell r="AE254">
            <v>37739</v>
          </cell>
          <cell r="AF254" t="str">
            <v>D</v>
          </cell>
          <cell r="AG254">
            <v>217.52249999999998</v>
          </cell>
          <cell r="AH254">
            <v>7</v>
          </cell>
          <cell r="AI254">
            <v>822</v>
          </cell>
          <cell r="AJ254">
            <v>12330</v>
          </cell>
        </row>
        <row r="255">
          <cell r="A255">
            <v>168961</v>
          </cell>
          <cell r="B255">
            <v>37643</v>
          </cell>
          <cell r="D255" t="str">
            <v>ENTEL CHILE - 1600001749</v>
          </cell>
          <cell r="E255">
            <v>3422833</v>
          </cell>
          <cell r="F255">
            <v>8044039</v>
          </cell>
          <cell r="G255">
            <v>2620000</v>
          </cell>
          <cell r="H255">
            <v>37644</v>
          </cell>
          <cell r="I255">
            <v>0.51500000000000001</v>
          </cell>
          <cell r="J255">
            <v>1</v>
          </cell>
          <cell r="K255">
            <v>7.2</v>
          </cell>
          <cell r="M255" t="str">
            <v>S16RC-12.0.18</v>
          </cell>
          <cell r="N255" t="e">
            <v>#N/A</v>
          </cell>
          <cell r="O255">
            <v>0</v>
          </cell>
          <cell r="P255">
            <v>0</v>
          </cell>
          <cell r="Q255">
            <v>15</v>
          </cell>
          <cell r="R255">
            <v>0</v>
          </cell>
          <cell r="S255">
            <v>37684</v>
          </cell>
          <cell r="T255" t="str">
            <v>---</v>
          </cell>
          <cell r="W255" t="str">
            <v>3864313</v>
          </cell>
          <cell r="X255">
            <v>0</v>
          </cell>
          <cell r="Z255" t="str">
            <v>2030000108</v>
          </cell>
          <cell r="AA255">
            <v>0</v>
          </cell>
          <cell r="AB255">
            <v>37692</v>
          </cell>
          <cell r="AE255">
            <v>37739</v>
          </cell>
          <cell r="AF255" t="str">
            <v>D</v>
          </cell>
          <cell r="AG255">
            <v>0</v>
          </cell>
          <cell r="AH255">
            <v>7</v>
          </cell>
          <cell r="AI255">
            <v>0</v>
          </cell>
          <cell r="AJ255">
            <v>0</v>
          </cell>
        </row>
        <row r="256">
          <cell r="A256">
            <v>168961</v>
          </cell>
          <cell r="B256">
            <v>37643</v>
          </cell>
          <cell r="D256" t="str">
            <v>ENTEL CHILE - 1600001749</v>
          </cell>
          <cell r="E256">
            <v>3422833</v>
          </cell>
          <cell r="F256">
            <v>8044039</v>
          </cell>
          <cell r="G256">
            <v>2620000</v>
          </cell>
          <cell r="H256">
            <v>37644</v>
          </cell>
          <cell r="I256">
            <v>0.51500000000000001</v>
          </cell>
          <cell r="J256">
            <v>1</v>
          </cell>
          <cell r="K256">
            <v>7.1</v>
          </cell>
          <cell r="M256" t="str">
            <v>CAB-ACI</v>
          </cell>
          <cell r="N256" t="str">
            <v>Power Cord-Italian</v>
          </cell>
          <cell r="O256">
            <v>0</v>
          </cell>
          <cell r="P256">
            <v>0</v>
          </cell>
          <cell r="Q256">
            <v>15</v>
          </cell>
          <cell r="R256">
            <v>0</v>
          </cell>
          <cell r="S256">
            <v>37684</v>
          </cell>
          <cell r="T256" t="str">
            <v>---</v>
          </cell>
          <cell r="W256" t="str">
            <v>3864313</v>
          </cell>
          <cell r="X256">
            <v>0</v>
          </cell>
          <cell r="Z256" t="str">
            <v>2030000108</v>
          </cell>
          <cell r="AA256">
            <v>0</v>
          </cell>
          <cell r="AB256">
            <v>37692</v>
          </cell>
          <cell r="AE256">
            <v>37739</v>
          </cell>
          <cell r="AF256" t="str">
            <v>-</v>
          </cell>
          <cell r="AG256">
            <v>0</v>
          </cell>
          <cell r="AH256">
            <v>7</v>
          </cell>
          <cell r="AI256">
            <v>0</v>
          </cell>
          <cell r="AJ256">
            <v>0</v>
          </cell>
        </row>
        <row r="257">
          <cell r="A257">
            <v>168961</v>
          </cell>
          <cell r="B257">
            <v>37643</v>
          </cell>
          <cell r="D257" t="str">
            <v>ENTEL CHILE - 1600001749</v>
          </cell>
          <cell r="E257">
            <v>3422833</v>
          </cell>
          <cell r="F257">
            <v>8044039</v>
          </cell>
          <cell r="G257">
            <v>2620000</v>
          </cell>
          <cell r="H257">
            <v>37644</v>
          </cell>
          <cell r="I257">
            <v>0.51500000000000001</v>
          </cell>
          <cell r="J257">
            <v>1</v>
          </cell>
          <cell r="K257">
            <v>7.3</v>
          </cell>
          <cell r="M257" t="str">
            <v>MEM1600R-4FC</v>
          </cell>
          <cell r="N257" t="e">
            <v>#N/A</v>
          </cell>
          <cell r="O257">
            <v>0</v>
          </cell>
          <cell r="P257">
            <v>0</v>
          </cell>
          <cell r="Q257">
            <v>15</v>
          </cell>
          <cell r="R257">
            <v>0</v>
          </cell>
          <cell r="S257">
            <v>37684</v>
          </cell>
          <cell r="T257" t="str">
            <v>---</v>
          </cell>
          <cell r="W257" t="str">
            <v>3864313</v>
          </cell>
          <cell r="X257">
            <v>0</v>
          </cell>
          <cell r="Z257" t="str">
            <v>2030000108</v>
          </cell>
          <cell r="AA257">
            <v>0</v>
          </cell>
          <cell r="AB257">
            <v>37692</v>
          </cell>
          <cell r="AE257">
            <v>37739</v>
          </cell>
          <cell r="AF257" t="str">
            <v>D</v>
          </cell>
          <cell r="AG257">
            <v>0</v>
          </cell>
          <cell r="AH257">
            <v>7</v>
          </cell>
          <cell r="AI257">
            <v>0</v>
          </cell>
          <cell r="AJ257">
            <v>0</v>
          </cell>
        </row>
        <row r="258">
          <cell r="A258">
            <v>168961</v>
          </cell>
          <cell r="B258">
            <v>37643</v>
          </cell>
          <cell r="D258" t="str">
            <v>ENTEL CHILE - 1600001749</v>
          </cell>
          <cell r="E258">
            <v>3422833</v>
          </cell>
          <cell r="F258">
            <v>8044039</v>
          </cell>
          <cell r="G258">
            <v>2620000</v>
          </cell>
          <cell r="H258">
            <v>37644</v>
          </cell>
          <cell r="I258">
            <v>0.51500000000000001</v>
          </cell>
          <cell r="J258">
            <v>1</v>
          </cell>
          <cell r="K258">
            <v>8</v>
          </cell>
          <cell r="M258" t="str">
            <v>CISCO1605-R</v>
          </cell>
          <cell r="N258" t="e">
            <v>#N/A</v>
          </cell>
          <cell r="O258">
            <v>1495</v>
          </cell>
          <cell r="P258">
            <v>725.07499999999993</v>
          </cell>
          <cell r="Q258">
            <v>6</v>
          </cell>
          <cell r="R258">
            <v>4350.45</v>
          </cell>
          <cell r="S258">
            <v>37684</v>
          </cell>
          <cell r="T258" t="str">
            <v>---</v>
          </cell>
          <cell r="W258" t="str">
            <v>3864313</v>
          </cell>
          <cell r="X258">
            <v>4350.45</v>
          </cell>
          <cell r="Z258" t="str">
            <v>2030000108</v>
          </cell>
          <cell r="AA258">
            <v>4932</v>
          </cell>
          <cell r="AB258">
            <v>37692</v>
          </cell>
          <cell r="AE258">
            <v>37739</v>
          </cell>
          <cell r="AF258" t="str">
            <v>D</v>
          </cell>
          <cell r="AG258">
            <v>87.009</v>
          </cell>
          <cell r="AH258">
            <v>10</v>
          </cell>
          <cell r="AI258">
            <v>822</v>
          </cell>
          <cell r="AJ258">
            <v>4932</v>
          </cell>
        </row>
        <row r="259">
          <cell r="A259">
            <v>168961</v>
          </cell>
          <cell r="B259">
            <v>37643</v>
          </cell>
          <cell r="D259" t="str">
            <v>ENTEL CHILE - 1600001749</v>
          </cell>
          <cell r="E259">
            <v>3422833</v>
          </cell>
          <cell r="F259">
            <v>8044039</v>
          </cell>
          <cell r="G259">
            <v>2620000</v>
          </cell>
          <cell r="H259">
            <v>37644</v>
          </cell>
          <cell r="I259">
            <v>0.51500000000000001</v>
          </cell>
          <cell r="J259">
            <v>1</v>
          </cell>
          <cell r="K259">
            <v>8.1999999999999993</v>
          </cell>
          <cell r="M259" t="str">
            <v>S16RC-12.0.18</v>
          </cell>
          <cell r="N259" t="e">
            <v>#N/A</v>
          </cell>
          <cell r="O259">
            <v>0</v>
          </cell>
          <cell r="P259">
            <v>0</v>
          </cell>
          <cell r="Q259">
            <v>6</v>
          </cell>
          <cell r="R259">
            <v>0</v>
          </cell>
          <cell r="S259">
            <v>37684</v>
          </cell>
          <cell r="T259" t="str">
            <v>---</v>
          </cell>
          <cell r="W259" t="str">
            <v>3864313</v>
          </cell>
          <cell r="X259">
            <v>0</v>
          </cell>
          <cell r="Z259" t="str">
            <v>2030000108</v>
          </cell>
          <cell r="AA259">
            <v>0</v>
          </cell>
          <cell r="AB259">
            <v>37692</v>
          </cell>
          <cell r="AE259">
            <v>37739</v>
          </cell>
          <cell r="AF259" t="str">
            <v>D</v>
          </cell>
          <cell r="AG259">
            <v>0</v>
          </cell>
          <cell r="AH259">
            <v>10</v>
          </cell>
          <cell r="AI259">
            <v>0</v>
          </cell>
          <cell r="AJ259">
            <v>0</v>
          </cell>
        </row>
        <row r="260">
          <cell r="A260">
            <v>168961</v>
          </cell>
          <cell r="B260">
            <v>37643</v>
          </cell>
          <cell r="D260" t="str">
            <v>ENTEL CHILE - 1600001749</v>
          </cell>
          <cell r="E260">
            <v>3422833</v>
          </cell>
          <cell r="F260">
            <v>8044039</v>
          </cell>
          <cell r="G260">
            <v>2620000</v>
          </cell>
          <cell r="H260">
            <v>37644</v>
          </cell>
          <cell r="I260">
            <v>0.51500000000000001</v>
          </cell>
          <cell r="J260">
            <v>1</v>
          </cell>
          <cell r="K260">
            <v>8.1</v>
          </cell>
          <cell r="M260" t="str">
            <v>CAB-ACI</v>
          </cell>
          <cell r="N260" t="str">
            <v>Power Cord-Italian</v>
          </cell>
          <cell r="O260">
            <v>0</v>
          </cell>
          <cell r="P260">
            <v>0</v>
          </cell>
          <cell r="Q260">
            <v>6</v>
          </cell>
          <cell r="R260">
            <v>0</v>
          </cell>
          <cell r="S260">
            <v>37684</v>
          </cell>
          <cell r="T260" t="str">
            <v>---</v>
          </cell>
          <cell r="W260" t="str">
            <v>3864313</v>
          </cell>
          <cell r="X260">
            <v>0</v>
          </cell>
          <cell r="Z260" t="str">
            <v>2030000108</v>
          </cell>
          <cell r="AA260">
            <v>0</v>
          </cell>
          <cell r="AB260">
            <v>37692</v>
          </cell>
          <cell r="AE260">
            <v>37739</v>
          </cell>
          <cell r="AF260" t="str">
            <v>-</v>
          </cell>
          <cell r="AG260">
            <v>0</v>
          </cell>
          <cell r="AH260">
            <v>10</v>
          </cell>
          <cell r="AI260">
            <v>0</v>
          </cell>
          <cell r="AJ260">
            <v>0</v>
          </cell>
        </row>
        <row r="261">
          <cell r="A261">
            <v>168961</v>
          </cell>
          <cell r="B261">
            <v>37643</v>
          </cell>
          <cell r="D261" t="str">
            <v>ENTEL CHILE - 1600001749</v>
          </cell>
          <cell r="E261">
            <v>3422833</v>
          </cell>
          <cell r="F261">
            <v>8044039</v>
          </cell>
          <cell r="G261">
            <v>2620000</v>
          </cell>
          <cell r="H261">
            <v>37644</v>
          </cell>
          <cell r="I261">
            <v>0.51500000000000001</v>
          </cell>
          <cell r="J261">
            <v>1</v>
          </cell>
          <cell r="K261">
            <v>8.3000000000000007</v>
          </cell>
          <cell r="M261" t="str">
            <v>MEM1600R-4FC</v>
          </cell>
          <cell r="N261" t="e">
            <v>#N/A</v>
          </cell>
          <cell r="O261">
            <v>0</v>
          </cell>
          <cell r="P261">
            <v>0</v>
          </cell>
          <cell r="Q261">
            <v>6</v>
          </cell>
          <cell r="R261">
            <v>0</v>
          </cell>
          <cell r="S261">
            <v>37684</v>
          </cell>
          <cell r="T261" t="str">
            <v>---</v>
          </cell>
          <cell r="W261" t="str">
            <v>3864313</v>
          </cell>
          <cell r="X261">
            <v>0</v>
          </cell>
          <cell r="Z261" t="str">
            <v>2030000108</v>
          </cell>
          <cell r="AA261">
            <v>0</v>
          </cell>
          <cell r="AB261">
            <v>37692</v>
          </cell>
          <cell r="AE261">
            <v>37739</v>
          </cell>
          <cell r="AF261" t="str">
            <v>D</v>
          </cell>
          <cell r="AG261">
            <v>0</v>
          </cell>
          <cell r="AH261">
            <v>10</v>
          </cell>
          <cell r="AI261">
            <v>0</v>
          </cell>
          <cell r="AJ261">
            <v>0</v>
          </cell>
        </row>
        <row r="262">
          <cell r="A262">
            <v>168961</v>
          </cell>
          <cell r="B262">
            <v>37643</v>
          </cell>
          <cell r="D262" t="str">
            <v>ENTEL CHILE - 1600001749</v>
          </cell>
          <cell r="E262">
            <v>3422833</v>
          </cell>
          <cell r="F262">
            <v>8044039</v>
          </cell>
          <cell r="G262">
            <v>2620000</v>
          </cell>
          <cell r="H262">
            <v>37644</v>
          </cell>
          <cell r="I262">
            <v>0.51500000000000001</v>
          </cell>
          <cell r="J262">
            <v>1</v>
          </cell>
          <cell r="K262">
            <v>9</v>
          </cell>
          <cell r="M262" t="str">
            <v>CISCO2610XM</v>
          </cell>
          <cell r="N262" t="str">
            <v>10/100 Ethernet Router w/ Cisco IOS IP</v>
          </cell>
          <cell r="O262">
            <v>1995</v>
          </cell>
          <cell r="P262">
            <v>967.57499999999993</v>
          </cell>
          <cell r="Q262">
            <v>10</v>
          </cell>
          <cell r="R262">
            <v>9675.75</v>
          </cell>
          <cell r="S262">
            <v>37684</v>
          </cell>
          <cell r="T262" t="str">
            <v>---</v>
          </cell>
          <cell r="W262" t="str">
            <v>3864313</v>
          </cell>
          <cell r="X262">
            <v>9675.75</v>
          </cell>
          <cell r="Z262" t="str">
            <v>2030000108</v>
          </cell>
          <cell r="AA262">
            <v>10970</v>
          </cell>
          <cell r="AB262">
            <v>37692</v>
          </cell>
          <cell r="AE262">
            <v>37739</v>
          </cell>
          <cell r="AF262" t="str">
            <v>C</v>
          </cell>
          <cell r="AG262">
            <v>725.68124999999998</v>
          </cell>
          <cell r="AH262">
            <v>9</v>
          </cell>
          <cell r="AI262">
            <v>1097</v>
          </cell>
          <cell r="AJ262">
            <v>10970</v>
          </cell>
        </row>
        <row r="263">
          <cell r="A263">
            <v>168961</v>
          </cell>
          <cell r="B263">
            <v>37643</v>
          </cell>
          <cell r="D263" t="str">
            <v>ENTEL CHILE - 1600001749</v>
          </cell>
          <cell r="E263">
            <v>3422833</v>
          </cell>
          <cell r="F263">
            <v>8044039</v>
          </cell>
          <cell r="G263">
            <v>2620000</v>
          </cell>
          <cell r="H263">
            <v>37644</v>
          </cell>
          <cell r="I263">
            <v>0.51500000000000001</v>
          </cell>
          <cell r="J263">
            <v>1</v>
          </cell>
          <cell r="K263">
            <v>9.1</v>
          </cell>
          <cell r="M263" t="str">
            <v>CAB-ACI</v>
          </cell>
          <cell r="N263" t="str">
            <v>Power Cord-Italian</v>
          </cell>
          <cell r="O263">
            <v>0</v>
          </cell>
          <cell r="P263">
            <v>0</v>
          </cell>
          <cell r="Q263">
            <v>10</v>
          </cell>
          <cell r="R263">
            <v>0</v>
          </cell>
          <cell r="S263">
            <v>37684</v>
          </cell>
          <cell r="T263" t="str">
            <v>---</v>
          </cell>
          <cell r="W263" t="str">
            <v>3864313</v>
          </cell>
          <cell r="X263">
            <v>0</v>
          </cell>
          <cell r="Z263" t="str">
            <v>2030000108</v>
          </cell>
          <cell r="AA263">
            <v>0</v>
          </cell>
          <cell r="AB263">
            <v>37692</v>
          </cell>
          <cell r="AE263">
            <v>37739</v>
          </cell>
          <cell r="AF263" t="str">
            <v>-</v>
          </cell>
          <cell r="AG263">
            <v>0</v>
          </cell>
          <cell r="AH263">
            <v>9</v>
          </cell>
          <cell r="AI263">
            <v>0</v>
          </cell>
          <cell r="AJ263">
            <v>0</v>
          </cell>
        </row>
        <row r="264">
          <cell r="A264">
            <v>168961</v>
          </cell>
          <cell r="B264">
            <v>37643</v>
          </cell>
          <cell r="D264" t="str">
            <v>ENTEL CHILE - 1600001749</v>
          </cell>
          <cell r="E264">
            <v>3422833</v>
          </cell>
          <cell r="F264">
            <v>8044039</v>
          </cell>
          <cell r="G264">
            <v>2620000</v>
          </cell>
          <cell r="H264">
            <v>37644</v>
          </cell>
          <cell r="I264">
            <v>0.51500000000000001</v>
          </cell>
          <cell r="J264">
            <v>1</v>
          </cell>
          <cell r="K264">
            <v>9.1999999999999993</v>
          </cell>
          <cell r="M264" t="str">
            <v>S26C-12208T</v>
          </cell>
          <cell r="N264" t="str">
            <v>Cisco 2600 Series IOS IP</v>
          </cell>
          <cell r="O264">
            <v>0</v>
          </cell>
          <cell r="P264">
            <v>0</v>
          </cell>
          <cell r="Q264">
            <v>10</v>
          </cell>
          <cell r="R264">
            <v>0</v>
          </cell>
          <cell r="S264">
            <v>37684</v>
          </cell>
          <cell r="T264" t="str">
            <v>---</v>
          </cell>
          <cell r="W264" t="str">
            <v>3864313</v>
          </cell>
          <cell r="X264">
            <v>0</v>
          </cell>
          <cell r="Z264" t="str">
            <v>2030000108</v>
          </cell>
          <cell r="AA264">
            <v>0</v>
          </cell>
          <cell r="AB264">
            <v>37692</v>
          </cell>
          <cell r="AE264">
            <v>37739</v>
          </cell>
          <cell r="AF264" t="str">
            <v>C</v>
          </cell>
          <cell r="AG264">
            <v>0</v>
          </cell>
          <cell r="AH264">
            <v>9</v>
          </cell>
          <cell r="AI264">
            <v>0</v>
          </cell>
          <cell r="AJ264">
            <v>0</v>
          </cell>
        </row>
        <row r="265">
          <cell r="A265">
            <v>168961</v>
          </cell>
          <cell r="B265">
            <v>37643</v>
          </cell>
          <cell r="D265" t="str">
            <v>ENTEL CHILE - 1600001749</v>
          </cell>
          <cell r="E265">
            <v>3422833</v>
          </cell>
          <cell r="F265">
            <v>8044039</v>
          </cell>
          <cell r="G265">
            <v>2620000</v>
          </cell>
          <cell r="H265">
            <v>37644</v>
          </cell>
          <cell r="I265">
            <v>0.51500000000000001</v>
          </cell>
          <cell r="J265">
            <v>1</v>
          </cell>
          <cell r="K265">
            <v>9.3000000000000007</v>
          </cell>
          <cell r="M265" t="str">
            <v>MEM2600XM-32D-INC</v>
          </cell>
          <cell r="N265" t="e">
            <v>#N/A</v>
          </cell>
          <cell r="O265">
            <v>0</v>
          </cell>
          <cell r="P265">
            <v>0</v>
          </cell>
          <cell r="Q265">
            <v>10</v>
          </cell>
          <cell r="R265">
            <v>0</v>
          </cell>
          <cell r="S265">
            <v>37684</v>
          </cell>
          <cell r="T265" t="str">
            <v>---</v>
          </cell>
          <cell r="W265" t="str">
            <v>3864313</v>
          </cell>
          <cell r="X265">
            <v>0</v>
          </cell>
          <cell r="Z265" t="str">
            <v>2030000108</v>
          </cell>
          <cell r="AA265">
            <v>0</v>
          </cell>
          <cell r="AB265">
            <v>37692</v>
          </cell>
          <cell r="AE265">
            <v>37739</v>
          </cell>
          <cell r="AF265" t="str">
            <v>C</v>
          </cell>
          <cell r="AG265">
            <v>0</v>
          </cell>
          <cell r="AH265">
            <v>9</v>
          </cell>
          <cell r="AI265">
            <v>0</v>
          </cell>
          <cell r="AJ265">
            <v>0</v>
          </cell>
        </row>
        <row r="266">
          <cell r="A266">
            <v>168961</v>
          </cell>
          <cell r="B266">
            <v>37643</v>
          </cell>
          <cell r="D266" t="str">
            <v>ENTEL CHILE - 1600001749</v>
          </cell>
          <cell r="E266">
            <v>3422833</v>
          </cell>
          <cell r="F266">
            <v>8044039</v>
          </cell>
          <cell r="G266">
            <v>2620000</v>
          </cell>
          <cell r="H266">
            <v>37644</v>
          </cell>
          <cell r="I266">
            <v>0.51500000000000001</v>
          </cell>
          <cell r="J266">
            <v>1</v>
          </cell>
          <cell r="K266">
            <v>9.4</v>
          </cell>
          <cell r="M266" t="str">
            <v>MEM2600XM-16FS-INC</v>
          </cell>
          <cell r="N266" t="e">
            <v>#N/A</v>
          </cell>
          <cell r="O266">
            <v>0</v>
          </cell>
          <cell r="P266">
            <v>0</v>
          </cell>
          <cell r="Q266">
            <v>10</v>
          </cell>
          <cell r="R266">
            <v>0</v>
          </cell>
          <cell r="S266">
            <v>37684</v>
          </cell>
          <cell r="T266" t="str">
            <v>---</v>
          </cell>
          <cell r="W266" t="str">
            <v>3864313</v>
          </cell>
          <cell r="X266">
            <v>0</v>
          </cell>
          <cell r="Z266" t="str">
            <v>2030000108</v>
          </cell>
          <cell r="AA266">
            <v>0</v>
          </cell>
          <cell r="AB266">
            <v>37692</v>
          </cell>
          <cell r="AE266">
            <v>37739</v>
          </cell>
          <cell r="AF266" t="str">
            <v>C</v>
          </cell>
          <cell r="AG266">
            <v>0</v>
          </cell>
          <cell r="AH266">
            <v>9</v>
          </cell>
          <cell r="AI266">
            <v>0</v>
          </cell>
          <cell r="AJ266">
            <v>0</v>
          </cell>
        </row>
        <row r="267">
          <cell r="A267">
            <v>168961</v>
          </cell>
          <cell r="B267">
            <v>37643</v>
          </cell>
          <cell r="D267" t="str">
            <v>ENTEL CHILE - 1600001749</v>
          </cell>
          <cell r="E267">
            <v>3422833</v>
          </cell>
          <cell r="F267">
            <v>8044039</v>
          </cell>
          <cell r="G267">
            <v>2620000</v>
          </cell>
          <cell r="H267">
            <v>37644</v>
          </cell>
          <cell r="I267">
            <v>0.51500000000000001</v>
          </cell>
          <cell r="J267">
            <v>1</v>
          </cell>
          <cell r="K267">
            <v>10</v>
          </cell>
          <cell r="M267" t="str">
            <v xml:space="preserve"> CISCO3620</v>
          </cell>
          <cell r="N267" t="e">
            <v>#N/A</v>
          </cell>
          <cell r="O267">
            <v>2900</v>
          </cell>
          <cell r="P267">
            <v>1406.5</v>
          </cell>
          <cell r="Q267">
            <v>2</v>
          </cell>
          <cell r="R267">
            <v>2813</v>
          </cell>
          <cell r="S267">
            <v>37684</v>
          </cell>
          <cell r="T267" t="str">
            <v>---</v>
          </cell>
          <cell r="W267" t="str">
            <v>3864313</v>
          </cell>
          <cell r="X267">
            <v>2813</v>
          </cell>
          <cell r="Z267" t="str">
            <v>2030000108</v>
          </cell>
          <cell r="AA267">
            <v>3190</v>
          </cell>
          <cell r="AB267">
            <v>37692</v>
          </cell>
          <cell r="AE267">
            <v>37739</v>
          </cell>
          <cell r="AF267" t="str">
            <v>C</v>
          </cell>
          <cell r="AG267">
            <v>210.97499999999999</v>
          </cell>
          <cell r="AH267">
            <v>12</v>
          </cell>
          <cell r="AI267">
            <v>1595</v>
          </cell>
          <cell r="AJ267">
            <v>3190</v>
          </cell>
        </row>
        <row r="268">
          <cell r="A268">
            <v>168961</v>
          </cell>
          <cell r="B268">
            <v>37643</v>
          </cell>
          <cell r="D268" t="str">
            <v>ENTEL CHILE - 1600001749</v>
          </cell>
          <cell r="E268">
            <v>3422833</v>
          </cell>
          <cell r="F268">
            <v>8044039</v>
          </cell>
          <cell r="G268">
            <v>2620000</v>
          </cell>
          <cell r="H268">
            <v>37644</v>
          </cell>
          <cell r="I268">
            <v>0.51500000000000001</v>
          </cell>
          <cell r="J268">
            <v>1</v>
          </cell>
          <cell r="K268">
            <v>10.1</v>
          </cell>
          <cell r="M268" t="str">
            <v>CAB-ACI</v>
          </cell>
          <cell r="N268" t="str">
            <v>Power Cord-Italian</v>
          </cell>
          <cell r="O268">
            <v>0</v>
          </cell>
          <cell r="P268">
            <v>0</v>
          </cell>
          <cell r="Q268">
            <v>2</v>
          </cell>
          <cell r="R268">
            <v>0</v>
          </cell>
          <cell r="S268">
            <v>37684</v>
          </cell>
          <cell r="T268" t="str">
            <v>---</v>
          </cell>
          <cell r="W268" t="str">
            <v>3864313</v>
          </cell>
          <cell r="X268">
            <v>0</v>
          </cell>
          <cell r="Z268" t="str">
            <v>2030000108</v>
          </cell>
          <cell r="AA268">
            <v>0</v>
          </cell>
          <cell r="AB268">
            <v>37692</v>
          </cell>
          <cell r="AE268">
            <v>37739</v>
          </cell>
          <cell r="AF268" t="str">
            <v>-</v>
          </cell>
          <cell r="AG268">
            <v>0</v>
          </cell>
          <cell r="AH268">
            <v>12</v>
          </cell>
          <cell r="AI268">
            <v>0</v>
          </cell>
          <cell r="AJ268">
            <v>0</v>
          </cell>
        </row>
        <row r="269">
          <cell r="A269">
            <v>168961</v>
          </cell>
          <cell r="B269">
            <v>37643</v>
          </cell>
          <cell r="D269" t="str">
            <v>ENTEL CHILE - 1600001749</v>
          </cell>
          <cell r="E269">
            <v>3422833</v>
          </cell>
          <cell r="F269">
            <v>8044039</v>
          </cell>
          <cell r="G269">
            <v>2620000</v>
          </cell>
          <cell r="H269">
            <v>37644</v>
          </cell>
          <cell r="I269">
            <v>0.51500000000000001</v>
          </cell>
          <cell r="J269">
            <v>1</v>
          </cell>
          <cell r="K269">
            <v>10.199999999999999</v>
          </cell>
          <cell r="M269" t="str">
            <v>S362C-12205</v>
          </cell>
          <cell r="N269" t="str">
            <v>Cisco 3620 Series IOS IP</v>
          </cell>
          <cell r="O269">
            <v>0</v>
          </cell>
          <cell r="P269">
            <v>0</v>
          </cell>
          <cell r="Q269">
            <v>2</v>
          </cell>
          <cell r="R269">
            <v>0</v>
          </cell>
          <cell r="S269">
            <v>37684</v>
          </cell>
          <cell r="T269" t="str">
            <v>---</v>
          </cell>
          <cell r="W269" t="str">
            <v>3864313</v>
          </cell>
          <cell r="X269">
            <v>0</v>
          </cell>
          <cell r="Z269" t="str">
            <v>2030000108</v>
          </cell>
          <cell r="AA269">
            <v>0</v>
          </cell>
          <cell r="AB269">
            <v>37692</v>
          </cell>
          <cell r="AE269">
            <v>37739</v>
          </cell>
          <cell r="AF269" t="str">
            <v>C</v>
          </cell>
          <cell r="AG269">
            <v>0</v>
          </cell>
          <cell r="AH269">
            <v>12</v>
          </cell>
          <cell r="AI269">
            <v>0</v>
          </cell>
          <cell r="AJ269">
            <v>0</v>
          </cell>
        </row>
        <row r="270">
          <cell r="A270">
            <v>168961</v>
          </cell>
          <cell r="B270">
            <v>37643</v>
          </cell>
          <cell r="D270" t="str">
            <v>ENTEL CHILE - 1600001749</v>
          </cell>
          <cell r="E270">
            <v>3422833</v>
          </cell>
          <cell r="F270">
            <v>8044039</v>
          </cell>
          <cell r="G270">
            <v>2620000</v>
          </cell>
          <cell r="H270">
            <v>37644</v>
          </cell>
          <cell r="I270">
            <v>0.51500000000000001</v>
          </cell>
          <cell r="J270">
            <v>1</v>
          </cell>
          <cell r="K270">
            <v>11</v>
          </cell>
          <cell r="M270" t="str">
            <v xml:space="preserve"> CISCO3640A</v>
          </cell>
          <cell r="N270" t="e">
            <v>#N/A</v>
          </cell>
          <cell r="O270">
            <v>6500</v>
          </cell>
          <cell r="P270">
            <v>3152.5</v>
          </cell>
          <cell r="Q270">
            <v>5</v>
          </cell>
          <cell r="R270">
            <v>15762.5</v>
          </cell>
          <cell r="S270">
            <v>37684</v>
          </cell>
          <cell r="T270" t="str">
            <v>---</v>
          </cell>
          <cell r="W270" t="str">
            <v>3864313</v>
          </cell>
          <cell r="X270">
            <v>15762.5</v>
          </cell>
          <cell r="Z270" t="str">
            <v>2030000108</v>
          </cell>
          <cell r="AA270">
            <v>17875</v>
          </cell>
          <cell r="AB270">
            <v>37692</v>
          </cell>
          <cell r="AE270">
            <v>37739</v>
          </cell>
          <cell r="AF270" t="str">
            <v>C</v>
          </cell>
          <cell r="AG270">
            <v>1182.1875</v>
          </cell>
          <cell r="AH270">
            <v>4</v>
          </cell>
          <cell r="AI270">
            <v>3575</v>
          </cell>
          <cell r="AJ270">
            <v>17875</v>
          </cell>
        </row>
        <row r="271">
          <cell r="A271">
            <v>168961</v>
          </cell>
          <cell r="B271">
            <v>37643</v>
          </cell>
          <cell r="D271" t="str">
            <v>ENTEL CHILE - 1600001749</v>
          </cell>
          <cell r="E271">
            <v>3422833</v>
          </cell>
          <cell r="F271">
            <v>8044039</v>
          </cell>
          <cell r="G271">
            <v>2620000</v>
          </cell>
          <cell r="H271">
            <v>37644</v>
          </cell>
          <cell r="I271">
            <v>0.51500000000000001</v>
          </cell>
          <cell r="J271">
            <v>1</v>
          </cell>
          <cell r="K271">
            <v>11.1</v>
          </cell>
          <cell r="M271" t="str">
            <v>CAB-ACI</v>
          </cell>
          <cell r="N271" t="str">
            <v>Power Cord-Italian</v>
          </cell>
          <cell r="O271">
            <v>0</v>
          </cell>
          <cell r="P271">
            <v>0</v>
          </cell>
          <cell r="Q271">
            <v>5</v>
          </cell>
          <cell r="R271">
            <v>0</v>
          </cell>
          <cell r="S271">
            <v>37684</v>
          </cell>
          <cell r="T271" t="str">
            <v>---</v>
          </cell>
          <cell r="W271" t="str">
            <v>3864313</v>
          </cell>
          <cell r="X271">
            <v>0</v>
          </cell>
          <cell r="Z271" t="str">
            <v>2030000108</v>
          </cell>
          <cell r="AA271">
            <v>0</v>
          </cell>
          <cell r="AB271">
            <v>37692</v>
          </cell>
          <cell r="AE271">
            <v>37739</v>
          </cell>
          <cell r="AF271" t="str">
            <v>-</v>
          </cell>
          <cell r="AG271">
            <v>0</v>
          </cell>
          <cell r="AH271">
            <v>4</v>
          </cell>
          <cell r="AI271">
            <v>0</v>
          </cell>
          <cell r="AJ271">
            <v>0</v>
          </cell>
        </row>
        <row r="272">
          <cell r="A272">
            <v>168961</v>
          </cell>
          <cell r="B272">
            <v>37643</v>
          </cell>
          <cell r="D272" t="str">
            <v>ENTEL CHILE - 1600001749</v>
          </cell>
          <cell r="E272">
            <v>3422833</v>
          </cell>
          <cell r="F272">
            <v>8044039</v>
          </cell>
          <cell r="G272">
            <v>2620000</v>
          </cell>
          <cell r="H272">
            <v>37644</v>
          </cell>
          <cell r="I272">
            <v>0.51500000000000001</v>
          </cell>
          <cell r="J272">
            <v>1</v>
          </cell>
          <cell r="K272">
            <v>11.2</v>
          </cell>
          <cell r="M272" t="str">
            <v>S364C-12212</v>
          </cell>
          <cell r="N272" t="str">
            <v>Cisco 3640 Series IOS IP</v>
          </cell>
          <cell r="O272">
            <v>0</v>
          </cell>
          <cell r="P272">
            <v>0</v>
          </cell>
          <cell r="Q272">
            <v>5</v>
          </cell>
          <cell r="R272">
            <v>0</v>
          </cell>
          <cell r="S272">
            <v>37684</v>
          </cell>
          <cell r="T272" t="str">
            <v>---</v>
          </cell>
          <cell r="W272" t="str">
            <v>3864313</v>
          </cell>
          <cell r="X272">
            <v>0</v>
          </cell>
          <cell r="Z272" t="str">
            <v>2030000108</v>
          </cell>
          <cell r="AA272">
            <v>0</v>
          </cell>
          <cell r="AB272">
            <v>37692</v>
          </cell>
          <cell r="AE272">
            <v>37739</v>
          </cell>
          <cell r="AF272" t="str">
            <v>C</v>
          </cell>
          <cell r="AG272">
            <v>0</v>
          </cell>
          <cell r="AH272">
            <v>4</v>
          </cell>
          <cell r="AI272">
            <v>0</v>
          </cell>
          <cell r="AJ272">
            <v>0</v>
          </cell>
        </row>
        <row r="273">
          <cell r="A273">
            <v>168961</v>
          </cell>
          <cell r="B273">
            <v>37643</v>
          </cell>
          <cell r="D273" t="str">
            <v>ENTEL CHILE - 1600001749</v>
          </cell>
          <cell r="E273">
            <v>3422833</v>
          </cell>
          <cell r="F273">
            <v>8044039</v>
          </cell>
          <cell r="G273">
            <v>2620000</v>
          </cell>
          <cell r="H273">
            <v>37644</v>
          </cell>
          <cell r="I273">
            <v>0.51500000000000001</v>
          </cell>
          <cell r="J273">
            <v>1</v>
          </cell>
          <cell r="K273">
            <v>12</v>
          </cell>
          <cell r="M273" t="str">
            <v>CISCO3662-AC</v>
          </cell>
          <cell r="N273" t="str">
            <v>Dual 10/100 E Cisco 3660 6-slot Modular Router-AC with IP SW</v>
          </cell>
          <cell r="O273">
            <v>11700</v>
          </cell>
          <cell r="P273">
            <v>5674.5</v>
          </cell>
          <cell r="Q273">
            <v>1</v>
          </cell>
          <cell r="R273">
            <v>5674.5</v>
          </cell>
          <cell r="S273">
            <v>37684</v>
          </cell>
          <cell r="T273" t="str">
            <v>---</v>
          </cell>
          <cell r="W273" t="str">
            <v>3864313</v>
          </cell>
          <cell r="X273">
            <v>5674.5</v>
          </cell>
          <cell r="Z273" t="str">
            <v>2030000108</v>
          </cell>
          <cell r="AA273">
            <v>6435</v>
          </cell>
          <cell r="AB273">
            <v>37692</v>
          </cell>
          <cell r="AE273">
            <v>37739</v>
          </cell>
          <cell r="AF273" t="str">
            <v>C</v>
          </cell>
          <cell r="AG273">
            <v>425.58749999999998</v>
          </cell>
          <cell r="AH273">
            <v>11</v>
          </cell>
          <cell r="AI273">
            <v>6435</v>
          </cell>
          <cell r="AJ273">
            <v>6435</v>
          </cell>
        </row>
        <row r="274">
          <cell r="A274">
            <v>168961</v>
          </cell>
          <cell r="B274">
            <v>37643</v>
          </cell>
          <cell r="D274" t="str">
            <v>ENTEL CHILE - 1600001749</v>
          </cell>
          <cell r="E274">
            <v>3422833</v>
          </cell>
          <cell r="F274">
            <v>8044039</v>
          </cell>
          <cell r="G274">
            <v>2620000</v>
          </cell>
          <cell r="H274">
            <v>37644</v>
          </cell>
          <cell r="I274">
            <v>0.51500000000000001</v>
          </cell>
          <cell r="J274">
            <v>1</v>
          </cell>
          <cell r="K274">
            <v>12.1</v>
          </cell>
          <cell r="M274" t="str">
            <v>CAB-ACI</v>
          </cell>
          <cell r="N274" t="str">
            <v>Power Cord-Italian</v>
          </cell>
          <cell r="O274">
            <v>0</v>
          </cell>
          <cell r="P274">
            <v>0</v>
          </cell>
          <cell r="Q274">
            <v>1</v>
          </cell>
          <cell r="R274">
            <v>0</v>
          </cell>
          <cell r="S274">
            <v>37684</v>
          </cell>
          <cell r="T274" t="str">
            <v>---</v>
          </cell>
          <cell r="W274" t="str">
            <v>3864313</v>
          </cell>
          <cell r="X274">
            <v>0</v>
          </cell>
          <cell r="Z274" t="str">
            <v>2030000108</v>
          </cell>
          <cell r="AA274">
            <v>0</v>
          </cell>
          <cell r="AB274">
            <v>37692</v>
          </cell>
          <cell r="AE274">
            <v>37739</v>
          </cell>
          <cell r="AF274" t="str">
            <v>-</v>
          </cell>
          <cell r="AG274">
            <v>0</v>
          </cell>
          <cell r="AH274">
            <v>11</v>
          </cell>
          <cell r="AI274">
            <v>0</v>
          </cell>
          <cell r="AJ274">
            <v>0</v>
          </cell>
        </row>
        <row r="275">
          <cell r="A275">
            <v>168961</v>
          </cell>
          <cell r="B275">
            <v>37643</v>
          </cell>
          <cell r="D275" t="str">
            <v>ENTEL CHILE - 1600001749</v>
          </cell>
          <cell r="E275">
            <v>3422833</v>
          </cell>
          <cell r="F275">
            <v>8044039</v>
          </cell>
          <cell r="G275">
            <v>2620000</v>
          </cell>
          <cell r="H275">
            <v>37644</v>
          </cell>
          <cell r="I275">
            <v>0.51500000000000001</v>
          </cell>
          <cell r="J275">
            <v>1</v>
          </cell>
          <cell r="K275">
            <v>12.2</v>
          </cell>
          <cell r="M275" t="str">
            <v>S366C-12205</v>
          </cell>
          <cell r="N275" t="str">
            <v>Cisco 3660 Series IOS IP</v>
          </cell>
          <cell r="O275">
            <v>0</v>
          </cell>
          <cell r="P275">
            <v>0</v>
          </cell>
          <cell r="Q275">
            <v>1</v>
          </cell>
          <cell r="R275">
            <v>0</v>
          </cell>
          <cell r="S275">
            <v>37684</v>
          </cell>
          <cell r="T275" t="str">
            <v>---</v>
          </cell>
          <cell r="W275" t="str">
            <v>3864313</v>
          </cell>
          <cell r="X275">
            <v>0</v>
          </cell>
          <cell r="Z275" t="str">
            <v>2030000108</v>
          </cell>
          <cell r="AA275">
            <v>0</v>
          </cell>
          <cell r="AB275">
            <v>37692</v>
          </cell>
          <cell r="AE275">
            <v>37739</v>
          </cell>
          <cell r="AF275" t="str">
            <v>C</v>
          </cell>
          <cell r="AG275">
            <v>0</v>
          </cell>
          <cell r="AH275">
            <v>11</v>
          </cell>
          <cell r="AI275">
            <v>0</v>
          </cell>
          <cell r="AJ275">
            <v>0</v>
          </cell>
        </row>
        <row r="276">
          <cell r="A276">
            <v>168961</v>
          </cell>
          <cell r="B276">
            <v>37643</v>
          </cell>
          <cell r="D276" t="str">
            <v>ENTEL CHILE - 1600001749</v>
          </cell>
          <cell r="E276">
            <v>3422833</v>
          </cell>
          <cell r="F276">
            <v>8044039</v>
          </cell>
          <cell r="G276">
            <v>2620000</v>
          </cell>
          <cell r="H276">
            <v>37644</v>
          </cell>
          <cell r="I276">
            <v>0.51500000000000001</v>
          </cell>
          <cell r="J276">
            <v>1</v>
          </cell>
          <cell r="K276">
            <v>12.3</v>
          </cell>
          <cell r="M276" t="str">
            <v>PWR-3660-AC</v>
          </cell>
          <cell r="N276" t="str">
            <v>AC Power Supply for Cisco 3660</v>
          </cell>
          <cell r="O276">
            <v>0</v>
          </cell>
          <cell r="P276">
            <v>0</v>
          </cell>
          <cell r="Q276">
            <v>1</v>
          </cell>
          <cell r="R276">
            <v>0</v>
          </cell>
          <cell r="S276">
            <v>37684</v>
          </cell>
          <cell r="T276" t="str">
            <v>---</v>
          </cell>
          <cell r="W276" t="str">
            <v>3864313</v>
          </cell>
          <cell r="X276">
            <v>0</v>
          </cell>
          <cell r="Z276" t="str">
            <v>2030000108</v>
          </cell>
          <cell r="AA276">
            <v>0</v>
          </cell>
          <cell r="AB276">
            <v>37692</v>
          </cell>
          <cell r="AE276">
            <v>37739</v>
          </cell>
          <cell r="AF276" t="str">
            <v>C</v>
          </cell>
          <cell r="AG276">
            <v>0</v>
          </cell>
          <cell r="AH276">
            <v>11</v>
          </cell>
          <cell r="AI276">
            <v>0</v>
          </cell>
          <cell r="AJ276">
            <v>0</v>
          </cell>
        </row>
        <row r="277">
          <cell r="A277">
            <v>168961</v>
          </cell>
          <cell r="B277">
            <v>37643</v>
          </cell>
          <cell r="D277" t="str">
            <v>ENTEL CHILE - 1600001749</v>
          </cell>
          <cell r="E277">
            <v>3422833</v>
          </cell>
          <cell r="F277">
            <v>8044039</v>
          </cell>
          <cell r="G277">
            <v>2620000</v>
          </cell>
          <cell r="H277">
            <v>37644</v>
          </cell>
          <cell r="I277">
            <v>0.51500000000000001</v>
          </cell>
          <cell r="J277">
            <v>1</v>
          </cell>
          <cell r="K277">
            <v>13</v>
          </cell>
          <cell r="M277" t="str">
            <v xml:space="preserve"> CISCO2611XM</v>
          </cell>
          <cell r="N277" t="e">
            <v>#N/A</v>
          </cell>
          <cell r="O277">
            <v>2495</v>
          </cell>
          <cell r="P277">
            <v>1210.075</v>
          </cell>
          <cell r="Q277">
            <v>10</v>
          </cell>
          <cell r="R277">
            <v>12100.75</v>
          </cell>
          <cell r="S277">
            <v>37684</v>
          </cell>
          <cell r="T277" t="str">
            <v>---</v>
          </cell>
          <cell r="W277" t="str">
            <v>3864313</v>
          </cell>
          <cell r="X277">
            <v>12100.75</v>
          </cell>
          <cell r="Z277" t="str">
            <v>2030000108</v>
          </cell>
          <cell r="AA277">
            <v>13720</v>
          </cell>
          <cell r="AB277">
            <v>37692</v>
          </cell>
          <cell r="AE277">
            <v>37739</v>
          </cell>
          <cell r="AF277" t="str">
            <v>C</v>
          </cell>
          <cell r="AG277">
            <v>907.55624999999998</v>
          </cell>
          <cell r="AH277">
            <v>2</v>
          </cell>
          <cell r="AI277">
            <v>1372</v>
          </cell>
          <cell r="AJ277">
            <v>13720</v>
          </cell>
        </row>
        <row r="278">
          <cell r="A278">
            <v>168961</v>
          </cell>
          <cell r="B278">
            <v>37643</v>
          </cell>
          <cell r="D278" t="str">
            <v>ENTEL CHILE - 1600001749</v>
          </cell>
          <cell r="E278">
            <v>3422833</v>
          </cell>
          <cell r="F278">
            <v>8044039</v>
          </cell>
          <cell r="G278">
            <v>2620000</v>
          </cell>
          <cell r="H278">
            <v>37644</v>
          </cell>
          <cell r="I278">
            <v>0.51500000000000001</v>
          </cell>
          <cell r="J278">
            <v>1</v>
          </cell>
          <cell r="K278">
            <v>13.1</v>
          </cell>
          <cell r="M278" t="str">
            <v>CAB-ACI</v>
          </cell>
          <cell r="N278" t="str">
            <v>Power Cord-Italian</v>
          </cell>
          <cell r="O278">
            <v>0</v>
          </cell>
          <cell r="P278">
            <v>0</v>
          </cell>
          <cell r="Q278">
            <v>10</v>
          </cell>
          <cell r="R278">
            <v>0</v>
          </cell>
          <cell r="S278">
            <v>37684</v>
          </cell>
          <cell r="T278" t="str">
            <v>---</v>
          </cell>
          <cell r="W278" t="str">
            <v>3864313</v>
          </cell>
          <cell r="X278">
            <v>0</v>
          </cell>
          <cell r="Z278" t="str">
            <v>2030000108</v>
          </cell>
          <cell r="AA278">
            <v>0</v>
          </cell>
          <cell r="AB278">
            <v>37692</v>
          </cell>
          <cell r="AE278">
            <v>37739</v>
          </cell>
          <cell r="AF278" t="str">
            <v>-</v>
          </cell>
          <cell r="AG278">
            <v>0</v>
          </cell>
          <cell r="AH278">
            <v>2</v>
          </cell>
          <cell r="AI278">
            <v>0</v>
          </cell>
          <cell r="AJ278">
            <v>0</v>
          </cell>
        </row>
        <row r="279">
          <cell r="A279">
            <v>168961</v>
          </cell>
          <cell r="B279">
            <v>37643</v>
          </cell>
          <cell r="D279" t="str">
            <v>ENTEL CHILE - 1600001749</v>
          </cell>
          <cell r="E279">
            <v>3422833</v>
          </cell>
          <cell r="F279">
            <v>8044039</v>
          </cell>
          <cell r="G279">
            <v>2620000</v>
          </cell>
          <cell r="H279">
            <v>37644</v>
          </cell>
          <cell r="I279">
            <v>0.51500000000000001</v>
          </cell>
          <cell r="J279">
            <v>1</v>
          </cell>
          <cell r="K279">
            <v>13.2</v>
          </cell>
          <cell r="M279" t="str">
            <v>S26C-12208T</v>
          </cell>
          <cell r="N279" t="str">
            <v>Cisco 2600 Series IOS IP</v>
          </cell>
          <cell r="O279">
            <v>0</v>
          </cell>
          <cell r="P279">
            <v>0</v>
          </cell>
          <cell r="Q279">
            <v>10</v>
          </cell>
          <cell r="R279">
            <v>0</v>
          </cell>
          <cell r="S279">
            <v>37684</v>
          </cell>
          <cell r="T279" t="str">
            <v>---</v>
          </cell>
          <cell r="W279" t="str">
            <v>3864313</v>
          </cell>
          <cell r="X279">
            <v>0</v>
          </cell>
          <cell r="Z279" t="str">
            <v>2030000108</v>
          </cell>
          <cell r="AA279">
            <v>0</v>
          </cell>
          <cell r="AB279">
            <v>37692</v>
          </cell>
          <cell r="AE279">
            <v>37739</v>
          </cell>
          <cell r="AF279" t="str">
            <v>C</v>
          </cell>
          <cell r="AG279">
            <v>0</v>
          </cell>
          <cell r="AH279">
            <v>2</v>
          </cell>
          <cell r="AI279">
            <v>0</v>
          </cell>
          <cell r="AJ279">
            <v>0</v>
          </cell>
        </row>
        <row r="280">
          <cell r="A280">
            <v>168961</v>
          </cell>
          <cell r="B280">
            <v>37643</v>
          </cell>
          <cell r="D280" t="str">
            <v>ENTEL CHILE - 1600001749</v>
          </cell>
          <cell r="E280">
            <v>3422833</v>
          </cell>
          <cell r="F280">
            <v>8044039</v>
          </cell>
          <cell r="G280">
            <v>2620000</v>
          </cell>
          <cell r="H280">
            <v>37644</v>
          </cell>
          <cell r="I280">
            <v>0.51500000000000001</v>
          </cell>
          <cell r="J280">
            <v>1</v>
          </cell>
          <cell r="K280">
            <v>13.3</v>
          </cell>
          <cell r="M280" t="str">
            <v>MEM2600XM-32D-INC</v>
          </cell>
          <cell r="N280" t="e">
            <v>#N/A</v>
          </cell>
          <cell r="O280">
            <v>0</v>
          </cell>
          <cell r="P280">
            <v>0</v>
          </cell>
          <cell r="Q280">
            <v>10</v>
          </cell>
          <cell r="R280">
            <v>0</v>
          </cell>
          <cell r="S280">
            <v>37684</v>
          </cell>
          <cell r="T280" t="str">
            <v>---</v>
          </cell>
          <cell r="W280" t="str">
            <v>3864313</v>
          </cell>
          <cell r="X280">
            <v>0</v>
          </cell>
          <cell r="Z280" t="str">
            <v>2030000108</v>
          </cell>
          <cell r="AA280">
            <v>0</v>
          </cell>
          <cell r="AB280">
            <v>37692</v>
          </cell>
          <cell r="AE280">
            <v>37739</v>
          </cell>
          <cell r="AF280" t="str">
            <v>C</v>
          </cell>
          <cell r="AG280">
            <v>0</v>
          </cell>
          <cell r="AH280">
            <v>2</v>
          </cell>
          <cell r="AI280">
            <v>0</v>
          </cell>
          <cell r="AJ280">
            <v>0</v>
          </cell>
        </row>
        <row r="281">
          <cell r="A281">
            <v>168961</v>
          </cell>
          <cell r="B281">
            <v>37643</v>
          </cell>
          <cell r="D281" t="str">
            <v>ENTEL CHILE - 1600001749</v>
          </cell>
          <cell r="E281">
            <v>3422833</v>
          </cell>
          <cell r="F281">
            <v>8044039</v>
          </cell>
          <cell r="G281">
            <v>2620000</v>
          </cell>
          <cell r="H281">
            <v>37644</v>
          </cell>
          <cell r="I281">
            <v>0.51500000000000001</v>
          </cell>
          <cell r="J281">
            <v>1</v>
          </cell>
          <cell r="K281">
            <v>13.4</v>
          </cell>
          <cell r="M281" t="str">
            <v>MEM2600XM-16FS-INC</v>
          </cell>
          <cell r="N281" t="e">
            <v>#N/A</v>
          </cell>
          <cell r="O281">
            <v>0</v>
          </cell>
          <cell r="P281">
            <v>0</v>
          </cell>
          <cell r="Q281">
            <v>10</v>
          </cell>
          <cell r="R281">
            <v>0</v>
          </cell>
          <cell r="S281">
            <v>37684</v>
          </cell>
          <cell r="T281" t="str">
            <v>---</v>
          </cell>
          <cell r="W281" t="str">
            <v>3864313</v>
          </cell>
          <cell r="X281">
            <v>0</v>
          </cell>
          <cell r="Z281" t="str">
            <v>2030000108</v>
          </cell>
          <cell r="AA281">
            <v>0</v>
          </cell>
          <cell r="AB281">
            <v>37692</v>
          </cell>
          <cell r="AE281">
            <v>37739</v>
          </cell>
          <cell r="AF281" t="str">
            <v>C</v>
          </cell>
          <cell r="AG281">
            <v>0</v>
          </cell>
          <cell r="AH281">
            <v>2</v>
          </cell>
          <cell r="AI281">
            <v>0</v>
          </cell>
          <cell r="AJ281">
            <v>0</v>
          </cell>
        </row>
        <row r="282">
          <cell r="A282">
            <v>168961</v>
          </cell>
          <cell r="B282">
            <v>37643</v>
          </cell>
          <cell r="D282" t="str">
            <v>ENTEL CHILE - 1600001749</v>
          </cell>
          <cell r="E282">
            <v>3422833</v>
          </cell>
          <cell r="F282">
            <v>8044039</v>
          </cell>
          <cell r="G282">
            <v>2620000</v>
          </cell>
          <cell r="H282">
            <v>37644</v>
          </cell>
          <cell r="I282">
            <v>0.51500000000000001</v>
          </cell>
          <cell r="J282">
            <v>2</v>
          </cell>
          <cell r="K282">
            <v>14</v>
          </cell>
          <cell r="M282" t="str">
            <v>WS-C2950-12</v>
          </cell>
          <cell r="N282" t="str">
            <v>12 port, 10/100 Catalyst Switch, Standard Image only</v>
          </cell>
          <cell r="O282">
            <v>895</v>
          </cell>
          <cell r="P282">
            <v>434.07499999999999</v>
          </cell>
          <cell r="Q282">
            <v>6</v>
          </cell>
          <cell r="R282">
            <v>2604.4499999999998</v>
          </cell>
          <cell r="S282">
            <v>37670</v>
          </cell>
          <cell r="T282" t="str">
            <v>---</v>
          </cell>
          <cell r="W282" t="str">
            <v>3791804</v>
          </cell>
          <cell r="X282">
            <v>2604.4499999999998</v>
          </cell>
          <cell r="Z282" t="str">
            <v>2030000053</v>
          </cell>
          <cell r="AA282">
            <v>2952</v>
          </cell>
          <cell r="AB282">
            <v>37672</v>
          </cell>
          <cell r="AE282">
            <v>37739</v>
          </cell>
          <cell r="AF282" t="str">
            <v>D</v>
          </cell>
          <cell r="AG282">
            <v>52.088999999999999</v>
          </cell>
          <cell r="AH282">
            <v>13</v>
          </cell>
          <cell r="AI282">
            <v>492</v>
          </cell>
          <cell r="AJ282">
            <v>2952</v>
          </cell>
        </row>
        <row r="283">
          <cell r="A283">
            <v>168961</v>
          </cell>
          <cell r="B283">
            <v>37643</v>
          </cell>
          <cell r="D283" t="str">
            <v>ENTEL CHILE - 1600001749</v>
          </cell>
          <cell r="E283">
            <v>3422833</v>
          </cell>
          <cell r="F283">
            <v>8044039</v>
          </cell>
          <cell r="G283">
            <v>2620000</v>
          </cell>
          <cell r="H283">
            <v>37644</v>
          </cell>
          <cell r="I283">
            <v>0.51500000000000001</v>
          </cell>
          <cell r="J283">
            <v>2</v>
          </cell>
          <cell r="K283">
            <v>14.1</v>
          </cell>
          <cell r="M283" t="str">
            <v>CAB-ACI</v>
          </cell>
          <cell r="N283" t="str">
            <v>Power Cord-Italian</v>
          </cell>
          <cell r="O283">
            <v>0</v>
          </cell>
          <cell r="P283">
            <v>0</v>
          </cell>
          <cell r="Q283">
            <v>6</v>
          </cell>
          <cell r="R283">
            <v>0</v>
          </cell>
          <cell r="S283">
            <v>37670</v>
          </cell>
          <cell r="T283" t="str">
            <v>---</v>
          </cell>
          <cell r="W283" t="str">
            <v>3791804</v>
          </cell>
          <cell r="X283">
            <v>0</v>
          </cell>
          <cell r="Z283" t="str">
            <v>2030000053</v>
          </cell>
          <cell r="AA283">
            <v>0</v>
          </cell>
          <cell r="AB283">
            <v>37672</v>
          </cell>
          <cell r="AE283">
            <v>37739</v>
          </cell>
          <cell r="AF283" t="str">
            <v>-</v>
          </cell>
          <cell r="AG283">
            <v>0</v>
          </cell>
          <cell r="AH283">
            <v>13</v>
          </cell>
          <cell r="AI283">
            <v>0</v>
          </cell>
          <cell r="AJ283">
            <v>0</v>
          </cell>
        </row>
        <row r="284">
          <cell r="A284">
            <v>168961</v>
          </cell>
          <cell r="B284">
            <v>37643</v>
          </cell>
          <cell r="D284" t="str">
            <v>ENTEL CHILE - 1600001749</v>
          </cell>
          <cell r="E284">
            <v>3422833</v>
          </cell>
          <cell r="F284">
            <v>8044039</v>
          </cell>
          <cell r="G284">
            <v>2620000</v>
          </cell>
          <cell r="H284">
            <v>37644</v>
          </cell>
          <cell r="I284">
            <v>0.51500000000000001</v>
          </cell>
          <cell r="J284">
            <v>2</v>
          </cell>
          <cell r="K284">
            <v>15</v>
          </cell>
          <cell r="M284" t="str">
            <v>WS-C2950-24</v>
          </cell>
          <cell r="N284" t="str">
            <v>24 port, 10/100 Catalyst Switch, Standard Image only</v>
          </cell>
          <cell r="O284">
            <v>995</v>
          </cell>
          <cell r="P284">
            <v>482.57499999999999</v>
          </cell>
          <cell r="Q284">
            <v>15</v>
          </cell>
          <cell r="R284">
            <v>7238.625</v>
          </cell>
          <cell r="S284">
            <v>37670</v>
          </cell>
          <cell r="T284" t="str">
            <v>---</v>
          </cell>
          <cell r="W284" t="str">
            <v>3791804</v>
          </cell>
          <cell r="X284">
            <v>7238.625</v>
          </cell>
          <cell r="Z284" t="str">
            <v>2030000053</v>
          </cell>
          <cell r="AA284">
            <v>8205</v>
          </cell>
          <cell r="AB284">
            <v>37672</v>
          </cell>
          <cell r="AE284">
            <v>37739</v>
          </cell>
          <cell r="AF284" t="str">
            <v>D</v>
          </cell>
          <cell r="AG284">
            <v>144.77250000000001</v>
          </cell>
          <cell r="AH284">
            <v>3</v>
          </cell>
          <cell r="AI284">
            <v>547</v>
          </cell>
          <cell r="AJ284">
            <v>8205</v>
          </cell>
        </row>
        <row r="285">
          <cell r="A285">
            <v>168961</v>
          </cell>
          <cell r="B285">
            <v>37643</v>
          </cell>
          <cell r="D285" t="str">
            <v>ENTEL CHILE - 1600001749</v>
          </cell>
          <cell r="E285">
            <v>3422833</v>
          </cell>
          <cell r="F285">
            <v>8044039</v>
          </cell>
          <cell r="G285">
            <v>2620000</v>
          </cell>
          <cell r="H285">
            <v>37644</v>
          </cell>
          <cell r="I285">
            <v>0.51500000000000001</v>
          </cell>
          <cell r="J285">
            <v>2</v>
          </cell>
          <cell r="K285">
            <v>15.1</v>
          </cell>
          <cell r="M285" t="str">
            <v>CAB-ACI</v>
          </cell>
          <cell r="N285" t="str">
            <v>Power Cord-Italian</v>
          </cell>
          <cell r="O285">
            <v>0</v>
          </cell>
          <cell r="P285">
            <v>0</v>
          </cell>
          <cell r="Q285">
            <v>15</v>
          </cell>
          <cell r="R285">
            <v>0</v>
          </cell>
          <cell r="S285">
            <v>37670</v>
          </cell>
          <cell r="T285" t="str">
            <v>---</v>
          </cell>
          <cell r="W285" t="str">
            <v>3791804</v>
          </cell>
          <cell r="X285">
            <v>0</v>
          </cell>
          <cell r="Z285" t="str">
            <v>2030000053</v>
          </cell>
          <cell r="AA285">
            <v>0</v>
          </cell>
          <cell r="AB285">
            <v>37672</v>
          </cell>
          <cell r="AE285">
            <v>37739</v>
          </cell>
          <cell r="AF285" t="str">
            <v>-</v>
          </cell>
          <cell r="AG285">
            <v>0</v>
          </cell>
          <cell r="AH285">
            <v>3</v>
          </cell>
          <cell r="AI285">
            <v>0</v>
          </cell>
          <cell r="AJ285">
            <v>0</v>
          </cell>
        </row>
        <row r="286">
          <cell r="A286">
            <v>168961</v>
          </cell>
          <cell r="B286">
            <v>37643</v>
          </cell>
          <cell r="D286" t="str">
            <v>ENTEL CHILE - 1600001749</v>
          </cell>
          <cell r="E286">
            <v>3422833</v>
          </cell>
          <cell r="F286">
            <v>8044039</v>
          </cell>
          <cell r="G286">
            <v>2620000</v>
          </cell>
          <cell r="H286">
            <v>37644</v>
          </cell>
          <cell r="I286">
            <v>0.51500000000000001</v>
          </cell>
          <cell r="J286">
            <v>1</v>
          </cell>
          <cell r="K286">
            <v>16</v>
          </cell>
          <cell r="M286" t="str">
            <v xml:space="preserve"> CISCO805</v>
          </cell>
          <cell r="N286" t="e">
            <v>#N/A</v>
          </cell>
          <cell r="O286">
            <v>999</v>
          </cell>
          <cell r="P286">
            <v>484.51499999999999</v>
          </cell>
          <cell r="Q286">
            <v>30</v>
          </cell>
          <cell r="R286">
            <v>14535.449999999999</v>
          </cell>
          <cell r="S286">
            <v>37684</v>
          </cell>
          <cell r="T286" t="str">
            <v>---</v>
          </cell>
          <cell r="W286" t="str">
            <v>3864313</v>
          </cell>
          <cell r="X286">
            <v>14535.449999999999</v>
          </cell>
          <cell r="Z286" t="str">
            <v>2030000108</v>
          </cell>
          <cell r="AA286">
            <v>16470</v>
          </cell>
          <cell r="AB286">
            <v>37692</v>
          </cell>
          <cell r="AE286">
            <v>37739</v>
          </cell>
          <cell r="AF286" t="str">
            <v>D</v>
          </cell>
          <cell r="AG286">
            <v>290.709</v>
          </cell>
          <cell r="AH286">
            <v>8</v>
          </cell>
          <cell r="AI286">
            <v>549</v>
          </cell>
          <cell r="AJ286">
            <v>16470</v>
          </cell>
        </row>
        <row r="287">
          <cell r="A287">
            <v>168961</v>
          </cell>
          <cell r="B287">
            <v>37643</v>
          </cell>
          <cell r="D287" t="str">
            <v>ENTEL CHILE - 1600001749</v>
          </cell>
          <cell r="E287">
            <v>3422833</v>
          </cell>
          <cell r="F287">
            <v>8044039</v>
          </cell>
          <cell r="G287">
            <v>2620000</v>
          </cell>
          <cell r="H287">
            <v>37644</v>
          </cell>
          <cell r="I287">
            <v>0.51500000000000001</v>
          </cell>
          <cell r="J287">
            <v>1</v>
          </cell>
          <cell r="K287">
            <v>16.100000000000001</v>
          </cell>
          <cell r="M287" t="str">
            <v>CAB-ACI</v>
          </cell>
          <cell r="N287" t="str">
            <v>Power Cord-Italian</v>
          </cell>
          <cell r="O287">
            <v>0</v>
          </cell>
          <cell r="P287">
            <v>0</v>
          </cell>
          <cell r="Q287">
            <v>30</v>
          </cell>
          <cell r="R287">
            <v>0</v>
          </cell>
          <cell r="S287">
            <v>37684</v>
          </cell>
          <cell r="T287" t="str">
            <v>---</v>
          </cell>
          <cell r="W287" t="str">
            <v>3864313</v>
          </cell>
          <cell r="X287">
            <v>0</v>
          </cell>
          <cell r="Z287" t="str">
            <v>2030000108</v>
          </cell>
          <cell r="AA287">
            <v>0</v>
          </cell>
          <cell r="AB287">
            <v>37692</v>
          </cell>
          <cell r="AE287">
            <v>37739</v>
          </cell>
          <cell r="AF287" t="str">
            <v>-</v>
          </cell>
          <cell r="AG287">
            <v>0</v>
          </cell>
          <cell r="AH287">
            <v>8</v>
          </cell>
          <cell r="AI287">
            <v>0</v>
          </cell>
          <cell r="AJ287">
            <v>0</v>
          </cell>
        </row>
        <row r="288">
          <cell r="A288">
            <v>168961</v>
          </cell>
          <cell r="B288">
            <v>37643</v>
          </cell>
          <cell r="D288" t="str">
            <v>ENTEL CHILE - 1600001749</v>
          </cell>
          <cell r="E288">
            <v>3422833</v>
          </cell>
          <cell r="F288">
            <v>8044039</v>
          </cell>
          <cell r="G288">
            <v>2620000</v>
          </cell>
          <cell r="H288">
            <v>37644</v>
          </cell>
          <cell r="I288">
            <v>0.51500000000000001</v>
          </cell>
          <cell r="J288">
            <v>1</v>
          </cell>
          <cell r="K288">
            <v>16.2</v>
          </cell>
          <cell r="M288" t="str">
            <v>S805C-12208T</v>
          </cell>
          <cell r="N288" t="str">
            <v>Cisco 805 Series IOS IP</v>
          </cell>
          <cell r="O288">
            <v>0</v>
          </cell>
          <cell r="P288">
            <v>0</v>
          </cell>
          <cell r="Q288">
            <v>30</v>
          </cell>
          <cell r="R288">
            <v>0</v>
          </cell>
          <cell r="S288">
            <v>37684</v>
          </cell>
          <cell r="T288" t="str">
            <v>---</v>
          </cell>
          <cell r="W288" t="str">
            <v>3864313</v>
          </cell>
          <cell r="X288">
            <v>0</v>
          </cell>
          <cell r="Z288" t="str">
            <v>2030000108</v>
          </cell>
          <cell r="AA288">
            <v>0</v>
          </cell>
          <cell r="AB288">
            <v>37692</v>
          </cell>
          <cell r="AE288">
            <v>37739</v>
          </cell>
          <cell r="AF288" t="str">
            <v>D</v>
          </cell>
          <cell r="AG288">
            <v>0</v>
          </cell>
          <cell r="AH288">
            <v>8</v>
          </cell>
          <cell r="AI288">
            <v>0</v>
          </cell>
          <cell r="AJ288">
            <v>0</v>
          </cell>
        </row>
        <row r="289">
          <cell r="A289">
            <v>168961</v>
          </cell>
          <cell r="B289">
            <v>37643</v>
          </cell>
          <cell r="D289" t="str">
            <v>ENTEL CHILE - 1600001749</v>
          </cell>
          <cell r="E289">
            <v>3422833</v>
          </cell>
          <cell r="F289">
            <v>8044039</v>
          </cell>
          <cell r="G289">
            <v>2620000</v>
          </cell>
          <cell r="H289">
            <v>37644</v>
          </cell>
          <cell r="I289">
            <v>0.51500000000000001</v>
          </cell>
          <cell r="J289">
            <v>1</v>
          </cell>
          <cell r="K289">
            <v>17</v>
          </cell>
          <cell r="M289" t="str">
            <v xml:space="preserve"> CISCO1721</v>
          </cell>
          <cell r="N289" t="e">
            <v>#N/A</v>
          </cell>
          <cell r="O289">
            <v>1195</v>
          </cell>
          <cell r="P289">
            <v>579.57499999999993</v>
          </cell>
          <cell r="Q289">
            <v>20</v>
          </cell>
          <cell r="R289">
            <v>11591.499999999998</v>
          </cell>
          <cell r="S289">
            <v>37684</v>
          </cell>
          <cell r="T289" t="str">
            <v>---</v>
          </cell>
          <cell r="W289" t="str">
            <v>3864313</v>
          </cell>
          <cell r="X289">
            <v>11591.499999999998</v>
          </cell>
          <cell r="Z289" t="str">
            <v>2030000108</v>
          </cell>
          <cell r="AA289">
            <v>13140</v>
          </cell>
          <cell r="AB289">
            <v>37692</v>
          </cell>
          <cell r="AE289">
            <v>37739</v>
          </cell>
          <cell r="AF289" t="str">
            <v>D</v>
          </cell>
          <cell r="AG289">
            <v>231.82999999999996</v>
          </cell>
          <cell r="AH289">
            <v>18</v>
          </cell>
          <cell r="AI289">
            <v>657</v>
          </cell>
          <cell r="AJ289">
            <v>13140</v>
          </cell>
        </row>
        <row r="290">
          <cell r="A290">
            <v>168961</v>
          </cell>
          <cell r="B290">
            <v>37643</v>
          </cell>
          <cell r="D290" t="str">
            <v>ENTEL CHILE - 1600001749</v>
          </cell>
          <cell r="E290">
            <v>3422833</v>
          </cell>
          <cell r="F290">
            <v>8044039</v>
          </cell>
          <cell r="G290">
            <v>2620000</v>
          </cell>
          <cell r="H290">
            <v>37644</v>
          </cell>
          <cell r="I290">
            <v>0.51500000000000001</v>
          </cell>
          <cell r="J290">
            <v>1</v>
          </cell>
          <cell r="K290">
            <v>17.100000000000001</v>
          </cell>
          <cell r="M290" t="str">
            <v>S17C-12204YA</v>
          </cell>
          <cell r="N290" t="str">
            <v>Cisco 1700 IOS IP</v>
          </cell>
          <cell r="O290">
            <v>0</v>
          </cell>
          <cell r="P290">
            <v>0</v>
          </cell>
          <cell r="Q290">
            <v>20</v>
          </cell>
          <cell r="R290">
            <v>0</v>
          </cell>
          <cell r="S290">
            <v>37684</v>
          </cell>
          <cell r="T290" t="str">
            <v>---</v>
          </cell>
          <cell r="W290" t="str">
            <v>3864313</v>
          </cell>
          <cell r="X290">
            <v>0</v>
          </cell>
          <cell r="Z290" t="str">
            <v>2030000108</v>
          </cell>
          <cell r="AA290">
            <v>0</v>
          </cell>
          <cell r="AB290">
            <v>37692</v>
          </cell>
          <cell r="AE290">
            <v>37739</v>
          </cell>
          <cell r="AF290" t="str">
            <v>D</v>
          </cell>
          <cell r="AG290">
            <v>0</v>
          </cell>
          <cell r="AH290">
            <v>18</v>
          </cell>
          <cell r="AI290">
            <v>0</v>
          </cell>
          <cell r="AJ290">
            <v>0</v>
          </cell>
        </row>
        <row r="291">
          <cell r="A291">
            <v>168961</v>
          </cell>
          <cell r="B291">
            <v>37643</v>
          </cell>
          <cell r="D291" t="str">
            <v>ENTEL CHILE - 1600001749</v>
          </cell>
          <cell r="E291">
            <v>3422833</v>
          </cell>
          <cell r="F291">
            <v>8044039</v>
          </cell>
          <cell r="G291">
            <v>2620000</v>
          </cell>
          <cell r="H291">
            <v>37644</v>
          </cell>
          <cell r="I291">
            <v>0.51500000000000001</v>
          </cell>
          <cell r="J291">
            <v>1</v>
          </cell>
          <cell r="K291">
            <v>17.2</v>
          </cell>
          <cell r="M291" t="str">
            <v>CAB-ACI</v>
          </cell>
          <cell r="N291" t="str">
            <v>Power Cord-Italian</v>
          </cell>
          <cell r="O291">
            <v>0</v>
          </cell>
          <cell r="P291">
            <v>0</v>
          </cell>
          <cell r="Q291">
            <v>30</v>
          </cell>
          <cell r="R291">
            <v>0</v>
          </cell>
          <cell r="S291">
            <v>37684</v>
          </cell>
          <cell r="T291" t="str">
            <v>---</v>
          </cell>
          <cell r="W291" t="str">
            <v>3864313</v>
          </cell>
          <cell r="X291">
            <v>0</v>
          </cell>
          <cell r="Z291" t="str">
            <v>2030000108</v>
          </cell>
          <cell r="AA291">
            <v>0</v>
          </cell>
          <cell r="AB291">
            <v>37692</v>
          </cell>
          <cell r="AE291">
            <v>37739</v>
          </cell>
          <cell r="AF291" t="str">
            <v>-</v>
          </cell>
          <cell r="AG291">
            <v>0</v>
          </cell>
          <cell r="AH291">
            <v>18</v>
          </cell>
          <cell r="AI291">
            <v>0</v>
          </cell>
          <cell r="AJ291">
            <v>0</v>
          </cell>
        </row>
        <row r="292">
          <cell r="A292">
            <v>168961</v>
          </cell>
          <cell r="B292">
            <v>37643</v>
          </cell>
          <cell r="D292" t="str">
            <v>ENTEL CHILE - 1600001749</v>
          </cell>
          <cell r="E292">
            <v>3422833</v>
          </cell>
          <cell r="F292">
            <v>8044039</v>
          </cell>
          <cell r="G292">
            <v>2620000</v>
          </cell>
          <cell r="H292">
            <v>37644</v>
          </cell>
          <cell r="I292">
            <v>0.51500000000000001</v>
          </cell>
          <cell r="J292">
            <v>1</v>
          </cell>
          <cell r="K292">
            <v>18</v>
          </cell>
          <cell r="M292" t="str">
            <v>WIC-1ADSL=</v>
          </cell>
          <cell r="N292" t="str">
            <v>1-port ADSL WAN Interface Card</v>
          </cell>
          <cell r="O292">
            <v>750</v>
          </cell>
          <cell r="P292">
            <v>363.75</v>
          </cell>
          <cell r="Q292">
            <v>12</v>
          </cell>
          <cell r="R292">
            <v>4365</v>
          </cell>
          <cell r="S292">
            <v>37684</v>
          </cell>
          <cell r="T292" t="str">
            <v>---</v>
          </cell>
          <cell r="W292" t="str">
            <v>3864313</v>
          </cell>
          <cell r="X292">
            <v>4365</v>
          </cell>
          <cell r="Z292" t="str">
            <v>2030000108</v>
          </cell>
          <cell r="AA292">
            <v>4956</v>
          </cell>
          <cell r="AB292">
            <v>37692</v>
          </cell>
          <cell r="AE292">
            <v>37739</v>
          </cell>
          <cell r="AF292" t="str">
            <v>D</v>
          </cell>
          <cell r="AG292">
            <v>87.3</v>
          </cell>
          <cell r="AH292">
            <v>17</v>
          </cell>
          <cell r="AI292">
            <v>413</v>
          </cell>
          <cell r="AJ292">
            <v>4956</v>
          </cell>
        </row>
        <row r="293">
          <cell r="A293">
            <v>168967</v>
          </cell>
          <cell r="B293">
            <v>37683</v>
          </cell>
          <cell r="D293" t="str">
            <v>ENTEL CHILE - 1600001773</v>
          </cell>
          <cell r="E293">
            <v>3529964</v>
          </cell>
          <cell r="F293">
            <v>8070404</v>
          </cell>
          <cell r="G293">
            <v>2608131</v>
          </cell>
          <cell r="H293">
            <v>37694</v>
          </cell>
          <cell r="I293">
            <v>0.5</v>
          </cell>
          <cell r="J293">
            <v>1</v>
          </cell>
          <cell r="K293" t="str">
            <v xml:space="preserve">1.0 </v>
          </cell>
          <cell r="M293" t="str">
            <v>CISCO827-4V</v>
          </cell>
          <cell r="N293" t="str">
            <v>Cisco 827-4V ADSL router 1E, 1ADSL, 4 Voice</v>
          </cell>
          <cell r="O293">
            <v>999</v>
          </cell>
          <cell r="P293">
            <v>499.5</v>
          </cell>
          <cell r="Q293">
            <v>2</v>
          </cell>
          <cell r="R293">
            <v>999</v>
          </cell>
          <cell r="S293">
            <v>37699</v>
          </cell>
          <cell r="AE293">
            <v>37739</v>
          </cell>
          <cell r="AF293" t="str">
            <v>D</v>
          </cell>
          <cell r="AG293">
            <v>19.98</v>
          </cell>
          <cell r="AH293">
            <v>1</v>
          </cell>
          <cell r="AI293">
            <v>569.42999999999995</v>
          </cell>
          <cell r="AJ293">
            <v>1138.8599999999999</v>
          </cell>
        </row>
        <row r="294">
          <cell r="A294">
            <v>168967</v>
          </cell>
          <cell r="B294">
            <v>37683</v>
          </cell>
          <cell r="D294" t="str">
            <v>ENTEL CHILE - 1600001773</v>
          </cell>
          <cell r="E294">
            <v>3529964</v>
          </cell>
          <cell r="F294">
            <v>8070404</v>
          </cell>
          <cell r="G294">
            <v>2608131</v>
          </cell>
          <cell r="H294">
            <v>37694</v>
          </cell>
          <cell r="I294">
            <v>0.5</v>
          </cell>
          <cell r="J294">
            <v>1</v>
          </cell>
          <cell r="K294" t="str">
            <v xml:space="preserve">1.1 </v>
          </cell>
          <cell r="M294" t="str">
            <v>CAB-ACI</v>
          </cell>
          <cell r="N294" t="str">
            <v>Power Cord-Italian</v>
          </cell>
          <cell r="O294">
            <v>0</v>
          </cell>
          <cell r="P294">
            <v>0</v>
          </cell>
          <cell r="Q294">
            <v>2</v>
          </cell>
          <cell r="R294">
            <v>0</v>
          </cell>
          <cell r="S294">
            <v>37699</v>
          </cell>
          <cell r="AE294">
            <v>37739</v>
          </cell>
          <cell r="AF294" t="str">
            <v>-</v>
          </cell>
          <cell r="AG294">
            <v>0</v>
          </cell>
          <cell r="AH294">
            <v>1</v>
          </cell>
          <cell r="AI294">
            <v>0</v>
          </cell>
          <cell r="AJ294">
            <v>0</v>
          </cell>
        </row>
        <row r="295">
          <cell r="A295">
            <v>168967</v>
          </cell>
          <cell r="B295">
            <v>37683</v>
          </cell>
          <cell r="D295" t="str">
            <v>ENTEL CHILE - 1600001773</v>
          </cell>
          <cell r="E295">
            <v>3529964</v>
          </cell>
          <cell r="F295">
            <v>8070404</v>
          </cell>
          <cell r="G295">
            <v>2608131</v>
          </cell>
          <cell r="H295">
            <v>37694</v>
          </cell>
          <cell r="I295">
            <v>0.5</v>
          </cell>
          <cell r="J295">
            <v>1</v>
          </cell>
          <cell r="K295" t="str">
            <v xml:space="preserve">1.2 </v>
          </cell>
          <cell r="M295" t="str">
            <v>S820CV-12208YM</v>
          </cell>
          <cell r="N295" t="str">
            <v>Cisco 820 Ser IOS IP/VOICE</v>
          </cell>
          <cell r="O295">
            <v>0</v>
          </cell>
          <cell r="P295">
            <v>0</v>
          </cell>
          <cell r="Q295">
            <v>2</v>
          </cell>
          <cell r="R295">
            <v>0</v>
          </cell>
          <cell r="S295">
            <v>37699</v>
          </cell>
          <cell r="AE295">
            <v>37739</v>
          </cell>
          <cell r="AF295" t="str">
            <v>D</v>
          </cell>
          <cell r="AG295">
            <v>0</v>
          </cell>
          <cell r="AH295">
            <v>1</v>
          </cell>
          <cell r="AI295">
            <v>0</v>
          </cell>
          <cell r="AJ295">
            <v>0</v>
          </cell>
        </row>
        <row r="296">
          <cell r="A296">
            <v>168967</v>
          </cell>
          <cell r="B296">
            <v>37683</v>
          </cell>
          <cell r="D296" t="str">
            <v>ENTEL CHILE - 1600001773</v>
          </cell>
          <cell r="E296">
            <v>3529964</v>
          </cell>
          <cell r="F296">
            <v>8070404</v>
          </cell>
          <cell r="G296">
            <v>2608131</v>
          </cell>
          <cell r="H296">
            <v>37694</v>
          </cell>
          <cell r="I296">
            <v>0.5</v>
          </cell>
          <cell r="J296">
            <v>1</v>
          </cell>
          <cell r="K296" t="str">
            <v xml:space="preserve">1.3 </v>
          </cell>
          <cell r="M296" t="str">
            <v>CAB-ADSL-RJ11</v>
          </cell>
          <cell r="N296" t="str">
            <v>Lavender Cable for xDSL, Straight-through, RJ-11, 6 feet</v>
          </cell>
          <cell r="O296">
            <v>0</v>
          </cell>
          <cell r="P296">
            <v>0</v>
          </cell>
          <cell r="Q296">
            <v>2</v>
          </cell>
          <cell r="R296">
            <v>0</v>
          </cell>
          <cell r="S296">
            <v>37699</v>
          </cell>
          <cell r="AE296">
            <v>37739</v>
          </cell>
          <cell r="AF296" t="str">
            <v>-</v>
          </cell>
          <cell r="AG296">
            <v>0</v>
          </cell>
          <cell r="AH296">
            <v>1</v>
          </cell>
          <cell r="AI296">
            <v>0</v>
          </cell>
          <cell r="AJ296">
            <v>0</v>
          </cell>
        </row>
        <row r="297">
          <cell r="A297">
            <v>168967</v>
          </cell>
          <cell r="B297">
            <v>37683</v>
          </cell>
          <cell r="D297" t="str">
            <v>ENTEL CHILE - 1600001773</v>
          </cell>
          <cell r="E297">
            <v>3529964</v>
          </cell>
          <cell r="F297">
            <v>8070404</v>
          </cell>
          <cell r="G297">
            <v>2608131</v>
          </cell>
          <cell r="H297">
            <v>37694</v>
          </cell>
          <cell r="I297">
            <v>0.5</v>
          </cell>
          <cell r="J297">
            <v>1</v>
          </cell>
          <cell r="K297" t="str">
            <v xml:space="preserve">1.4 </v>
          </cell>
          <cell r="M297" t="str">
            <v>MEM820-24U32D</v>
          </cell>
          <cell r="N297" t="str">
            <v xml:space="preserve">Cisco 820 DRAM 24Mbyte upgrade to 32 Mbytes </v>
          </cell>
          <cell r="O297">
            <v>0</v>
          </cell>
          <cell r="P297">
            <v>0</v>
          </cell>
          <cell r="Q297">
            <v>2</v>
          </cell>
          <cell r="R297">
            <v>0</v>
          </cell>
          <cell r="S297">
            <v>37699</v>
          </cell>
          <cell r="AE297">
            <v>37739</v>
          </cell>
          <cell r="AF297" t="str">
            <v>D</v>
          </cell>
          <cell r="AG297">
            <v>0</v>
          </cell>
          <cell r="AH297">
            <v>1</v>
          </cell>
          <cell r="AI297">
            <v>0</v>
          </cell>
          <cell r="AJ297">
            <v>0</v>
          </cell>
        </row>
        <row r="298">
          <cell r="A298">
            <v>168967</v>
          </cell>
          <cell r="B298">
            <v>37683</v>
          </cell>
          <cell r="D298" t="str">
            <v>ENTEL CHILE - 1600001773</v>
          </cell>
          <cell r="E298">
            <v>3529964</v>
          </cell>
          <cell r="F298">
            <v>8070404</v>
          </cell>
          <cell r="G298">
            <v>2608131</v>
          </cell>
          <cell r="H298">
            <v>37694</v>
          </cell>
          <cell r="I298">
            <v>0.5</v>
          </cell>
          <cell r="J298">
            <v>4</v>
          </cell>
          <cell r="K298" t="str">
            <v xml:space="preserve">2.0 </v>
          </cell>
          <cell r="M298" t="str">
            <v>WS-C2950G-24-EI</v>
          </cell>
          <cell r="N298" t="str">
            <v>Catalyst 2950, 24 10/100 with 2GBIC slots, Enhanced Image</v>
          </cell>
          <cell r="O298">
            <v>2495</v>
          </cell>
          <cell r="P298">
            <v>1247.5</v>
          </cell>
          <cell r="Q298">
            <v>1</v>
          </cell>
          <cell r="R298">
            <v>1247.5</v>
          </cell>
          <cell r="S298">
            <v>37701</v>
          </cell>
          <cell r="AE298">
            <v>37739</v>
          </cell>
          <cell r="AF298" t="str">
            <v>D</v>
          </cell>
          <cell r="AG298">
            <v>24.95</v>
          </cell>
          <cell r="AH298">
            <v>7</v>
          </cell>
          <cell r="AI298">
            <v>1422.15</v>
          </cell>
          <cell r="AJ298">
            <v>1422.15</v>
          </cell>
        </row>
        <row r="299">
          <cell r="A299">
            <v>168967</v>
          </cell>
          <cell r="B299">
            <v>37683</v>
          </cell>
          <cell r="D299" t="str">
            <v>ENTEL CHILE - 1600001773</v>
          </cell>
          <cell r="E299">
            <v>3529964</v>
          </cell>
          <cell r="F299">
            <v>8070404</v>
          </cell>
          <cell r="G299">
            <v>2608131</v>
          </cell>
          <cell r="H299">
            <v>37694</v>
          </cell>
          <cell r="I299">
            <v>0.5</v>
          </cell>
          <cell r="J299">
            <v>4</v>
          </cell>
          <cell r="K299" t="str">
            <v xml:space="preserve">2.1 </v>
          </cell>
          <cell r="M299" t="str">
            <v>CAB-ACI</v>
          </cell>
          <cell r="N299" t="str">
            <v>Power Cord-Italian</v>
          </cell>
          <cell r="O299">
            <v>0</v>
          </cell>
          <cell r="P299">
            <v>0</v>
          </cell>
          <cell r="Q299">
            <v>1</v>
          </cell>
          <cell r="R299">
            <v>0</v>
          </cell>
          <cell r="S299">
            <v>37701</v>
          </cell>
          <cell r="AE299">
            <v>37739</v>
          </cell>
          <cell r="AF299" t="str">
            <v>-</v>
          </cell>
          <cell r="AG299">
            <v>0</v>
          </cell>
          <cell r="AH299">
            <v>7</v>
          </cell>
          <cell r="AI299">
            <v>0</v>
          </cell>
          <cell r="AJ299">
            <v>0</v>
          </cell>
        </row>
        <row r="300">
          <cell r="A300">
            <v>168967</v>
          </cell>
          <cell r="B300">
            <v>37683</v>
          </cell>
          <cell r="D300" t="str">
            <v>ENTEL CHILE - 1600001773</v>
          </cell>
          <cell r="E300">
            <v>3529964</v>
          </cell>
          <cell r="F300">
            <v>8070404</v>
          </cell>
          <cell r="G300">
            <v>2608131</v>
          </cell>
          <cell r="H300">
            <v>37694</v>
          </cell>
          <cell r="I300">
            <v>0.5</v>
          </cell>
          <cell r="J300">
            <v>3</v>
          </cell>
          <cell r="K300" t="str">
            <v xml:space="preserve">3.0 </v>
          </cell>
          <cell r="M300" t="str">
            <v>CISCO1760-V</v>
          </cell>
          <cell r="N300" t="str">
            <v>10/100 Modular Router w/Voice,19 inch Chassis</v>
          </cell>
          <cell r="O300">
            <v>2595</v>
          </cell>
          <cell r="P300">
            <v>1297.5</v>
          </cell>
          <cell r="Q300">
            <v>1</v>
          </cell>
          <cell r="R300">
            <v>1297.5</v>
          </cell>
          <cell r="S300">
            <v>37705</v>
          </cell>
          <cell r="AE300">
            <v>37739</v>
          </cell>
          <cell r="AF300" t="str">
            <v>D</v>
          </cell>
          <cell r="AG300">
            <v>25.95</v>
          </cell>
          <cell r="AH300">
            <v>6</v>
          </cell>
          <cell r="AI300">
            <v>1479.15</v>
          </cell>
          <cell r="AJ300">
            <v>1479.15</v>
          </cell>
        </row>
        <row r="301">
          <cell r="A301">
            <v>168967</v>
          </cell>
          <cell r="B301">
            <v>37683</v>
          </cell>
          <cell r="D301" t="str">
            <v>ENTEL CHILE - 1600001773</v>
          </cell>
          <cell r="E301">
            <v>3529964</v>
          </cell>
          <cell r="F301">
            <v>8070404</v>
          </cell>
          <cell r="G301">
            <v>2608131</v>
          </cell>
          <cell r="H301">
            <v>37694</v>
          </cell>
          <cell r="I301">
            <v>0.5</v>
          </cell>
          <cell r="J301">
            <v>3</v>
          </cell>
          <cell r="K301" t="str">
            <v xml:space="preserve">3.1 </v>
          </cell>
          <cell r="M301" t="str">
            <v>S17CV8P-12211T</v>
          </cell>
          <cell r="N301" t="str">
            <v>Cisco 1700 IOS IP/VOX PLUS</v>
          </cell>
          <cell r="O301">
            <v>0</v>
          </cell>
          <cell r="P301">
            <v>0</v>
          </cell>
          <cell r="Q301">
            <v>1</v>
          </cell>
          <cell r="R301">
            <v>0</v>
          </cell>
          <cell r="S301">
            <v>37705</v>
          </cell>
          <cell r="AE301">
            <v>37739</v>
          </cell>
          <cell r="AF301" t="str">
            <v>D</v>
          </cell>
          <cell r="AG301">
            <v>0</v>
          </cell>
          <cell r="AH301">
            <v>6</v>
          </cell>
          <cell r="AI301">
            <v>0</v>
          </cell>
          <cell r="AJ301">
            <v>0</v>
          </cell>
        </row>
        <row r="302">
          <cell r="A302">
            <v>168967</v>
          </cell>
          <cell r="B302">
            <v>37683</v>
          </cell>
          <cell r="D302" t="str">
            <v>ENTEL CHILE - 1600001773</v>
          </cell>
          <cell r="E302">
            <v>3529964</v>
          </cell>
          <cell r="F302">
            <v>8070404</v>
          </cell>
          <cell r="G302">
            <v>2608131</v>
          </cell>
          <cell r="H302">
            <v>37694</v>
          </cell>
          <cell r="I302">
            <v>0.5</v>
          </cell>
          <cell r="J302">
            <v>3</v>
          </cell>
          <cell r="K302" t="str">
            <v xml:space="preserve">3.2 </v>
          </cell>
          <cell r="M302" t="str">
            <v>PVDM-256K-4</v>
          </cell>
          <cell r="N302" t="str">
            <v>4-Channel Packet Voice/Fax DSP Module</v>
          </cell>
          <cell r="O302">
            <v>400</v>
          </cell>
          <cell r="P302">
            <v>200</v>
          </cell>
          <cell r="Q302">
            <v>1</v>
          </cell>
          <cell r="R302">
            <v>200</v>
          </cell>
          <cell r="S302">
            <v>37705</v>
          </cell>
          <cell r="AE302">
            <v>37739</v>
          </cell>
          <cell r="AF302" t="str">
            <v>D</v>
          </cell>
          <cell r="AG302">
            <v>4</v>
          </cell>
          <cell r="AH302">
            <v>8</v>
          </cell>
          <cell r="AI302">
            <v>199.5</v>
          </cell>
          <cell r="AJ302">
            <v>199.5</v>
          </cell>
        </row>
        <row r="303">
          <cell r="A303">
            <v>168967</v>
          </cell>
          <cell r="B303">
            <v>37683</v>
          </cell>
          <cell r="D303" t="str">
            <v>ENTEL CHILE - 1600001773</v>
          </cell>
          <cell r="E303">
            <v>3529964</v>
          </cell>
          <cell r="F303">
            <v>8070404</v>
          </cell>
          <cell r="G303">
            <v>2608131</v>
          </cell>
          <cell r="H303">
            <v>37694</v>
          </cell>
          <cell r="I303">
            <v>0.5</v>
          </cell>
          <cell r="J303">
            <v>3</v>
          </cell>
          <cell r="K303" t="str">
            <v xml:space="preserve">3.3 </v>
          </cell>
          <cell r="M303" t="str">
            <v>CAB-ACI</v>
          </cell>
          <cell r="N303" t="str">
            <v>Power Cord-Italian</v>
          </cell>
          <cell r="O303">
            <v>0</v>
          </cell>
          <cell r="P303">
            <v>0</v>
          </cell>
          <cell r="Q303">
            <v>1</v>
          </cell>
          <cell r="R303">
            <v>0</v>
          </cell>
          <cell r="S303">
            <v>37705</v>
          </cell>
          <cell r="AE303">
            <v>37739</v>
          </cell>
          <cell r="AF303" t="str">
            <v>-</v>
          </cell>
          <cell r="AG303">
            <v>0</v>
          </cell>
          <cell r="AH303">
            <v>6</v>
          </cell>
          <cell r="AI303">
            <v>0</v>
          </cell>
          <cell r="AJ303">
            <v>0</v>
          </cell>
        </row>
        <row r="304">
          <cell r="A304">
            <v>168967</v>
          </cell>
          <cell r="B304">
            <v>37683</v>
          </cell>
          <cell r="D304" t="str">
            <v>ENTEL CHILE - 1600001773</v>
          </cell>
          <cell r="E304">
            <v>3529964</v>
          </cell>
          <cell r="F304">
            <v>8070404</v>
          </cell>
          <cell r="G304">
            <v>2608131</v>
          </cell>
          <cell r="H304">
            <v>37694</v>
          </cell>
          <cell r="I304">
            <v>0.5</v>
          </cell>
          <cell r="J304">
            <v>3</v>
          </cell>
          <cell r="K304" t="str">
            <v xml:space="preserve">3.4 </v>
          </cell>
          <cell r="M304" t="str">
            <v>MEM1700-16U32MFS</v>
          </cell>
          <cell r="N304" t="str">
            <v>Cisco 1700 16MB to 32MB Flash SIMM Factory Upgrade</v>
          </cell>
          <cell r="O304">
            <v>0</v>
          </cell>
          <cell r="P304">
            <v>0</v>
          </cell>
          <cell r="Q304">
            <v>1</v>
          </cell>
          <cell r="R304">
            <v>0</v>
          </cell>
          <cell r="S304">
            <v>37705</v>
          </cell>
          <cell r="AE304">
            <v>37739</v>
          </cell>
          <cell r="AF304" t="str">
            <v>D</v>
          </cell>
          <cell r="AG304">
            <v>0</v>
          </cell>
          <cell r="AH304">
            <v>6</v>
          </cell>
          <cell r="AI304">
            <v>0</v>
          </cell>
          <cell r="AJ304">
            <v>0</v>
          </cell>
        </row>
        <row r="305">
          <cell r="A305">
            <v>168967</v>
          </cell>
          <cell r="B305">
            <v>37683</v>
          </cell>
          <cell r="D305" t="str">
            <v>ENTEL CHILE - 1600001773</v>
          </cell>
          <cell r="E305">
            <v>3529964</v>
          </cell>
          <cell r="F305">
            <v>8070404</v>
          </cell>
          <cell r="G305">
            <v>2608131</v>
          </cell>
          <cell r="H305">
            <v>37694</v>
          </cell>
          <cell r="I305">
            <v>0.5</v>
          </cell>
          <cell r="J305">
            <v>3</v>
          </cell>
          <cell r="K305" t="str">
            <v xml:space="preserve">3.5 </v>
          </cell>
          <cell r="M305" t="str">
            <v>MEM1700-32U64D</v>
          </cell>
          <cell r="N305" t="str">
            <v>Cisco 1700 32MB to 64MB DRAM Factory Upgrade</v>
          </cell>
          <cell r="O305">
            <v>0</v>
          </cell>
          <cell r="P305">
            <v>0</v>
          </cell>
          <cell r="Q305">
            <v>1</v>
          </cell>
          <cell r="R305">
            <v>0</v>
          </cell>
          <cell r="S305">
            <v>37705</v>
          </cell>
          <cell r="AE305">
            <v>37739</v>
          </cell>
          <cell r="AF305" t="str">
            <v>D</v>
          </cell>
          <cell r="AG305">
            <v>0</v>
          </cell>
          <cell r="AH305">
            <v>6</v>
          </cell>
          <cell r="AI305">
            <v>0</v>
          </cell>
          <cell r="AJ305">
            <v>0</v>
          </cell>
        </row>
        <row r="306">
          <cell r="A306">
            <v>168967</v>
          </cell>
          <cell r="B306">
            <v>37683</v>
          </cell>
          <cell r="D306" t="str">
            <v>ENTEL CHILE - 1600001773</v>
          </cell>
          <cell r="E306">
            <v>3529964</v>
          </cell>
          <cell r="F306">
            <v>8070404</v>
          </cell>
          <cell r="G306">
            <v>2608131</v>
          </cell>
          <cell r="H306">
            <v>37694</v>
          </cell>
          <cell r="I306">
            <v>0.5</v>
          </cell>
          <cell r="J306">
            <v>3</v>
          </cell>
          <cell r="K306" t="str">
            <v xml:space="preserve">3.6 </v>
          </cell>
          <cell r="M306" t="str">
            <v>PVDM-256K-4</v>
          </cell>
          <cell r="N306" t="str">
            <v>4-Channel Packet Voice/Fax DSP Module</v>
          </cell>
          <cell r="O306">
            <v>0</v>
          </cell>
          <cell r="P306">
            <v>0</v>
          </cell>
          <cell r="Q306">
            <v>1</v>
          </cell>
          <cell r="R306">
            <v>0</v>
          </cell>
          <cell r="S306">
            <v>37705</v>
          </cell>
          <cell r="AE306">
            <v>37739</v>
          </cell>
          <cell r="AF306" t="str">
            <v>D</v>
          </cell>
          <cell r="AG306">
            <v>0</v>
          </cell>
          <cell r="AH306">
            <v>6</v>
          </cell>
          <cell r="AI306">
            <v>0</v>
          </cell>
          <cell r="AJ306">
            <v>0</v>
          </cell>
        </row>
        <row r="307">
          <cell r="A307">
            <v>168967</v>
          </cell>
          <cell r="B307">
            <v>37683</v>
          </cell>
          <cell r="D307" t="str">
            <v>ENTEL CHILE - 1600001773</v>
          </cell>
          <cell r="E307">
            <v>3529964</v>
          </cell>
          <cell r="F307">
            <v>8070404</v>
          </cell>
          <cell r="G307">
            <v>2608131</v>
          </cell>
          <cell r="H307">
            <v>37694</v>
          </cell>
          <cell r="I307">
            <v>0.5</v>
          </cell>
          <cell r="J307">
            <v>5</v>
          </cell>
          <cell r="K307" t="str">
            <v xml:space="preserve">4.0 </v>
          </cell>
          <cell r="M307" t="str">
            <v>CISCO831-K9</v>
          </cell>
          <cell r="N307" t="str">
            <v>Cisco 831 Ethernet Router</v>
          </cell>
          <cell r="O307">
            <v>649</v>
          </cell>
          <cell r="P307">
            <v>324.5</v>
          </cell>
          <cell r="Q307">
            <v>1</v>
          </cell>
          <cell r="R307">
            <v>324.5</v>
          </cell>
          <cell r="S307">
            <v>37704</v>
          </cell>
          <cell r="AE307">
            <v>37739</v>
          </cell>
          <cell r="AF307" t="str">
            <v>D</v>
          </cell>
          <cell r="AG307">
            <v>6.49</v>
          </cell>
          <cell r="AH307">
            <v>2</v>
          </cell>
          <cell r="AI307">
            <v>369.93</v>
          </cell>
          <cell r="AJ307">
            <v>369.93</v>
          </cell>
        </row>
        <row r="308">
          <cell r="A308">
            <v>168967</v>
          </cell>
          <cell r="B308">
            <v>37683</v>
          </cell>
          <cell r="D308" t="str">
            <v>ENTEL CHILE - 1600001773</v>
          </cell>
          <cell r="E308">
            <v>3529964</v>
          </cell>
          <cell r="F308">
            <v>8070404</v>
          </cell>
          <cell r="G308">
            <v>2608131</v>
          </cell>
          <cell r="H308">
            <v>37694</v>
          </cell>
          <cell r="I308">
            <v>0.5</v>
          </cell>
          <cell r="J308">
            <v>5</v>
          </cell>
          <cell r="K308" t="str">
            <v xml:space="preserve">4.1 </v>
          </cell>
          <cell r="M308" t="str">
            <v>S831CHK9-12208YN</v>
          </cell>
          <cell r="N308" t="str">
            <v>Cisco 831 Series IOS IP/FW 3DES</v>
          </cell>
          <cell r="O308">
            <v>0</v>
          </cell>
          <cell r="P308">
            <v>0</v>
          </cell>
          <cell r="Q308">
            <v>1</v>
          </cell>
          <cell r="R308">
            <v>0</v>
          </cell>
          <cell r="S308">
            <v>37704</v>
          </cell>
          <cell r="AE308">
            <v>37739</v>
          </cell>
          <cell r="AF308" t="str">
            <v>D</v>
          </cell>
          <cell r="AG308">
            <v>0</v>
          </cell>
          <cell r="AH308">
            <v>2</v>
          </cell>
          <cell r="AI308">
            <v>0</v>
          </cell>
          <cell r="AJ308">
            <v>0</v>
          </cell>
        </row>
        <row r="309">
          <cell r="A309">
            <v>168967</v>
          </cell>
          <cell r="B309">
            <v>37683</v>
          </cell>
          <cell r="D309" t="str">
            <v>ENTEL CHILE - 1600001773</v>
          </cell>
          <cell r="E309">
            <v>3529964</v>
          </cell>
          <cell r="F309">
            <v>8070404</v>
          </cell>
          <cell r="G309">
            <v>2608131</v>
          </cell>
          <cell r="H309">
            <v>37694</v>
          </cell>
          <cell r="I309">
            <v>0.5</v>
          </cell>
          <cell r="J309">
            <v>5</v>
          </cell>
          <cell r="K309" t="str">
            <v xml:space="preserve">4.2 </v>
          </cell>
          <cell r="M309" t="str">
            <v>CAB-AC2I AC</v>
          </cell>
          <cell r="N309" t="e">
            <v>#N/A</v>
          </cell>
          <cell r="O309">
            <v>0</v>
          </cell>
          <cell r="P309">
            <v>0</v>
          </cell>
          <cell r="Q309">
            <v>1</v>
          </cell>
          <cell r="R309">
            <v>0</v>
          </cell>
          <cell r="S309">
            <v>37704</v>
          </cell>
          <cell r="AE309">
            <v>37739</v>
          </cell>
          <cell r="AF309" t="str">
            <v>-</v>
          </cell>
          <cell r="AG309">
            <v>0</v>
          </cell>
          <cell r="AH309">
            <v>2</v>
          </cell>
          <cell r="AI309">
            <v>0</v>
          </cell>
          <cell r="AJ309">
            <v>0</v>
          </cell>
        </row>
        <row r="310">
          <cell r="A310">
            <v>168967</v>
          </cell>
          <cell r="B310">
            <v>37683</v>
          </cell>
          <cell r="D310" t="str">
            <v>ENTEL CHILE - 1600001773</v>
          </cell>
          <cell r="E310">
            <v>3529964</v>
          </cell>
          <cell r="F310">
            <v>8070404</v>
          </cell>
          <cell r="G310">
            <v>2608131</v>
          </cell>
          <cell r="H310">
            <v>37694</v>
          </cell>
          <cell r="I310">
            <v>0.5</v>
          </cell>
          <cell r="J310">
            <v>5</v>
          </cell>
          <cell r="K310" t="str">
            <v xml:space="preserve">5.0 </v>
          </cell>
          <cell r="M310" t="str">
            <v>CISCO837-K9</v>
          </cell>
          <cell r="N310" t="str">
            <v>Cisco 837 ADSL Router</v>
          </cell>
          <cell r="O310">
            <v>649</v>
          </cell>
          <cell r="P310">
            <v>324.5</v>
          </cell>
          <cell r="Q310">
            <v>1</v>
          </cell>
          <cell r="R310">
            <v>324.5</v>
          </cell>
          <cell r="S310">
            <v>37704</v>
          </cell>
          <cell r="AE310">
            <v>37739</v>
          </cell>
          <cell r="AF310" t="str">
            <v>D</v>
          </cell>
          <cell r="AG310">
            <v>6.49</v>
          </cell>
          <cell r="AH310">
            <v>3</v>
          </cell>
          <cell r="AI310">
            <v>369.93</v>
          </cell>
          <cell r="AJ310">
            <v>369.93</v>
          </cell>
        </row>
        <row r="311">
          <cell r="A311">
            <v>168967</v>
          </cell>
          <cell r="B311">
            <v>37683</v>
          </cell>
          <cell r="D311" t="str">
            <v>ENTEL CHILE - 1600001773</v>
          </cell>
          <cell r="E311">
            <v>3529964</v>
          </cell>
          <cell r="F311">
            <v>8070404</v>
          </cell>
          <cell r="G311">
            <v>2608131</v>
          </cell>
          <cell r="H311">
            <v>37694</v>
          </cell>
          <cell r="I311">
            <v>0.5</v>
          </cell>
          <cell r="J311">
            <v>5</v>
          </cell>
          <cell r="K311" t="str">
            <v xml:space="preserve">5.1 </v>
          </cell>
          <cell r="M311" t="str">
            <v>S837CHK9-12208YN</v>
          </cell>
          <cell r="N311" t="str">
            <v>Cisco 837 Series IOS IP/FW 3DES</v>
          </cell>
          <cell r="O311">
            <v>0</v>
          </cell>
          <cell r="P311">
            <v>0</v>
          </cell>
          <cell r="Q311">
            <v>1</v>
          </cell>
          <cell r="R311">
            <v>0</v>
          </cell>
          <cell r="S311">
            <v>37704</v>
          </cell>
          <cell r="AE311">
            <v>37739</v>
          </cell>
          <cell r="AF311" t="str">
            <v>D</v>
          </cell>
          <cell r="AG311">
            <v>0</v>
          </cell>
          <cell r="AH311">
            <v>3</v>
          </cell>
          <cell r="AI311">
            <v>0</v>
          </cell>
          <cell r="AJ311">
            <v>0</v>
          </cell>
        </row>
        <row r="312">
          <cell r="A312">
            <v>168967</v>
          </cell>
          <cell r="B312">
            <v>37683</v>
          </cell>
          <cell r="D312" t="str">
            <v>ENTEL CHILE - 1600001773</v>
          </cell>
          <cell r="E312">
            <v>3529964</v>
          </cell>
          <cell r="F312">
            <v>8070404</v>
          </cell>
          <cell r="G312">
            <v>2608131</v>
          </cell>
          <cell r="H312">
            <v>37694</v>
          </cell>
          <cell r="I312">
            <v>0.5</v>
          </cell>
          <cell r="J312">
            <v>5</v>
          </cell>
          <cell r="K312" t="str">
            <v xml:space="preserve">5.2 </v>
          </cell>
          <cell r="M312" t="str">
            <v>CAB-AC2I AC</v>
          </cell>
          <cell r="N312" t="e">
            <v>#N/A</v>
          </cell>
          <cell r="O312">
            <v>0</v>
          </cell>
          <cell r="P312">
            <v>0</v>
          </cell>
          <cell r="Q312">
            <v>1</v>
          </cell>
          <cell r="R312">
            <v>0</v>
          </cell>
          <cell r="S312">
            <v>37704</v>
          </cell>
          <cell r="AE312">
            <v>37739</v>
          </cell>
          <cell r="AF312" t="str">
            <v>-</v>
          </cell>
          <cell r="AG312">
            <v>0</v>
          </cell>
          <cell r="AH312">
            <v>3</v>
          </cell>
          <cell r="AI312">
            <v>0</v>
          </cell>
          <cell r="AJ312">
            <v>0</v>
          </cell>
        </row>
        <row r="313">
          <cell r="A313">
            <v>168967</v>
          </cell>
          <cell r="B313">
            <v>37683</v>
          </cell>
          <cell r="D313" t="str">
            <v>ENTEL CHILE - 1600001773</v>
          </cell>
          <cell r="E313">
            <v>3529964</v>
          </cell>
          <cell r="F313">
            <v>8070404</v>
          </cell>
          <cell r="G313">
            <v>2608131</v>
          </cell>
          <cell r="H313">
            <v>37694</v>
          </cell>
          <cell r="I313">
            <v>0.5</v>
          </cell>
          <cell r="J313">
            <v>5</v>
          </cell>
          <cell r="K313" t="str">
            <v xml:space="preserve">5.3 </v>
          </cell>
          <cell r="M313" t="str">
            <v>CAB-ADSL-800-RJ11</v>
          </cell>
          <cell r="N313" t="str">
            <v>ADSL RJ11-to-RJ11 Straight Cable</v>
          </cell>
          <cell r="O313">
            <v>0</v>
          </cell>
          <cell r="P313">
            <v>0</v>
          </cell>
          <cell r="Q313">
            <v>1</v>
          </cell>
          <cell r="R313">
            <v>0</v>
          </cell>
          <cell r="S313">
            <v>37704</v>
          </cell>
          <cell r="AE313">
            <v>37739</v>
          </cell>
          <cell r="AF313" t="str">
            <v>D</v>
          </cell>
          <cell r="AG313">
            <v>0</v>
          </cell>
          <cell r="AH313">
            <v>3</v>
          </cell>
          <cell r="AI313">
            <v>0</v>
          </cell>
          <cell r="AJ313">
            <v>0</v>
          </cell>
        </row>
        <row r="314">
          <cell r="A314">
            <v>168967</v>
          </cell>
          <cell r="B314">
            <v>37683</v>
          </cell>
          <cell r="D314" t="str">
            <v>ENTEL CHILE - 1600001773</v>
          </cell>
          <cell r="E314">
            <v>3529964</v>
          </cell>
          <cell r="F314">
            <v>8070404</v>
          </cell>
          <cell r="G314">
            <v>2608131</v>
          </cell>
          <cell r="H314">
            <v>37694</v>
          </cell>
          <cell r="I314">
            <v>0.5</v>
          </cell>
          <cell r="J314">
            <v>2</v>
          </cell>
          <cell r="K314" t="str">
            <v xml:space="preserve">6.0 </v>
          </cell>
          <cell r="M314" t="str">
            <v>ATA188-I1</v>
          </cell>
          <cell r="N314" t="str">
            <v>Cisco ATA 188 2-Port Adaptor With Switch, 600 Ohm Impedance</v>
          </cell>
          <cell r="O314">
            <v>285</v>
          </cell>
          <cell r="P314">
            <v>142.5</v>
          </cell>
          <cell r="Q314">
            <v>1</v>
          </cell>
          <cell r="R314">
            <v>142.5</v>
          </cell>
          <cell r="S314">
            <v>37706</v>
          </cell>
          <cell r="AE314">
            <v>37739</v>
          </cell>
          <cell r="AF314" t="str">
            <v>D</v>
          </cell>
          <cell r="AG314">
            <v>2.85</v>
          </cell>
          <cell r="AH314">
            <v>5</v>
          </cell>
          <cell r="AI314">
            <v>162.44999999999999</v>
          </cell>
          <cell r="AJ314">
            <v>162.44999999999999</v>
          </cell>
        </row>
        <row r="315">
          <cell r="A315">
            <v>168967</v>
          </cell>
          <cell r="B315">
            <v>37683</v>
          </cell>
          <cell r="D315" t="str">
            <v>ENTEL CHILE - 1600001773</v>
          </cell>
          <cell r="E315">
            <v>3529964</v>
          </cell>
          <cell r="F315">
            <v>8070404</v>
          </cell>
          <cell r="G315">
            <v>2608131</v>
          </cell>
          <cell r="H315">
            <v>37694</v>
          </cell>
          <cell r="I315">
            <v>0.5</v>
          </cell>
          <cell r="J315">
            <v>2</v>
          </cell>
          <cell r="K315" t="str">
            <v xml:space="preserve">6.1 </v>
          </cell>
          <cell r="M315" t="str">
            <v>ATACAB-EU</v>
          </cell>
          <cell r="N315" t="str">
            <v>ATA Power Supply Cable for Continental Europe</v>
          </cell>
          <cell r="O315">
            <v>0</v>
          </cell>
          <cell r="P315">
            <v>0</v>
          </cell>
          <cell r="Q315">
            <v>1</v>
          </cell>
          <cell r="R315">
            <v>0</v>
          </cell>
          <cell r="S315">
            <v>37706</v>
          </cell>
          <cell r="AE315">
            <v>37739</v>
          </cell>
          <cell r="AF315" t="str">
            <v>D</v>
          </cell>
          <cell r="AG315">
            <v>0</v>
          </cell>
          <cell r="AH315">
            <v>5</v>
          </cell>
          <cell r="AI315">
            <v>0</v>
          </cell>
          <cell r="AJ315">
            <v>0</v>
          </cell>
        </row>
        <row r="316">
          <cell r="A316">
            <v>168967</v>
          </cell>
          <cell r="B316">
            <v>37683</v>
          </cell>
          <cell r="D316" t="str">
            <v>ENTEL CHILE - 1600001773</v>
          </cell>
          <cell r="E316">
            <v>3529964</v>
          </cell>
          <cell r="F316">
            <v>8070404</v>
          </cell>
          <cell r="G316">
            <v>2608131</v>
          </cell>
          <cell r="H316">
            <v>37694</v>
          </cell>
          <cell r="I316">
            <v>0.5</v>
          </cell>
          <cell r="J316">
            <v>2</v>
          </cell>
          <cell r="K316" t="str">
            <v xml:space="preserve">6.2 </v>
          </cell>
          <cell r="M316" t="str">
            <v>SW-CCM-UL-ANA</v>
          </cell>
          <cell r="N316" t="str">
            <v xml:space="preserve">CallManager Unit license for single SCCP analog port </v>
          </cell>
          <cell r="O316">
            <v>40</v>
          </cell>
          <cell r="P316">
            <v>20</v>
          </cell>
          <cell r="Q316">
            <v>2</v>
          </cell>
          <cell r="R316">
            <v>40</v>
          </cell>
          <cell r="S316">
            <v>37706</v>
          </cell>
          <cell r="AE316">
            <v>37739</v>
          </cell>
          <cell r="AF316" t="str">
            <v>S</v>
          </cell>
          <cell r="AG316">
            <v>1</v>
          </cell>
          <cell r="AH316">
            <v>4</v>
          </cell>
          <cell r="AI316">
            <v>45.6</v>
          </cell>
          <cell r="AJ316">
            <v>91.2</v>
          </cell>
        </row>
        <row r="317">
          <cell r="A317">
            <v>168967</v>
          </cell>
          <cell r="B317">
            <v>37683</v>
          </cell>
          <cell r="D317" t="str">
            <v>ENTEL CHILE - 1600001773</v>
          </cell>
          <cell r="E317">
            <v>3529964</v>
          </cell>
          <cell r="F317">
            <v>8070404</v>
          </cell>
          <cell r="G317">
            <v>2608131</v>
          </cell>
          <cell r="H317">
            <v>37694</v>
          </cell>
          <cell r="I317">
            <v>0.5</v>
          </cell>
          <cell r="J317">
            <v>3</v>
          </cell>
          <cell r="K317" t="str">
            <v xml:space="preserve">7.0 </v>
          </cell>
          <cell r="M317" t="str">
            <v>CISCO1760-V</v>
          </cell>
          <cell r="N317" t="str">
            <v>10/100 Modular Router w/Voice,19 inch Chassis</v>
          </cell>
          <cell r="O317">
            <v>2595</v>
          </cell>
          <cell r="P317">
            <v>1297.5</v>
          </cell>
          <cell r="Q317">
            <v>1</v>
          </cell>
          <cell r="R317">
            <v>1297.5</v>
          </cell>
          <cell r="S317">
            <v>37705</v>
          </cell>
          <cell r="AE317">
            <v>37739</v>
          </cell>
          <cell r="AF317" t="str">
            <v>D</v>
          </cell>
          <cell r="AG317">
            <v>25.95</v>
          </cell>
          <cell r="AH317">
            <v>9</v>
          </cell>
          <cell r="AI317">
            <v>1479.15</v>
          </cell>
          <cell r="AJ317">
            <v>1479.15</v>
          </cell>
        </row>
        <row r="318">
          <cell r="A318">
            <v>168967</v>
          </cell>
          <cell r="B318">
            <v>37683</v>
          </cell>
          <cell r="D318" t="str">
            <v>ENTEL CHILE - 1600001773</v>
          </cell>
          <cell r="E318">
            <v>3529964</v>
          </cell>
          <cell r="F318">
            <v>8070404</v>
          </cell>
          <cell r="G318">
            <v>2608131</v>
          </cell>
          <cell r="H318">
            <v>37694</v>
          </cell>
          <cell r="I318">
            <v>0.5</v>
          </cell>
          <cell r="J318">
            <v>3</v>
          </cell>
          <cell r="K318" t="str">
            <v xml:space="preserve">7.1 </v>
          </cell>
          <cell r="M318" t="str">
            <v>CAB-ACI</v>
          </cell>
          <cell r="N318" t="str">
            <v>Power Cord-Italian</v>
          </cell>
          <cell r="O318">
            <v>0</v>
          </cell>
          <cell r="P318">
            <v>0</v>
          </cell>
          <cell r="Q318">
            <v>1</v>
          </cell>
          <cell r="R318">
            <v>0</v>
          </cell>
          <cell r="S318">
            <v>37705</v>
          </cell>
          <cell r="AE318">
            <v>37739</v>
          </cell>
          <cell r="AF318" t="str">
            <v>-</v>
          </cell>
          <cell r="AG318">
            <v>0</v>
          </cell>
          <cell r="AH318">
            <v>9</v>
          </cell>
          <cell r="AI318">
            <v>0</v>
          </cell>
          <cell r="AJ318">
            <v>0</v>
          </cell>
        </row>
        <row r="319">
          <cell r="A319">
            <v>168967</v>
          </cell>
          <cell r="B319">
            <v>37683</v>
          </cell>
          <cell r="D319" t="str">
            <v>ENTEL CHILE - 1600001773</v>
          </cell>
          <cell r="E319">
            <v>3529964</v>
          </cell>
          <cell r="F319">
            <v>8070404</v>
          </cell>
          <cell r="G319">
            <v>2608131</v>
          </cell>
          <cell r="H319">
            <v>37694</v>
          </cell>
          <cell r="I319">
            <v>0.5</v>
          </cell>
          <cell r="J319">
            <v>3</v>
          </cell>
          <cell r="K319" t="str">
            <v xml:space="preserve">7.2 </v>
          </cell>
          <cell r="M319" t="str">
            <v>S17CV8P-12208YJ</v>
          </cell>
          <cell r="N319" t="str">
            <v>Cisco 1700 IOS IP/VOX PLUS</v>
          </cell>
          <cell r="O319">
            <v>0</v>
          </cell>
          <cell r="P319">
            <v>0</v>
          </cell>
          <cell r="Q319">
            <v>1</v>
          </cell>
          <cell r="R319">
            <v>0</v>
          </cell>
          <cell r="S319">
            <v>37705</v>
          </cell>
          <cell r="AE319">
            <v>37739</v>
          </cell>
          <cell r="AF319" t="str">
            <v>D</v>
          </cell>
          <cell r="AG319">
            <v>0</v>
          </cell>
          <cell r="AH319">
            <v>9</v>
          </cell>
          <cell r="AI319">
            <v>0</v>
          </cell>
          <cell r="AJ319">
            <v>0</v>
          </cell>
        </row>
        <row r="320">
          <cell r="A320">
            <v>168967</v>
          </cell>
          <cell r="B320">
            <v>37683</v>
          </cell>
          <cell r="D320" t="str">
            <v>ENTEL CHILE - 1600001773</v>
          </cell>
          <cell r="E320">
            <v>3529964</v>
          </cell>
          <cell r="F320">
            <v>8070404</v>
          </cell>
          <cell r="G320">
            <v>2608131</v>
          </cell>
          <cell r="H320">
            <v>37694</v>
          </cell>
          <cell r="I320">
            <v>0.5</v>
          </cell>
          <cell r="J320">
            <v>3</v>
          </cell>
          <cell r="K320" t="str">
            <v xml:space="preserve">7.3 </v>
          </cell>
          <cell r="M320" t="str">
            <v>MEM1700-16U32MFS</v>
          </cell>
          <cell r="N320" t="str">
            <v>Cisco 1700 16MB to 32MB Flash SIMM Factory Upgrade</v>
          </cell>
          <cell r="O320">
            <v>0</v>
          </cell>
          <cell r="P320">
            <v>0</v>
          </cell>
          <cell r="Q320">
            <v>1</v>
          </cell>
          <cell r="R320">
            <v>0</v>
          </cell>
          <cell r="S320">
            <v>37705</v>
          </cell>
          <cell r="AE320">
            <v>37739</v>
          </cell>
          <cell r="AF320" t="str">
            <v>D</v>
          </cell>
          <cell r="AG320">
            <v>0</v>
          </cell>
          <cell r="AH320">
            <v>9</v>
          </cell>
          <cell r="AI320">
            <v>0</v>
          </cell>
          <cell r="AJ320">
            <v>0</v>
          </cell>
        </row>
        <row r="321">
          <cell r="A321">
            <v>168967</v>
          </cell>
          <cell r="B321">
            <v>37683</v>
          </cell>
          <cell r="D321" t="str">
            <v>ENTEL CHILE - 1600001773</v>
          </cell>
          <cell r="E321">
            <v>3529964</v>
          </cell>
          <cell r="F321">
            <v>8070404</v>
          </cell>
          <cell r="G321">
            <v>2608131</v>
          </cell>
          <cell r="H321">
            <v>37694</v>
          </cell>
          <cell r="I321">
            <v>0.5</v>
          </cell>
          <cell r="J321">
            <v>3</v>
          </cell>
          <cell r="K321" t="str">
            <v xml:space="preserve">7.4 </v>
          </cell>
          <cell r="M321" t="str">
            <v>MEM1700-32U64D</v>
          </cell>
          <cell r="N321" t="str">
            <v>Cisco 1700 32MB to 64MB DRAM Factory Upgrade</v>
          </cell>
          <cell r="O321">
            <v>0</v>
          </cell>
          <cell r="P321">
            <v>0</v>
          </cell>
          <cell r="Q321">
            <v>1</v>
          </cell>
          <cell r="R321">
            <v>0</v>
          </cell>
          <cell r="S321">
            <v>37705</v>
          </cell>
          <cell r="AE321">
            <v>37739</v>
          </cell>
          <cell r="AF321" t="str">
            <v>D</v>
          </cell>
          <cell r="AG321">
            <v>0</v>
          </cell>
          <cell r="AH321">
            <v>9</v>
          </cell>
          <cell r="AI321">
            <v>0</v>
          </cell>
          <cell r="AJ321">
            <v>0</v>
          </cell>
        </row>
        <row r="322">
          <cell r="A322">
            <v>168967</v>
          </cell>
          <cell r="B322">
            <v>37683</v>
          </cell>
          <cell r="D322" t="str">
            <v>ENTEL CHILE - 1600001773</v>
          </cell>
          <cell r="E322">
            <v>3529964</v>
          </cell>
          <cell r="F322">
            <v>8070404</v>
          </cell>
          <cell r="G322">
            <v>2608131</v>
          </cell>
          <cell r="H322">
            <v>37694</v>
          </cell>
          <cell r="I322">
            <v>0.5</v>
          </cell>
          <cell r="J322">
            <v>3</v>
          </cell>
          <cell r="K322" t="str">
            <v xml:space="preserve">7.5 </v>
          </cell>
          <cell r="M322" t="str">
            <v>PVDM-256K-4</v>
          </cell>
          <cell r="N322" t="str">
            <v>4-Channel Packet Voice/Fax DSP Module</v>
          </cell>
          <cell r="O322">
            <v>0</v>
          </cell>
          <cell r="P322">
            <v>0</v>
          </cell>
          <cell r="Q322">
            <v>1</v>
          </cell>
          <cell r="R322">
            <v>0</v>
          </cell>
          <cell r="S322">
            <v>37705</v>
          </cell>
          <cell r="AE322">
            <v>37739</v>
          </cell>
          <cell r="AF322" t="str">
            <v>D</v>
          </cell>
          <cell r="AG322">
            <v>0</v>
          </cell>
          <cell r="AH322">
            <v>9</v>
          </cell>
          <cell r="AI322">
            <v>0</v>
          </cell>
          <cell r="AJ322">
            <v>0</v>
          </cell>
        </row>
        <row r="323">
          <cell r="A323">
            <v>168967</v>
          </cell>
          <cell r="B323">
            <v>37683</v>
          </cell>
          <cell r="D323" t="str">
            <v>ENTEL CHILE - 1600001773</v>
          </cell>
          <cell r="E323">
            <v>3529964</v>
          </cell>
          <cell r="F323">
            <v>8070404</v>
          </cell>
          <cell r="G323">
            <v>2608131</v>
          </cell>
          <cell r="H323">
            <v>37694</v>
          </cell>
          <cell r="I323">
            <v>0.5</v>
          </cell>
          <cell r="J323">
            <v>1</v>
          </cell>
          <cell r="K323" t="str">
            <v xml:space="preserve">8.0 </v>
          </cell>
          <cell r="M323" t="str">
            <v>CISCO827-4V</v>
          </cell>
          <cell r="N323" t="str">
            <v>Cisco 827-4V ADSL router 1E, 1ADSL, 4 Voice</v>
          </cell>
          <cell r="O323">
            <v>999</v>
          </cell>
          <cell r="P323">
            <v>499.5</v>
          </cell>
          <cell r="Q323">
            <v>4</v>
          </cell>
          <cell r="R323">
            <v>1998</v>
          </cell>
          <cell r="S323">
            <v>37699</v>
          </cell>
          <cell r="AE323">
            <v>37739</v>
          </cell>
          <cell r="AF323" t="str">
            <v>D</v>
          </cell>
          <cell r="AG323">
            <v>39.96</v>
          </cell>
          <cell r="AH323">
            <v>10</v>
          </cell>
          <cell r="AI323">
            <v>569.42999999999995</v>
          </cell>
          <cell r="AJ323">
            <v>2277.7199999999998</v>
          </cell>
        </row>
        <row r="324">
          <cell r="A324">
            <v>168967</v>
          </cell>
          <cell r="B324">
            <v>37683</v>
          </cell>
          <cell r="D324" t="str">
            <v>ENTEL CHILE - 1600001773</v>
          </cell>
          <cell r="E324">
            <v>3529964</v>
          </cell>
          <cell r="F324">
            <v>8070404</v>
          </cell>
          <cell r="G324">
            <v>2608131</v>
          </cell>
          <cell r="H324">
            <v>37694</v>
          </cell>
          <cell r="I324">
            <v>0.5</v>
          </cell>
          <cell r="J324">
            <v>1</v>
          </cell>
          <cell r="K324" t="str">
            <v xml:space="preserve">8.1 </v>
          </cell>
          <cell r="M324" t="str">
            <v>CAB-ACI</v>
          </cell>
          <cell r="N324" t="str">
            <v>Power Cord-Italian</v>
          </cell>
          <cell r="O324">
            <v>0</v>
          </cell>
          <cell r="P324">
            <v>0</v>
          </cell>
          <cell r="Q324">
            <v>4</v>
          </cell>
          <cell r="R324">
            <v>0</v>
          </cell>
          <cell r="S324">
            <v>37699</v>
          </cell>
          <cell r="AE324">
            <v>37739</v>
          </cell>
          <cell r="AF324" t="str">
            <v>-</v>
          </cell>
          <cell r="AG324">
            <v>0</v>
          </cell>
          <cell r="AH324">
            <v>10</v>
          </cell>
          <cell r="AI324">
            <v>0</v>
          </cell>
          <cell r="AJ324">
            <v>0</v>
          </cell>
        </row>
        <row r="325">
          <cell r="A325">
            <v>168967</v>
          </cell>
          <cell r="B325">
            <v>37683</v>
          </cell>
          <cell r="D325" t="str">
            <v>ENTEL CHILE - 1600001773</v>
          </cell>
          <cell r="E325">
            <v>3529964</v>
          </cell>
          <cell r="F325">
            <v>8070404</v>
          </cell>
          <cell r="G325">
            <v>2608131</v>
          </cell>
          <cell r="H325">
            <v>37694</v>
          </cell>
          <cell r="I325">
            <v>0.5</v>
          </cell>
          <cell r="J325">
            <v>1</v>
          </cell>
          <cell r="K325" t="str">
            <v xml:space="preserve">8.2 </v>
          </cell>
          <cell r="M325" t="str">
            <v>S820CVP-12208YM</v>
          </cell>
          <cell r="N325" t="str">
            <v>Cisco 820 Ser IOS IP/VOICE PLUS</v>
          </cell>
          <cell r="O325">
            <v>100</v>
          </cell>
          <cell r="P325">
            <v>50</v>
          </cell>
          <cell r="Q325">
            <v>4</v>
          </cell>
          <cell r="R325">
            <v>200</v>
          </cell>
          <cell r="S325">
            <v>37699</v>
          </cell>
          <cell r="AE325">
            <v>37739</v>
          </cell>
          <cell r="AF325" t="str">
            <v>D</v>
          </cell>
          <cell r="AG325">
            <v>4</v>
          </cell>
          <cell r="AH325">
            <v>11</v>
          </cell>
          <cell r="AI325">
            <v>57</v>
          </cell>
          <cell r="AJ325">
            <v>228</v>
          </cell>
        </row>
        <row r="326">
          <cell r="A326">
            <v>168967</v>
          </cell>
          <cell r="B326">
            <v>37683</v>
          </cell>
          <cell r="D326" t="str">
            <v>ENTEL CHILE - 1600001773</v>
          </cell>
          <cell r="E326">
            <v>3529964</v>
          </cell>
          <cell r="F326">
            <v>8070404</v>
          </cell>
          <cell r="G326">
            <v>2608131</v>
          </cell>
          <cell r="H326">
            <v>37694</v>
          </cell>
          <cell r="I326">
            <v>0.5</v>
          </cell>
          <cell r="J326">
            <v>1</v>
          </cell>
          <cell r="K326" t="str">
            <v xml:space="preserve">8.3 </v>
          </cell>
          <cell r="M326" t="str">
            <v>MEM820-24U32D</v>
          </cell>
          <cell r="N326" t="str">
            <v xml:space="preserve">Cisco 820 DRAM 24Mbyte upgrade to 32 Mbytes </v>
          </cell>
          <cell r="O326">
            <v>0</v>
          </cell>
          <cell r="P326">
            <v>0</v>
          </cell>
          <cell r="Q326">
            <v>4</v>
          </cell>
          <cell r="R326">
            <v>0</v>
          </cell>
          <cell r="S326">
            <v>37699</v>
          </cell>
          <cell r="AE326">
            <v>37739</v>
          </cell>
          <cell r="AF326" t="str">
            <v>D</v>
          </cell>
          <cell r="AG326">
            <v>0</v>
          </cell>
          <cell r="AH326">
            <v>10</v>
          </cell>
          <cell r="AI326">
            <v>0</v>
          </cell>
          <cell r="AJ326">
            <v>0</v>
          </cell>
        </row>
        <row r="327">
          <cell r="A327">
            <v>168967</v>
          </cell>
          <cell r="B327">
            <v>37683</v>
          </cell>
          <cell r="D327" t="str">
            <v>ENTEL CHILE - 1600001773</v>
          </cell>
          <cell r="E327">
            <v>3529964</v>
          </cell>
          <cell r="F327">
            <v>8070404</v>
          </cell>
          <cell r="G327">
            <v>2608131</v>
          </cell>
          <cell r="H327">
            <v>37694</v>
          </cell>
          <cell r="I327">
            <v>0.5</v>
          </cell>
          <cell r="J327">
            <v>1</v>
          </cell>
          <cell r="K327" t="str">
            <v xml:space="preserve">8.4 </v>
          </cell>
          <cell r="M327" t="str">
            <v>CAB-ADSL-RJ11</v>
          </cell>
          <cell r="N327" t="str">
            <v>Lavender Cable for xDSL, Straight-through, RJ-11, 6 feet</v>
          </cell>
          <cell r="O327">
            <v>0</v>
          </cell>
          <cell r="P327">
            <v>0</v>
          </cell>
          <cell r="Q327">
            <v>4</v>
          </cell>
          <cell r="R327">
            <v>0</v>
          </cell>
          <cell r="S327">
            <v>37699</v>
          </cell>
          <cell r="AE327">
            <v>37739</v>
          </cell>
          <cell r="AF327" t="str">
            <v>-</v>
          </cell>
          <cell r="AG327">
            <v>0</v>
          </cell>
          <cell r="AH327">
            <v>10</v>
          </cell>
          <cell r="AI327">
            <v>0</v>
          </cell>
          <cell r="AJ327">
            <v>0</v>
          </cell>
        </row>
        <row r="328">
          <cell r="A328">
            <v>168969</v>
          </cell>
          <cell r="B328">
            <v>37687</v>
          </cell>
          <cell r="D328" t="str">
            <v>ENTEL CHILE - 1600001777</v>
          </cell>
          <cell r="E328">
            <v>3557463</v>
          </cell>
          <cell r="F328">
            <v>8070417</v>
          </cell>
          <cell r="G328">
            <v>2608133</v>
          </cell>
          <cell r="H328">
            <v>37694</v>
          </cell>
          <cell r="I328">
            <v>0.5</v>
          </cell>
          <cell r="J328">
            <v>1</v>
          </cell>
          <cell r="K328" t="str">
            <v xml:space="preserve">1.0 </v>
          </cell>
          <cell r="M328" t="str">
            <v>AIR-AP352E2R-E-K9</v>
          </cell>
          <cell r="N328" t="str">
            <v>802.11b 100 mW AP w/Line Pwr, Dual RP-TNC, ETSI Cnfg</v>
          </cell>
          <cell r="O328">
            <v>849</v>
          </cell>
          <cell r="P328">
            <v>424.5</v>
          </cell>
          <cell r="Q328">
            <v>2</v>
          </cell>
          <cell r="R328">
            <v>849</v>
          </cell>
          <cell r="S328">
            <v>37718</v>
          </cell>
          <cell r="W328" t="str">
            <v>3848486</v>
          </cell>
          <cell r="X328">
            <v>849</v>
          </cell>
          <cell r="Z328" t="str">
            <v>2030000186</v>
          </cell>
          <cell r="AA328">
            <v>934</v>
          </cell>
          <cell r="AB328">
            <v>37721</v>
          </cell>
          <cell r="AF328" t="str">
            <v>D</v>
          </cell>
          <cell r="AG328">
            <v>16.98</v>
          </cell>
          <cell r="AH328">
            <v>1</v>
          </cell>
          <cell r="AI328">
            <v>467</v>
          </cell>
          <cell r="AJ328">
            <v>934</v>
          </cell>
        </row>
        <row r="329">
          <cell r="A329">
            <v>168969</v>
          </cell>
          <cell r="B329">
            <v>37687</v>
          </cell>
          <cell r="D329" t="str">
            <v>ENTEL CHILE - 1600001777</v>
          </cell>
          <cell r="E329">
            <v>3557463</v>
          </cell>
          <cell r="F329">
            <v>8070417</v>
          </cell>
          <cell r="G329">
            <v>2608133</v>
          </cell>
          <cell r="H329">
            <v>37694</v>
          </cell>
          <cell r="I329">
            <v>0.5</v>
          </cell>
          <cell r="J329">
            <v>1</v>
          </cell>
          <cell r="K329" t="str">
            <v xml:space="preserve">1.1 </v>
          </cell>
          <cell r="M329" t="str">
            <v>AIR-PWR-CORD-IT</v>
          </cell>
          <cell r="N329" t="str">
            <v>AIR Line Cord Italy</v>
          </cell>
          <cell r="O329">
            <v>0</v>
          </cell>
          <cell r="P329">
            <v>0</v>
          </cell>
          <cell r="Q329">
            <v>2</v>
          </cell>
          <cell r="R329">
            <v>0</v>
          </cell>
          <cell r="S329">
            <v>37718</v>
          </cell>
          <cell r="W329" t="str">
            <v>3848486</v>
          </cell>
          <cell r="X329">
            <v>0</v>
          </cell>
          <cell r="Z329" t="str">
            <v>2030000186</v>
          </cell>
          <cell r="AA329">
            <v>0</v>
          </cell>
          <cell r="AB329">
            <v>37721</v>
          </cell>
          <cell r="AF329" t="str">
            <v>D</v>
          </cell>
          <cell r="AG329">
            <v>0</v>
          </cell>
          <cell r="AH329">
            <v>1</v>
          </cell>
          <cell r="AI329">
            <v>0</v>
          </cell>
          <cell r="AJ329">
            <v>0</v>
          </cell>
        </row>
        <row r="330">
          <cell r="A330">
            <v>168969</v>
          </cell>
          <cell r="B330">
            <v>37687</v>
          </cell>
          <cell r="D330" t="str">
            <v>ENTEL CHILE - 1600001777</v>
          </cell>
          <cell r="E330">
            <v>3557463</v>
          </cell>
          <cell r="F330">
            <v>8070417</v>
          </cell>
          <cell r="G330">
            <v>2608133</v>
          </cell>
          <cell r="H330">
            <v>37694</v>
          </cell>
          <cell r="I330">
            <v>0.5</v>
          </cell>
          <cell r="J330">
            <v>1</v>
          </cell>
          <cell r="K330" t="str">
            <v xml:space="preserve">2.0 </v>
          </cell>
          <cell r="M330" t="str">
            <v>AIR-PCM352</v>
          </cell>
          <cell r="N330" t="str">
            <v xml:space="preserve">802.11b PC Card w/Integrated Antenna </v>
          </cell>
          <cell r="O330">
            <v>169</v>
          </cell>
          <cell r="P330">
            <v>84.5</v>
          </cell>
          <cell r="Q330">
            <v>5</v>
          </cell>
          <cell r="R330">
            <v>422.5</v>
          </cell>
          <cell r="S330">
            <v>37718</v>
          </cell>
          <cell r="W330" t="str">
            <v>3848486</v>
          </cell>
          <cell r="X330">
            <v>422.5</v>
          </cell>
          <cell r="Z330" t="str">
            <v>2030000186</v>
          </cell>
          <cell r="AA330">
            <v>465</v>
          </cell>
          <cell r="AB330">
            <v>37721</v>
          </cell>
          <cell r="AF330" t="str">
            <v>D</v>
          </cell>
          <cell r="AG330">
            <v>8.4499999999999993</v>
          </cell>
          <cell r="AH330">
            <v>2</v>
          </cell>
          <cell r="AI330">
            <v>93</v>
          </cell>
          <cell r="AJ330">
            <v>465</v>
          </cell>
        </row>
        <row r="331">
          <cell r="A331">
            <v>168969</v>
          </cell>
          <cell r="B331">
            <v>37687</v>
          </cell>
          <cell r="D331" t="str">
            <v>ENTEL CHILE - 1600001777</v>
          </cell>
          <cell r="E331">
            <v>3557463</v>
          </cell>
          <cell r="F331">
            <v>8070417</v>
          </cell>
          <cell r="G331">
            <v>2608133</v>
          </cell>
          <cell r="H331">
            <v>37694</v>
          </cell>
          <cell r="I331">
            <v>0.5</v>
          </cell>
          <cell r="J331">
            <v>1</v>
          </cell>
          <cell r="K331" t="str">
            <v xml:space="preserve">2.1 </v>
          </cell>
          <cell r="M331" t="str">
            <v>AIR-AMERICAS</v>
          </cell>
          <cell r="N331" t="str">
            <v>Regulatory Domain Configuration for Americas (FCC)</v>
          </cell>
          <cell r="O331">
            <v>0</v>
          </cell>
          <cell r="P331">
            <v>0</v>
          </cell>
          <cell r="Q331">
            <v>5</v>
          </cell>
          <cell r="R331">
            <v>0</v>
          </cell>
          <cell r="S331">
            <v>37718</v>
          </cell>
          <cell r="W331" t="str">
            <v>3848486</v>
          </cell>
          <cell r="X331">
            <v>0</v>
          </cell>
          <cell r="Z331" t="str">
            <v>2030000186</v>
          </cell>
          <cell r="AA331">
            <v>0</v>
          </cell>
          <cell r="AB331">
            <v>37721</v>
          </cell>
          <cell r="AF331" t="str">
            <v>-</v>
          </cell>
          <cell r="AG331">
            <v>0</v>
          </cell>
          <cell r="AH331">
            <v>2</v>
          </cell>
          <cell r="AI331">
            <v>0</v>
          </cell>
          <cell r="AJ331">
            <v>0</v>
          </cell>
        </row>
        <row r="332">
          <cell r="A332">
            <v>168969</v>
          </cell>
          <cell r="B332">
            <v>37687</v>
          </cell>
          <cell r="D332" t="str">
            <v>ENTEL CHILE - 1600001777</v>
          </cell>
          <cell r="E332">
            <v>3557463</v>
          </cell>
          <cell r="F332">
            <v>8070417</v>
          </cell>
          <cell r="G332">
            <v>2608133</v>
          </cell>
          <cell r="H332">
            <v>37694</v>
          </cell>
          <cell r="I332">
            <v>0.5</v>
          </cell>
          <cell r="J332">
            <v>1</v>
          </cell>
          <cell r="K332" t="str">
            <v xml:space="preserve">3.0 </v>
          </cell>
          <cell r="M332" t="str">
            <v>AIR-ANT4941</v>
          </cell>
          <cell r="N332" t="str">
            <v>2.4 GHz,2.2 dBi Dipole Antenna w/ RP-TNC Connect. Qty. 1</v>
          </cell>
          <cell r="O332">
            <v>19</v>
          </cell>
          <cell r="P332">
            <v>9.5</v>
          </cell>
          <cell r="Q332">
            <v>4</v>
          </cell>
          <cell r="R332">
            <v>38</v>
          </cell>
          <cell r="S332">
            <v>37718</v>
          </cell>
          <cell r="W332" t="str">
            <v>3848486</v>
          </cell>
          <cell r="X332">
            <v>38</v>
          </cell>
          <cell r="Z332" t="str">
            <v>2030000186</v>
          </cell>
          <cell r="AA332">
            <v>40</v>
          </cell>
          <cell r="AB332">
            <v>37721</v>
          </cell>
          <cell r="AF332" t="str">
            <v>-</v>
          </cell>
          <cell r="AG332">
            <v>0</v>
          </cell>
          <cell r="AH332">
            <v>3</v>
          </cell>
          <cell r="AI332">
            <v>10</v>
          </cell>
          <cell r="AJ332">
            <v>40</v>
          </cell>
        </row>
        <row r="333">
          <cell r="A333">
            <v>168970</v>
          </cell>
          <cell r="B333">
            <v>37687</v>
          </cell>
          <cell r="D333" t="str">
            <v>ENTEL CHILE - 1600001778</v>
          </cell>
          <cell r="E333">
            <v>3557597</v>
          </cell>
          <cell r="F333">
            <v>8070411</v>
          </cell>
          <cell r="G333">
            <v>2608134</v>
          </cell>
          <cell r="H333">
            <v>37694</v>
          </cell>
          <cell r="I333">
            <v>0.5</v>
          </cell>
          <cell r="J333">
            <v>1</v>
          </cell>
          <cell r="K333" t="str">
            <v>1.0</v>
          </cell>
          <cell r="M333" t="str">
            <v>WS-G5484=</v>
          </cell>
          <cell r="N333" t="str">
            <v>1000BASE-SX Short Wavelength GBIC (Multimode only)</v>
          </cell>
          <cell r="O333">
            <v>500</v>
          </cell>
          <cell r="P333">
            <v>250</v>
          </cell>
          <cell r="Q333">
            <v>4</v>
          </cell>
          <cell r="R333">
            <v>1000</v>
          </cell>
          <cell r="S333">
            <v>37718</v>
          </cell>
          <cell r="W333" t="str">
            <v>3845853</v>
          </cell>
          <cell r="X333">
            <v>1000</v>
          </cell>
          <cell r="Z333" t="str">
            <v>2030000188</v>
          </cell>
          <cell r="AA333">
            <v>1100</v>
          </cell>
          <cell r="AB333">
            <v>37721</v>
          </cell>
          <cell r="AF333" t="str">
            <v>D</v>
          </cell>
          <cell r="AG333">
            <v>20</v>
          </cell>
          <cell r="AH333">
            <v>3</v>
          </cell>
          <cell r="AI333">
            <v>275</v>
          </cell>
          <cell r="AJ333">
            <v>1100</v>
          </cell>
        </row>
        <row r="334">
          <cell r="A334">
            <v>168970</v>
          </cell>
          <cell r="B334">
            <v>37687</v>
          </cell>
          <cell r="D334" t="str">
            <v>ENTEL CHILE - 1600001778</v>
          </cell>
          <cell r="E334">
            <v>3557597</v>
          </cell>
          <cell r="F334">
            <v>8070411</v>
          </cell>
          <cell r="G334">
            <v>2608134</v>
          </cell>
          <cell r="H334">
            <v>37694</v>
          </cell>
          <cell r="I334">
            <v>0.5</v>
          </cell>
          <cell r="J334">
            <v>1</v>
          </cell>
          <cell r="K334" t="str">
            <v xml:space="preserve">2.0 </v>
          </cell>
          <cell r="M334" t="str">
            <v>WS-G5486=</v>
          </cell>
          <cell r="N334" t="str">
            <v>1000BASE-LX/LH long haul GBIC (singlemode or multimode)</v>
          </cell>
          <cell r="O334">
            <v>995</v>
          </cell>
          <cell r="P334">
            <v>497.5</v>
          </cell>
          <cell r="Q334">
            <v>8</v>
          </cell>
          <cell r="R334">
            <v>3980</v>
          </cell>
          <cell r="S334">
            <v>37718</v>
          </cell>
          <cell r="W334" t="str">
            <v>3845853</v>
          </cell>
          <cell r="X334">
            <v>3980</v>
          </cell>
          <cell r="Z334" t="str">
            <v>2030000188</v>
          </cell>
          <cell r="AA334">
            <v>4376</v>
          </cell>
          <cell r="AB334">
            <v>37721</v>
          </cell>
          <cell r="AF334" t="str">
            <v>D</v>
          </cell>
          <cell r="AG334">
            <v>79.600000000000009</v>
          </cell>
          <cell r="AH334">
            <v>4</v>
          </cell>
          <cell r="AI334">
            <v>547</v>
          </cell>
          <cell r="AJ334">
            <v>4376</v>
          </cell>
        </row>
        <row r="335">
          <cell r="A335">
            <v>168970</v>
          </cell>
          <cell r="B335">
            <v>37687</v>
          </cell>
          <cell r="D335" t="str">
            <v>ENTEL CHILE - 1600001778</v>
          </cell>
          <cell r="E335">
            <v>3557597</v>
          </cell>
          <cell r="F335">
            <v>8070411</v>
          </cell>
          <cell r="G335">
            <v>2608134</v>
          </cell>
          <cell r="H335">
            <v>37694</v>
          </cell>
          <cell r="I335">
            <v>0.5</v>
          </cell>
          <cell r="J335">
            <v>2</v>
          </cell>
          <cell r="K335" t="str">
            <v xml:space="preserve">3.0 </v>
          </cell>
          <cell r="M335" t="str">
            <v>WS-C3550-12G</v>
          </cell>
          <cell r="N335" t="str">
            <v>10 GBIC ports and 2-10/100/1000BaseT ports</v>
          </cell>
          <cell r="O335">
            <v>9995</v>
          </cell>
          <cell r="P335">
            <v>4997.5</v>
          </cell>
          <cell r="Q335">
            <v>3</v>
          </cell>
          <cell r="R335">
            <v>14992.5</v>
          </cell>
          <cell r="S335">
            <v>37718</v>
          </cell>
          <cell r="W335" t="str">
            <v>3847265</v>
          </cell>
          <cell r="X335">
            <v>14992.5</v>
          </cell>
          <cell r="Z335" t="str">
            <v>2030000189</v>
          </cell>
          <cell r="AA335">
            <v>16491</v>
          </cell>
          <cell r="AB335">
            <v>37721</v>
          </cell>
          <cell r="AF335" t="str">
            <v>D</v>
          </cell>
          <cell r="AG335">
            <v>299.85000000000002</v>
          </cell>
          <cell r="AH335">
            <v>5</v>
          </cell>
          <cell r="AI335">
            <v>5497</v>
          </cell>
          <cell r="AJ335">
            <v>16491</v>
          </cell>
        </row>
        <row r="336">
          <cell r="A336">
            <v>168970</v>
          </cell>
          <cell r="B336">
            <v>37687</v>
          </cell>
          <cell r="D336" t="str">
            <v>ENTEL CHILE - 1600001778</v>
          </cell>
          <cell r="E336">
            <v>3557597</v>
          </cell>
          <cell r="F336">
            <v>8070411</v>
          </cell>
          <cell r="G336">
            <v>2608134</v>
          </cell>
          <cell r="H336">
            <v>37694</v>
          </cell>
          <cell r="I336">
            <v>0.5</v>
          </cell>
          <cell r="J336">
            <v>2</v>
          </cell>
          <cell r="K336" t="str">
            <v xml:space="preserve">3.1 </v>
          </cell>
          <cell r="M336" t="str">
            <v>CAB-ACI</v>
          </cell>
          <cell r="N336" t="str">
            <v>Power Cord-Italian</v>
          </cell>
          <cell r="O336">
            <v>0</v>
          </cell>
          <cell r="P336">
            <v>0</v>
          </cell>
          <cell r="Q336">
            <v>3</v>
          </cell>
          <cell r="R336">
            <v>0</v>
          </cell>
          <cell r="S336">
            <v>37718</v>
          </cell>
          <cell r="W336" t="str">
            <v>3847265</v>
          </cell>
          <cell r="X336">
            <v>0</v>
          </cell>
          <cell r="Z336" t="str">
            <v>2030000189</v>
          </cell>
          <cell r="AA336">
            <v>0</v>
          </cell>
          <cell r="AB336">
            <v>37721</v>
          </cell>
          <cell r="AF336" t="str">
            <v>-</v>
          </cell>
          <cell r="AG336">
            <v>0</v>
          </cell>
          <cell r="AH336">
            <v>5</v>
          </cell>
          <cell r="AI336">
            <v>0</v>
          </cell>
          <cell r="AJ336">
            <v>0</v>
          </cell>
        </row>
        <row r="337">
          <cell r="A337">
            <v>168970</v>
          </cell>
          <cell r="B337">
            <v>37687</v>
          </cell>
          <cell r="D337" t="str">
            <v>ENTEL CHILE - 1600001778</v>
          </cell>
          <cell r="E337">
            <v>3557597</v>
          </cell>
          <cell r="F337">
            <v>8070411</v>
          </cell>
          <cell r="G337">
            <v>2608134</v>
          </cell>
          <cell r="H337">
            <v>37694</v>
          </cell>
          <cell r="I337">
            <v>0.5</v>
          </cell>
          <cell r="J337">
            <v>3</v>
          </cell>
          <cell r="K337" t="str">
            <v xml:space="preserve">4.0 </v>
          </cell>
          <cell r="M337" t="str">
            <v>WS-C2924M-XL-EN-DC</v>
          </cell>
          <cell r="N337" t="str">
            <v>24-port 10/100 Switch w/ Two Module Slots (DC-Powered)</v>
          </cell>
          <cell r="O337">
            <v>4495</v>
          </cell>
          <cell r="P337">
            <v>2247.5</v>
          </cell>
          <cell r="Q337">
            <v>1</v>
          </cell>
          <cell r="R337">
            <v>2247.5</v>
          </cell>
          <cell r="S337">
            <v>37718</v>
          </cell>
          <cell r="W337" t="str">
            <v>3844079</v>
          </cell>
          <cell r="X337">
            <v>2247.5</v>
          </cell>
          <cell r="Z337" t="str">
            <v>2030000187</v>
          </cell>
          <cell r="AA337">
            <v>2472</v>
          </cell>
          <cell r="AB337">
            <v>37721</v>
          </cell>
          <cell r="AF337" t="str">
            <v>D</v>
          </cell>
          <cell r="AG337">
            <v>44.95</v>
          </cell>
          <cell r="AH337">
            <v>1</v>
          </cell>
          <cell r="AI337">
            <v>2472</v>
          </cell>
          <cell r="AJ337">
            <v>2472</v>
          </cell>
        </row>
        <row r="338">
          <cell r="A338">
            <v>168971</v>
          </cell>
          <cell r="B338">
            <v>37692</v>
          </cell>
          <cell r="D338" t="str">
            <v>ENTEL CHILE - 1600001785</v>
          </cell>
          <cell r="E338">
            <v>3569036</v>
          </cell>
          <cell r="F338">
            <v>8073516</v>
          </cell>
          <cell r="G338">
            <v>2608616</v>
          </cell>
          <cell r="H338">
            <v>37700</v>
          </cell>
          <cell r="I338">
            <v>0.5</v>
          </cell>
          <cell r="J338">
            <v>2</v>
          </cell>
          <cell r="K338" t="str">
            <v xml:space="preserve">1.0 </v>
          </cell>
          <cell r="M338" t="str">
            <v>CISCO3745</v>
          </cell>
          <cell r="N338" t="str">
            <v>3700 Series, 4-Slot, Dual FE, Multiservice Access Router</v>
          </cell>
          <cell r="O338">
            <v>12000</v>
          </cell>
          <cell r="P338">
            <v>6000</v>
          </cell>
          <cell r="Q338">
            <v>2</v>
          </cell>
          <cell r="R338">
            <v>12000</v>
          </cell>
          <cell r="AE338" t="str">
            <v>C</v>
          </cell>
          <cell r="AF338" t="str">
            <v>C</v>
          </cell>
          <cell r="AG338">
            <v>900</v>
          </cell>
          <cell r="AH338">
            <v>13</v>
          </cell>
          <cell r="AI338">
            <v>6840</v>
          </cell>
          <cell r="AJ338">
            <v>13680</v>
          </cell>
        </row>
        <row r="339">
          <cell r="A339">
            <v>168971</v>
          </cell>
          <cell r="B339">
            <v>37692</v>
          </cell>
          <cell r="D339" t="str">
            <v>ENTEL CHILE - 1600001785</v>
          </cell>
          <cell r="E339">
            <v>3569036</v>
          </cell>
          <cell r="F339">
            <v>8073516</v>
          </cell>
          <cell r="G339">
            <v>2608616</v>
          </cell>
          <cell r="H339">
            <v>37700</v>
          </cell>
          <cell r="I339">
            <v>0.5</v>
          </cell>
          <cell r="J339">
            <v>2</v>
          </cell>
          <cell r="K339" t="str">
            <v xml:space="preserve">1.1 </v>
          </cell>
          <cell r="M339" t="str">
            <v>PWR-3745-AC</v>
          </cell>
          <cell r="N339" t="e">
            <v>#N/A</v>
          </cell>
          <cell r="O339">
            <v>0</v>
          </cell>
          <cell r="P339">
            <v>0</v>
          </cell>
          <cell r="Q339">
            <v>2</v>
          </cell>
          <cell r="R339">
            <v>0</v>
          </cell>
          <cell r="AF339" t="str">
            <v>c</v>
          </cell>
          <cell r="AG339">
            <v>0</v>
          </cell>
          <cell r="AH339">
            <v>13</v>
          </cell>
          <cell r="AI339">
            <v>0</v>
          </cell>
          <cell r="AJ339">
            <v>0</v>
          </cell>
        </row>
        <row r="340">
          <cell r="A340">
            <v>168971</v>
          </cell>
          <cell r="B340">
            <v>37692</v>
          </cell>
          <cell r="D340" t="str">
            <v>ENTEL CHILE - 1600001785</v>
          </cell>
          <cell r="E340">
            <v>3569036</v>
          </cell>
          <cell r="F340">
            <v>8073516</v>
          </cell>
          <cell r="G340">
            <v>2608616</v>
          </cell>
          <cell r="H340">
            <v>37700</v>
          </cell>
          <cell r="I340">
            <v>0.5</v>
          </cell>
          <cell r="J340">
            <v>2</v>
          </cell>
          <cell r="K340" t="str">
            <v xml:space="preserve">1.2 </v>
          </cell>
          <cell r="M340" t="str">
            <v>PWR-3745-AC/2</v>
          </cell>
          <cell r="N340" t="str">
            <v>Redundant AC System Power Supply for the Cisco 3745</v>
          </cell>
          <cell r="O340">
            <v>800</v>
          </cell>
          <cell r="P340">
            <v>400</v>
          </cell>
          <cell r="Q340">
            <v>2</v>
          </cell>
          <cell r="R340">
            <v>800</v>
          </cell>
          <cell r="AE340" t="str">
            <v>C</v>
          </cell>
          <cell r="AF340" t="str">
            <v>C</v>
          </cell>
          <cell r="AG340">
            <v>60</v>
          </cell>
          <cell r="AH340">
            <v>20</v>
          </cell>
          <cell r="AI340">
            <v>456</v>
          </cell>
          <cell r="AJ340">
            <v>912</v>
          </cell>
        </row>
        <row r="341">
          <cell r="A341">
            <v>168971</v>
          </cell>
          <cell r="B341">
            <v>37692</v>
          </cell>
          <cell r="D341" t="str">
            <v>ENTEL CHILE - 1600001785</v>
          </cell>
          <cell r="E341">
            <v>3569036</v>
          </cell>
          <cell r="F341">
            <v>8073516</v>
          </cell>
          <cell r="G341">
            <v>2608616</v>
          </cell>
          <cell r="H341">
            <v>37700</v>
          </cell>
          <cell r="I341">
            <v>0.5</v>
          </cell>
          <cell r="J341">
            <v>2</v>
          </cell>
          <cell r="K341" t="str">
            <v xml:space="preserve">1.3 </v>
          </cell>
          <cell r="M341" t="str">
            <v>CAB-ACI</v>
          </cell>
          <cell r="N341" t="str">
            <v>Power Cord-Italian</v>
          </cell>
          <cell r="O341">
            <v>0</v>
          </cell>
          <cell r="P341">
            <v>0</v>
          </cell>
          <cell r="Q341">
            <v>4</v>
          </cell>
          <cell r="R341">
            <v>0</v>
          </cell>
          <cell r="AF341" t="str">
            <v>-</v>
          </cell>
          <cell r="AG341">
            <v>0</v>
          </cell>
          <cell r="AH341">
            <v>13</v>
          </cell>
          <cell r="AI341">
            <v>0</v>
          </cell>
          <cell r="AJ341">
            <v>0</v>
          </cell>
        </row>
        <row r="342">
          <cell r="A342">
            <v>168971</v>
          </cell>
          <cell r="B342">
            <v>37692</v>
          </cell>
          <cell r="D342" t="str">
            <v>ENTEL CHILE - 1600001785</v>
          </cell>
          <cell r="E342">
            <v>3569036</v>
          </cell>
          <cell r="F342">
            <v>8073516</v>
          </cell>
          <cell r="G342">
            <v>2608616</v>
          </cell>
          <cell r="H342">
            <v>37700</v>
          </cell>
          <cell r="I342">
            <v>0.5</v>
          </cell>
          <cell r="J342">
            <v>2</v>
          </cell>
          <cell r="K342" t="str">
            <v xml:space="preserve">1.4 </v>
          </cell>
          <cell r="M342" t="str">
            <v>S374A-12211YT</v>
          </cell>
          <cell r="N342" t="str">
            <v>Cisco 3745 Series IOS ENTERPRISE PLUS</v>
          </cell>
          <cell r="O342">
            <v>2000</v>
          </cell>
          <cell r="P342">
            <v>1000</v>
          </cell>
          <cell r="Q342">
            <v>2</v>
          </cell>
          <cell r="R342">
            <v>2000</v>
          </cell>
          <cell r="AE342" t="str">
            <v>C</v>
          </cell>
          <cell r="AF342" t="str">
            <v>C</v>
          </cell>
          <cell r="AG342">
            <v>150</v>
          </cell>
          <cell r="AH342">
            <v>23</v>
          </cell>
          <cell r="AI342">
            <v>1140</v>
          </cell>
          <cell r="AJ342">
            <v>2280</v>
          </cell>
        </row>
        <row r="343">
          <cell r="A343">
            <v>168971</v>
          </cell>
          <cell r="B343">
            <v>37692</v>
          </cell>
          <cell r="D343" t="str">
            <v>ENTEL CHILE - 1600001785</v>
          </cell>
          <cell r="E343">
            <v>3569036</v>
          </cell>
          <cell r="F343">
            <v>8073516</v>
          </cell>
          <cell r="G343">
            <v>2608616</v>
          </cell>
          <cell r="H343">
            <v>37700</v>
          </cell>
          <cell r="I343">
            <v>0.5</v>
          </cell>
          <cell r="J343">
            <v>2</v>
          </cell>
          <cell r="K343" t="str">
            <v xml:space="preserve">1.5 </v>
          </cell>
          <cell r="M343" t="str">
            <v>NM-1CE1B</v>
          </cell>
          <cell r="N343" t="str">
            <v>1-Port Channelized E1/ISDN-PRI Balanced Network Module</v>
          </cell>
          <cell r="O343">
            <v>2600</v>
          </cell>
          <cell r="P343">
            <v>1300</v>
          </cell>
          <cell r="Q343">
            <v>2</v>
          </cell>
          <cell r="R343">
            <v>2600</v>
          </cell>
          <cell r="AE343" t="str">
            <v>C</v>
          </cell>
          <cell r="AF343" t="str">
            <v>C</v>
          </cell>
          <cell r="AG343">
            <v>195</v>
          </cell>
          <cell r="AH343">
            <v>12</v>
          </cell>
          <cell r="AI343">
            <v>1482</v>
          </cell>
          <cell r="AJ343">
            <v>2964</v>
          </cell>
        </row>
        <row r="344">
          <cell r="A344">
            <v>168971</v>
          </cell>
          <cell r="B344">
            <v>37692</v>
          </cell>
          <cell r="D344" t="str">
            <v>ENTEL CHILE - 1600001785</v>
          </cell>
          <cell r="E344">
            <v>3569036</v>
          </cell>
          <cell r="F344">
            <v>8073516</v>
          </cell>
          <cell r="G344">
            <v>2608616</v>
          </cell>
          <cell r="H344">
            <v>37700</v>
          </cell>
          <cell r="I344">
            <v>0.5</v>
          </cell>
          <cell r="J344">
            <v>2</v>
          </cell>
          <cell r="K344" t="str">
            <v xml:space="preserve">1.6 </v>
          </cell>
          <cell r="M344" t="str">
            <v>NM-1GE</v>
          </cell>
          <cell r="N344" t="str">
            <v>1 Port GE Network Module</v>
          </cell>
          <cell r="O344">
            <v>4500</v>
          </cell>
          <cell r="P344">
            <v>2250</v>
          </cell>
          <cell r="Q344">
            <v>4</v>
          </cell>
          <cell r="R344">
            <v>9000</v>
          </cell>
          <cell r="AE344" t="str">
            <v>C</v>
          </cell>
          <cell r="AF344" t="str">
            <v>C</v>
          </cell>
          <cell r="AG344">
            <v>675</v>
          </cell>
          <cell r="AH344">
            <v>18</v>
          </cell>
          <cell r="AI344">
            <v>2565</v>
          </cell>
          <cell r="AJ344">
            <v>10260</v>
          </cell>
        </row>
        <row r="345">
          <cell r="A345">
            <v>168971</v>
          </cell>
          <cell r="B345">
            <v>37692</v>
          </cell>
          <cell r="D345" t="str">
            <v>ENTEL CHILE - 1600001785</v>
          </cell>
          <cell r="E345">
            <v>3569036</v>
          </cell>
          <cell r="F345">
            <v>8073516</v>
          </cell>
          <cell r="G345">
            <v>2608616</v>
          </cell>
          <cell r="H345">
            <v>37700</v>
          </cell>
          <cell r="I345">
            <v>0.5</v>
          </cell>
          <cell r="J345">
            <v>2</v>
          </cell>
          <cell r="K345" t="str">
            <v xml:space="preserve">1.7 </v>
          </cell>
          <cell r="M345" t="str">
            <v>WIC-1T</v>
          </cell>
          <cell r="N345" t="str">
            <v>1-Port Serial WAN Interface Card</v>
          </cell>
          <cell r="O345">
            <v>400</v>
          </cell>
          <cell r="P345">
            <v>200</v>
          </cell>
          <cell r="Q345">
            <v>2</v>
          </cell>
          <cell r="R345">
            <v>400</v>
          </cell>
          <cell r="AE345" t="str">
            <v>D</v>
          </cell>
          <cell r="AF345" t="str">
            <v>D</v>
          </cell>
          <cell r="AG345">
            <v>8</v>
          </cell>
          <cell r="AH345">
            <v>16</v>
          </cell>
          <cell r="AI345">
            <v>228</v>
          </cell>
          <cell r="AJ345">
            <v>456</v>
          </cell>
        </row>
        <row r="346">
          <cell r="A346">
            <v>168971</v>
          </cell>
          <cell r="B346">
            <v>37692</v>
          </cell>
          <cell r="D346" t="str">
            <v>ENTEL CHILE - 1600001785</v>
          </cell>
          <cell r="E346">
            <v>3569036</v>
          </cell>
          <cell r="F346">
            <v>8073516</v>
          </cell>
          <cell r="G346">
            <v>2608616</v>
          </cell>
          <cell r="H346">
            <v>37700</v>
          </cell>
          <cell r="I346">
            <v>0.5</v>
          </cell>
          <cell r="J346">
            <v>2</v>
          </cell>
          <cell r="K346" t="str">
            <v xml:space="preserve">1.8 </v>
          </cell>
          <cell r="M346" t="str">
            <v>CAB-V35MT</v>
          </cell>
          <cell r="N346" t="str">
            <v>V.35 Cable, DTE, Male, 10 Feet</v>
          </cell>
          <cell r="O346">
            <v>100</v>
          </cell>
          <cell r="P346">
            <v>50</v>
          </cell>
          <cell r="Q346">
            <v>2</v>
          </cell>
          <cell r="R346">
            <v>100</v>
          </cell>
          <cell r="AF346" t="str">
            <v>-</v>
          </cell>
          <cell r="AG346">
            <v>0</v>
          </cell>
          <cell r="AH346">
            <v>11</v>
          </cell>
          <cell r="AI346">
            <v>57</v>
          </cell>
          <cell r="AJ346">
            <v>114</v>
          </cell>
        </row>
        <row r="347">
          <cell r="A347">
            <v>168971</v>
          </cell>
          <cell r="B347">
            <v>37692</v>
          </cell>
          <cell r="D347" t="str">
            <v>ENTEL CHILE - 1600001785</v>
          </cell>
          <cell r="E347">
            <v>3569036</v>
          </cell>
          <cell r="F347">
            <v>8073516</v>
          </cell>
          <cell r="G347">
            <v>2608616</v>
          </cell>
          <cell r="H347">
            <v>37700</v>
          </cell>
          <cell r="I347">
            <v>0.5</v>
          </cell>
          <cell r="J347">
            <v>1</v>
          </cell>
          <cell r="K347" t="str">
            <v xml:space="preserve">2.0 </v>
          </cell>
          <cell r="M347" t="str">
            <v>WS-G5486=</v>
          </cell>
          <cell r="N347" t="str">
            <v>1000BASE-LX/LH long haul GBIC (singlemode or multimode)</v>
          </cell>
          <cell r="O347">
            <v>995</v>
          </cell>
          <cell r="P347">
            <v>497.5</v>
          </cell>
          <cell r="Q347">
            <v>6</v>
          </cell>
          <cell r="R347">
            <v>2985</v>
          </cell>
          <cell r="W347" t="str">
            <v>3850662</v>
          </cell>
          <cell r="X347">
            <v>2985</v>
          </cell>
          <cell r="Z347" t="str">
            <v>2030000194</v>
          </cell>
          <cell r="AA347">
            <v>3402</v>
          </cell>
          <cell r="AB347">
            <v>37721</v>
          </cell>
          <cell r="AE347" t="str">
            <v>D</v>
          </cell>
          <cell r="AF347" t="str">
            <v>D</v>
          </cell>
          <cell r="AG347">
            <v>59.7</v>
          </cell>
          <cell r="AH347">
            <v>19</v>
          </cell>
          <cell r="AI347">
            <v>567</v>
          </cell>
          <cell r="AJ347">
            <v>3402</v>
          </cell>
        </row>
        <row r="348">
          <cell r="A348">
            <v>168971</v>
          </cell>
          <cell r="B348">
            <v>37692</v>
          </cell>
          <cell r="D348" t="str">
            <v>ENTEL CHILE - 1600001785</v>
          </cell>
          <cell r="E348">
            <v>3569036</v>
          </cell>
          <cell r="F348">
            <v>8073516</v>
          </cell>
          <cell r="G348">
            <v>2608616</v>
          </cell>
          <cell r="H348">
            <v>37700</v>
          </cell>
          <cell r="I348">
            <v>0.5</v>
          </cell>
          <cell r="J348">
            <v>5</v>
          </cell>
          <cell r="K348" t="str">
            <v xml:space="preserve">3.0 </v>
          </cell>
          <cell r="M348" t="str">
            <v>WS-G5483=</v>
          </cell>
          <cell r="N348" t="str">
            <v>1000BASE-T GBIC</v>
          </cell>
          <cell r="O348">
            <v>395</v>
          </cell>
          <cell r="P348">
            <v>197.5</v>
          </cell>
          <cell r="Q348">
            <v>2</v>
          </cell>
          <cell r="R348">
            <v>395</v>
          </cell>
          <cell r="S348">
            <v>37719</v>
          </cell>
          <cell r="W348" t="str">
            <v>3851724</v>
          </cell>
          <cell r="X348">
            <v>395</v>
          </cell>
          <cell r="Z348" t="str">
            <v>2030000195</v>
          </cell>
          <cell r="AA348">
            <v>450</v>
          </cell>
          <cell r="AB348">
            <v>37721</v>
          </cell>
          <cell r="AE348" t="str">
            <v>D</v>
          </cell>
          <cell r="AF348" t="str">
            <v>D</v>
          </cell>
          <cell r="AG348">
            <v>7.9</v>
          </cell>
          <cell r="AH348">
            <v>1</v>
          </cell>
          <cell r="AI348">
            <v>225</v>
          </cell>
          <cell r="AJ348">
            <v>450</v>
          </cell>
        </row>
        <row r="349">
          <cell r="A349">
            <v>168971</v>
          </cell>
          <cell r="B349">
            <v>37692</v>
          </cell>
          <cell r="D349" t="str">
            <v>ENTEL CHILE - 1600001785</v>
          </cell>
          <cell r="E349">
            <v>3569036</v>
          </cell>
          <cell r="F349">
            <v>8073516</v>
          </cell>
          <cell r="G349">
            <v>2608616</v>
          </cell>
          <cell r="H349">
            <v>37700</v>
          </cell>
          <cell r="I349">
            <v>0.5</v>
          </cell>
          <cell r="J349">
            <v>7</v>
          </cell>
          <cell r="K349" t="str">
            <v xml:space="preserve">4.0 </v>
          </cell>
          <cell r="M349" t="str">
            <v>CISCO2611XM</v>
          </cell>
          <cell r="N349" t="str">
            <v>Dual 10/100 Ethernet Router w/ Cisco IOS IP</v>
          </cell>
          <cell r="O349">
            <v>2495</v>
          </cell>
          <cell r="P349">
            <v>1247.5</v>
          </cell>
          <cell r="Q349">
            <v>2</v>
          </cell>
          <cell r="R349">
            <v>2495</v>
          </cell>
          <cell r="S349">
            <v>37720</v>
          </cell>
          <cell r="W349" t="str">
            <v>3851724</v>
          </cell>
          <cell r="X349">
            <v>2495</v>
          </cell>
          <cell r="Z349" t="str">
            <v>2030000196</v>
          </cell>
          <cell r="AA349">
            <v>2844</v>
          </cell>
          <cell r="AB349">
            <v>37721</v>
          </cell>
          <cell r="AE349" t="str">
            <v>C</v>
          </cell>
          <cell r="AF349" t="str">
            <v>C</v>
          </cell>
          <cell r="AG349">
            <v>187.125</v>
          </cell>
          <cell r="AH349">
            <v>22</v>
          </cell>
          <cell r="AI349">
            <v>1422</v>
          </cell>
          <cell r="AJ349">
            <v>2844</v>
          </cell>
        </row>
        <row r="350">
          <cell r="A350">
            <v>168971</v>
          </cell>
          <cell r="B350">
            <v>37692</v>
          </cell>
          <cell r="D350" t="str">
            <v>ENTEL CHILE - 1600001785</v>
          </cell>
          <cell r="E350">
            <v>3569036</v>
          </cell>
          <cell r="F350">
            <v>8073516</v>
          </cell>
          <cell r="G350">
            <v>2608616</v>
          </cell>
          <cell r="H350">
            <v>37700</v>
          </cell>
          <cell r="I350">
            <v>0.5</v>
          </cell>
          <cell r="J350">
            <v>7</v>
          </cell>
          <cell r="K350" t="str">
            <v xml:space="preserve">4.1 </v>
          </cell>
          <cell r="M350" t="str">
            <v>CAB-ACI</v>
          </cell>
          <cell r="N350" t="str">
            <v>Power Cord-Italian</v>
          </cell>
          <cell r="O350">
            <v>0</v>
          </cell>
          <cell r="P350">
            <v>0</v>
          </cell>
          <cell r="Q350">
            <v>2</v>
          </cell>
          <cell r="R350">
            <v>0</v>
          </cell>
          <cell r="S350">
            <v>37720</v>
          </cell>
          <cell r="W350" t="str">
            <v>3851724</v>
          </cell>
          <cell r="X350">
            <v>0</v>
          </cell>
          <cell r="Z350" t="str">
            <v>2030000196</v>
          </cell>
          <cell r="AA350">
            <v>0</v>
          </cell>
          <cell r="AB350">
            <v>37721</v>
          </cell>
          <cell r="AF350" t="str">
            <v>-</v>
          </cell>
          <cell r="AG350">
            <v>0</v>
          </cell>
          <cell r="AH350">
            <v>22</v>
          </cell>
          <cell r="AI350">
            <v>0</v>
          </cell>
          <cell r="AJ350">
            <v>0</v>
          </cell>
        </row>
        <row r="351">
          <cell r="A351">
            <v>168971</v>
          </cell>
          <cell r="B351">
            <v>37692</v>
          </cell>
          <cell r="D351" t="str">
            <v>ENTEL CHILE - 1600001785</v>
          </cell>
          <cell r="E351">
            <v>3569036</v>
          </cell>
          <cell r="F351">
            <v>8073516</v>
          </cell>
          <cell r="G351">
            <v>2608616</v>
          </cell>
          <cell r="H351">
            <v>37700</v>
          </cell>
          <cell r="I351">
            <v>0.5</v>
          </cell>
          <cell r="J351">
            <v>7</v>
          </cell>
          <cell r="K351" t="str">
            <v xml:space="preserve">4.2 </v>
          </cell>
          <cell r="M351" t="str">
            <v>S26AP-12212</v>
          </cell>
          <cell r="N351" t="str">
            <v>Cisco 2600 Series IOS ENTERPRISE PLUS</v>
          </cell>
          <cell r="O351">
            <v>1300</v>
          </cell>
          <cell r="P351">
            <v>650</v>
          </cell>
          <cell r="Q351">
            <v>2</v>
          </cell>
          <cell r="R351">
            <v>1300</v>
          </cell>
          <cell r="S351">
            <v>37720</v>
          </cell>
          <cell r="W351" t="str">
            <v>3851724</v>
          </cell>
          <cell r="X351">
            <v>1300</v>
          </cell>
          <cell r="Z351" t="str">
            <v>2030000196</v>
          </cell>
          <cell r="AA351">
            <v>1482</v>
          </cell>
          <cell r="AB351">
            <v>37721</v>
          </cell>
          <cell r="AE351" t="str">
            <v>C</v>
          </cell>
          <cell r="AF351" t="str">
            <v>C</v>
          </cell>
          <cell r="AG351">
            <v>97.5</v>
          </cell>
          <cell r="AH351">
            <v>21</v>
          </cell>
          <cell r="AI351">
            <v>741</v>
          </cell>
          <cell r="AJ351">
            <v>1482</v>
          </cell>
        </row>
        <row r="352">
          <cell r="A352">
            <v>168971</v>
          </cell>
          <cell r="B352">
            <v>37692</v>
          </cell>
          <cell r="D352" t="str">
            <v>ENTEL CHILE - 1600001785</v>
          </cell>
          <cell r="E352">
            <v>3569036</v>
          </cell>
          <cell r="F352">
            <v>8073516</v>
          </cell>
          <cell r="G352">
            <v>2608616</v>
          </cell>
          <cell r="H352">
            <v>37700</v>
          </cell>
          <cell r="I352">
            <v>0.5</v>
          </cell>
          <cell r="J352">
            <v>7</v>
          </cell>
          <cell r="K352" t="str">
            <v xml:space="preserve">4.3 </v>
          </cell>
          <cell r="M352" t="str">
            <v>MEM2600XM-32U64D</v>
          </cell>
          <cell r="N352" t="str">
            <v xml:space="preserve">32 to 64MB DRAM factory upgrade for Cisco 261x/2xXM  </v>
          </cell>
          <cell r="O352">
            <v>950</v>
          </cell>
          <cell r="P352">
            <v>475</v>
          </cell>
          <cell r="Q352">
            <v>2</v>
          </cell>
          <cell r="R352">
            <v>950</v>
          </cell>
          <cell r="S352">
            <v>37720</v>
          </cell>
          <cell r="W352" t="str">
            <v>3851724</v>
          </cell>
          <cell r="X352">
            <v>950</v>
          </cell>
          <cell r="Z352" t="str">
            <v>2030000196</v>
          </cell>
          <cell r="AA352">
            <v>1084</v>
          </cell>
          <cell r="AB352">
            <v>37721</v>
          </cell>
          <cell r="AE352" t="str">
            <v>C</v>
          </cell>
          <cell r="AF352" t="str">
            <v>C</v>
          </cell>
          <cell r="AG352">
            <v>71.25</v>
          </cell>
          <cell r="AH352">
            <v>26</v>
          </cell>
          <cell r="AI352">
            <v>542</v>
          </cell>
          <cell r="AJ352">
            <v>1084</v>
          </cell>
        </row>
        <row r="353">
          <cell r="A353">
            <v>168971</v>
          </cell>
          <cell r="B353">
            <v>37692</v>
          </cell>
          <cell r="D353" t="str">
            <v>ENTEL CHILE - 1600001785</v>
          </cell>
          <cell r="E353">
            <v>3569036</v>
          </cell>
          <cell r="F353">
            <v>8073516</v>
          </cell>
          <cell r="G353">
            <v>2608616</v>
          </cell>
          <cell r="H353">
            <v>37700</v>
          </cell>
          <cell r="I353">
            <v>0.5</v>
          </cell>
          <cell r="J353">
            <v>7</v>
          </cell>
          <cell r="K353" t="str">
            <v xml:space="preserve">4.4 </v>
          </cell>
          <cell r="M353" t="str">
            <v>NM-1E</v>
          </cell>
          <cell r="N353" t="str">
            <v>1-Port Ethernet Network Module</v>
          </cell>
          <cell r="O353">
            <v>1000</v>
          </cell>
          <cell r="P353">
            <v>500</v>
          </cell>
          <cell r="Q353">
            <v>2</v>
          </cell>
          <cell r="R353">
            <v>1000</v>
          </cell>
          <cell r="S353">
            <v>37720</v>
          </cell>
          <cell r="W353" t="str">
            <v>3851724</v>
          </cell>
          <cell r="X353">
            <v>1000</v>
          </cell>
          <cell r="Z353" t="str">
            <v>2030000196</v>
          </cell>
          <cell r="AA353">
            <v>1140</v>
          </cell>
          <cell r="AB353">
            <v>37721</v>
          </cell>
          <cell r="AE353" t="str">
            <v>C</v>
          </cell>
          <cell r="AF353" t="str">
            <v>C</v>
          </cell>
          <cell r="AG353">
            <v>75</v>
          </cell>
          <cell r="AH353">
            <v>27</v>
          </cell>
          <cell r="AI353">
            <v>570</v>
          </cell>
          <cell r="AJ353">
            <v>1140</v>
          </cell>
        </row>
        <row r="354">
          <cell r="A354">
            <v>168971</v>
          </cell>
          <cell r="B354">
            <v>37692</v>
          </cell>
          <cell r="D354" t="str">
            <v>ENTEL CHILE - 1600001785</v>
          </cell>
          <cell r="E354">
            <v>3569036</v>
          </cell>
          <cell r="F354">
            <v>8073516</v>
          </cell>
          <cell r="G354">
            <v>2608616</v>
          </cell>
          <cell r="H354">
            <v>37700</v>
          </cell>
          <cell r="I354">
            <v>0.5</v>
          </cell>
          <cell r="J354">
            <v>7</v>
          </cell>
          <cell r="K354" t="str">
            <v xml:space="preserve">4.5 </v>
          </cell>
          <cell r="M354" t="str">
            <v>WIC-1T</v>
          </cell>
          <cell r="N354" t="str">
            <v>1-Port Serial WAN Interface Card</v>
          </cell>
          <cell r="O354">
            <v>400</v>
          </cell>
          <cell r="P354">
            <v>200</v>
          </cell>
          <cell r="Q354">
            <v>2</v>
          </cell>
          <cell r="R354">
            <v>400</v>
          </cell>
          <cell r="S354">
            <v>37720</v>
          </cell>
          <cell r="W354" t="str">
            <v>3851724</v>
          </cell>
          <cell r="X354">
            <v>400</v>
          </cell>
          <cell r="Z354" t="str">
            <v>2030000196</v>
          </cell>
          <cell r="AA354">
            <v>456</v>
          </cell>
          <cell r="AB354">
            <v>37721</v>
          </cell>
          <cell r="AE354" t="str">
            <v>D</v>
          </cell>
          <cell r="AF354" t="str">
            <v>D</v>
          </cell>
          <cell r="AG354">
            <v>8</v>
          </cell>
          <cell r="AH354">
            <v>16</v>
          </cell>
          <cell r="AI354">
            <v>228</v>
          </cell>
          <cell r="AJ354">
            <v>456</v>
          </cell>
        </row>
        <row r="355">
          <cell r="A355">
            <v>168971</v>
          </cell>
          <cell r="B355">
            <v>37692</v>
          </cell>
          <cell r="D355" t="str">
            <v>ENTEL CHILE - 1600001785</v>
          </cell>
          <cell r="E355">
            <v>3569036</v>
          </cell>
          <cell r="F355">
            <v>8073516</v>
          </cell>
          <cell r="G355">
            <v>2608616</v>
          </cell>
          <cell r="H355">
            <v>37700</v>
          </cell>
          <cell r="I355">
            <v>0.5</v>
          </cell>
          <cell r="J355">
            <v>7</v>
          </cell>
          <cell r="K355" t="str">
            <v xml:space="preserve">4.6 </v>
          </cell>
          <cell r="M355" t="str">
            <v>CAB-V35MT</v>
          </cell>
          <cell r="N355" t="str">
            <v>V.35 Cable, DTE, Male, 10 Feet</v>
          </cell>
          <cell r="O355">
            <v>100</v>
          </cell>
          <cell r="P355">
            <v>50</v>
          </cell>
          <cell r="Q355">
            <v>2</v>
          </cell>
          <cell r="R355">
            <v>100</v>
          </cell>
          <cell r="S355">
            <v>37720</v>
          </cell>
          <cell r="W355" t="str">
            <v>3851724</v>
          </cell>
          <cell r="X355">
            <v>100</v>
          </cell>
          <cell r="Z355" t="str">
            <v>2030000196</v>
          </cell>
          <cell r="AA355">
            <v>114</v>
          </cell>
          <cell r="AB355">
            <v>37721</v>
          </cell>
          <cell r="AF355" t="str">
            <v>-</v>
          </cell>
          <cell r="AG355">
            <v>0</v>
          </cell>
          <cell r="AH355">
            <v>11</v>
          </cell>
          <cell r="AI355">
            <v>57</v>
          </cell>
          <cell r="AJ355">
            <v>114</v>
          </cell>
        </row>
        <row r="356">
          <cell r="A356">
            <v>168971</v>
          </cell>
          <cell r="B356">
            <v>37692</v>
          </cell>
          <cell r="D356" t="str">
            <v>ENTEL CHILE - 1600001785</v>
          </cell>
          <cell r="E356">
            <v>3569036</v>
          </cell>
          <cell r="F356">
            <v>8073516</v>
          </cell>
          <cell r="G356">
            <v>2608616</v>
          </cell>
          <cell r="H356">
            <v>37700</v>
          </cell>
          <cell r="I356">
            <v>0.5</v>
          </cell>
          <cell r="J356">
            <v>7</v>
          </cell>
          <cell r="K356" t="str">
            <v xml:space="preserve">4.7 </v>
          </cell>
          <cell r="M356" t="str">
            <v>MEM2600XM-16FS-INC</v>
          </cell>
          <cell r="N356" t="e">
            <v>#N/A</v>
          </cell>
          <cell r="O356">
            <v>0</v>
          </cell>
          <cell r="P356">
            <v>0</v>
          </cell>
          <cell r="Q356">
            <v>2</v>
          </cell>
          <cell r="R356">
            <v>0</v>
          </cell>
          <cell r="S356">
            <v>37720</v>
          </cell>
          <cell r="W356" t="str">
            <v>3851724</v>
          </cell>
          <cell r="X356">
            <v>0</v>
          </cell>
          <cell r="Z356" t="str">
            <v>2030000196</v>
          </cell>
          <cell r="AA356">
            <v>0</v>
          </cell>
          <cell r="AB356">
            <v>37721</v>
          </cell>
          <cell r="AF356" t="str">
            <v>c</v>
          </cell>
          <cell r="AG356">
            <v>0</v>
          </cell>
          <cell r="AH356">
            <v>22</v>
          </cell>
          <cell r="AI356">
            <v>0</v>
          </cell>
          <cell r="AJ356">
            <v>0</v>
          </cell>
        </row>
        <row r="357">
          <cell r="A357">
            <v>168971</v>
          </cell>
          <cell r="B357">
            <v>37692</v>
          </cell>
          <cell r="D357" t="str">
            <v>ENTEL CHILE - 1600001785</v>
          </cell>
          <cell r="E357">
            <v>3569036</v>
          </cell>
          <cell r="F357">
            <v>8073516</v>
          </cell>
          <cell r="G357">
            <v>2608616</v>
          </cell>
          <cell r="H357">
            <v>37700</v>
          </cell>
          <cell r="I357">
            <v>0.5</v>
          </cell>
          <cell r="J357">
            <v>7</v>
          </cell>
          <cell r="K357" t="str">
            <v xml:space="preserve">5.0 </v>
          </cell>
          <cell r="M357" t="str">
            <v>CISCO2611XM</v>
          </cell>
          <cell r="N357" t="str">
            <v>Dual 10/100 Ethernet Router w/ Cisco IOS IP</v>
          </cell>
          <cell r="O357">
            <v>2495</v>
          </cell>
          <cell r="P357">
            <v>1247.5</v>
          </cell>
          <cell r="Q357">
            <v>1</v>
          </cell>
          <cell r="R357">
            <v>1247.5</v>
          </cell>
          <cell r="S357">
            <v>37720</v>
          </cell>
          <cell r="W357" t="str">
            <v>3851724</v>
          </cell>
          <cell r="X357">
            <v>1247.5</v>
          </cell>
          <cell r="Z357" t="str">
            <v>2030000196</v>
          </cell>
          <cell r="AA357">
            <v>1422</v>
          </cell>
          <cell r="AB357">
            <v>37721</v>
          </cell>
          <cell r="AE357" t="str">
            <v>C</v>
          </cell>
          <cell r="AF357" t="str">
            <v>C</v>
          </cell>
          <cell r="AG357">
            <v>93.5625</v>
          </cell>
          <cell r="AH357">
            <v>22</v>
          </cell>
          <cell r="AI357">
            <v>1422</v>
          </cell>
          <cell r="AJ357">
            <v>1422</v>
          </cell>
        </row>
        <row r="358">
          <cell r="A358">
            <v>168971</v>
          </cell>
          <cell r="B358">
            <v>37692</v>
          </cell>
          <cell r="D358" t="str">
            <v>ENTEL CHILE - 1600001785</v>
          </cell>
          <cell r="E358">
            <v>3569036</v>
          </cell>
          <cell r="F358">
            <v>8073516</v>
          </cell>
          <cell r="G358">
            <v>2608616</v>
          </cell>
          <cell r="H358">
            <v>37700</v>
          </cell>
          <cell r="I358">
            <v>0.5</v>
          </cell>
          <cell r="J358">
            <v>7</v>
          </cell>
          <cell r="K358" t="str">
            <v xml:space="preserve">5.1 </v>
          </cell>
          <cell r="M358" t="str">
            <v>CAB-ACI</v>
          </cell>
          <cell r="N358" t="str">
            <v>Power Cord-Italian</v>
          </cell>
          <cell r="O358">
            <v>0</v>
          </cell>
          <cell r="P358">
            <v>0</v>
          </cell>
          <cell r="Q358">
            <v>1</v>
          </cell>
          <cell r="R358">
            <v>0</v>
          </cell>
          <cell r="S358">
            <v>37720</v>
          </cell>
          <cell r="W358" t="str">
            <v>3851724</v>
          </cell>
          <cell r="X358">
            <v>0</v>
          </cell>
          <cell r="Z358" t="str">
            <v>2030000196</v>
          </cell>
          <cell r="AA358">
            <v>0</v>
          </cell>
          <cell r="AB358">
            <v>37721</v>
          </cell>
          <cell r="AF358" t="str">
            <v>-</v>
          </cell>
          <cell r="AG358">
            <v>0</v>
          </cell>
          <cell r="AH358">
            <v>22</v>
          </cell>
          <cell r="AI358">
            <v>0</v>
          </cell>
          <cell r="AJ358">
            <v>0</v>
          </cell>
        </row>
        <row r="359">
          <cell r="A359">
            <v>168971</v>
          </cell>
          <cell r="B359">
            <v>37692</v>
          </cell>
          <cell r="D359" t="str">
            <v>ENTEL CHILE - 1600001785</v>
          </cell>
          <cell r="E359">
            <v>3569036</v>
          </cell>
          <cell r="F359">
            <v>8073516</v>
          </cell>
          <cell r="G359">
            <v>2608616</v>
          </cell>
          <cell r="H359">
            <v>37700</v>
          </cell>
          <cell r="I359">
            <v>0.5</v>
          </cell>
          <cell r="J359">
            <v>7</v>
          </cell>
          <cell r="K359" t="str">
            <v xml:space="preserve">5.2 </v>
          </cell>
          <cell r="M359" t="str">
            <v>S26AP-12212</v>
          </cell>
          <cell r="N359" t="str">
            <v>Cisco 2600 Series IOS ENTERPRISE PLUS</v>
          </cell>
          <cell r="O359">
            <v>1300</v>
          </cell>
          <cell r="P359">
            <v>650</v>
          </cell>
          <cell r="Q359">
            <v>1</v>
          </cell>
          <cell r="R359">
            <v>650</v>
          </cell>
          <cell r="S359">
            <v>37720</v>
          </cell>
          <cell r="W359" t="str">
            <v>3851724</v>
          </cell>
          <cell r="X359">
            <v>650</v>
          </cell>
          <cell r="Z359" t="str">
            <v>2030000196</v>
          </cell>
          <cell r="AA359">
            <v>741</v>
          </cell>
          <cell r="AB359">
            <v>37721</v>
          </cell>
          <cell r="AE359" t="str">
            <v>C</v>
          </cell>
          <cell r="AF359" t="str">
            <v>C</v>
          </cell>
          <cell r="AG359">
            <v>48.75</v>
          </cell>
          <cell r="AH359">
            <v>21</v>
          </cell>
          <cell r="AI359">
            <v>741</v>
          </cell>
          <cell r="AJ359">
            <v>741</v>
          </cell>
        </row>
        <row r="360">
          <cell r="A360">
            <v>168971</v>
          </cell>
          <cell r="B360">
            <v>37692</v>
          </cell>
          <cell r="D360" t="str">
            <v>ENTEL CHILE - 1600001785</v>
          </cell>
          <cell r="E360">
            <v>3569036</v>
          </cell>
          <cell r="F360">
            <v>8073516</v>
          </cell>
          <cell r="G360">
            <v>2608616</v>
          </cell>
          <cell r="H360">
            <v>37700</v>
          </cell>
          <cell r="I360">
            <v>0.5</v>
          </cell>
          <cell r="J360">
            <v>7</v>
          </cell>
          <cell r="K360" t="str">
            <v xml:space="preserve">5.3 </v>
          </cell>
          <cell r="M360" t="str">
            <v>MEM2600XM-32U64D</v>
          </cell>
          <cell r="N360" t="str">
            <v xml:space="preserve">32 to 64MB DRAM factory upgrade for Cisco 261x/2xXM  </v>
          </cell>
          <cell r="O360">
            <v>950</v>
          </cell>
          <cell r="P360">
            <v>475</v>
          </cell>
          <cell r="Q360">
            <v>1</v>
          </cell>
          <cell r="R360">
            <v>475</v>
          </cell>
          <cell r="S360">
            <v>37720</v>
          </cell>
          <cell r="W360" t="str">
            <v>3851724</v>
          </cell>
          <cell r="X360">
            <v>475</v>
          </cell>
          <cell r="Z360" t="str">
            <v>2030000196</v>
          </cell>
          <cell r="AA360">
            <v>542</v>
          </cell>
          <cell r="AB360">
            <v>37721</v>
          </cell>
          <cell r="AE360" t="str">
            <v>C</v>
          </cell>
          <cell r="AF360" t="str">
            <v>C</v>
          </cell>
          <cell r="AG360">
            <v>35.625</v>
          </cell>
          <cell r="AH360">
            <v>26</v>
          </cell>
          <cell r="AI360">
            <v>542</v>
          </cell>
          <cell r="AJ360">
            <v>542</v>
          </cell>
        </row>
        <row r="361">
          <cell r="A361">
            <v>168971</v>
          </cell>
          <cell r="B361">
            <v>37692</v>
          </cell>
          <cell r="D361" t="str">
            <v>ENTEL CHILE - 1600001785</v>
          </cell>
          <cell r="E361">
            <v>3569036</v>
          </cell>
          <cell r="F361">
            <v>8073516</v>
          </cell>
          <cell r="G361">
            <v>2608616</v>
          </cell>
          <cell r="H361">
            <v>37700</v>
          </cell>
          <cell r="I361">
            <v>0.5</v>
          </cell>
          <cell r="J361">
            <v>7</v>
          </cell>
          <cell r="K361" t="str">
            <v xml:space="preserve">5.4 </v>
          </cell>
          <cell r="M361" t="str">
            <v>NM-1E</v>
          </cell>
          <cell r="N361" t="str">
            <v>1-Port Ethernet Network Module</v>
          </cell>
          <cell r="O361">
            <v>1000</v>
          </cell>
          <cell r="P361">
            <v>500</v>
          </cell>
          <cell r="Q361">
            <v>1</v>
          </cell>
          <cell r="R361">
            <v>500</v>
          </cell>
          <cell r="S361">
            <v>37720</v>
          </cell>
          <cell r="W361" t="str">
            <v>3851724</v>
          </cell>
          <cell r="X361">
            <v>500</v>
          </cell>
          <cell r="Z361" t="str">
            <v>2030000196</v>
          </cell>
          <cell r="AA361">
            <v>570</v>
          </cell>
          <cell r="AB361">
            <v>37721</v>
          </cell>
          <cell r="AE361" t="str">
            <v>C</v>
          </cell>
          <cell r="AF361" t="str">
            <v>C</v>
          </cell>
          <cell r="AG361">
            <v>37.5</v>
          </cell>
          <cell r="AH361">
            <v>27</v>
          </cell>
          <cell r="AI361">
            <v>570</v>
          </cell>
          <cell r="AJ361">
            <v>570</v>
          </cell>
        </row>
        <row r="362">
          <cell r="A362">
            <v>168971</v>
          </cell>
          <cell r="B362">
            <v>37692</v>
          </cell>
          <cell r="D362" t="str">
            <v>ENTEL CHILE - 1600001785</v>
          </cell>
          <cell r="E362">
            <v>3569036</v>
          </cell>
          <cell r="F362">
            <v>8073516</v>
          </cell>
          <cell r="G362">
            <v>2608616</v>
          </cell>
          <cell r="H362">
            <v>37700</v>
          </cell>
          <cell r="I362">
            <v>0.5</v>
          </cell>
          <cell r="J362">
            <v>7</v>
          </cell>
          <cell r="K362" t="str">
            <v xml:space="preserve">5.5 </v>
          </cell>
          <cell r="M362" t="str">
            <v>WIC-2T</v>
          </cell>
          <cell r="N362" t="str">
            <v>2-Port Serial WAN Interface Card</v>
          </cell>
          <cell r="O362">
            <v>700</v>
          </cell>
          <cell r="P362">
            <v>350</v>
          </cell>
          <cell r="Q362">
            <v>1</v>
          </cell>
          <cell r="R362">
            <v>350</v>
          </cell>
          <cell r="S362">
            <v>37720</v>
          </cell>
          <cell r="W362" t="str">
            <v>3851724</v>
          </cell>
          <cell r="X362">
            <v>350</v>
          </cell>
          <cell r="Z362" t="str">
            <v>2030000196</v>
          </cell>
          <cell r="AA362">
            <v>399</v>
          </cell>
          <cell r="AB362">
            <v>37721</v>
          </cell>
          <cell r="AE362" t="str">
            <v>C</v>
          </cell>
          <cell r="AF362" t="str">
            <v>C</v>
          </cell>
          <cell r="AG362">
            <v>26.25</v>
          </cell>
          <cell r="AH362">
            <v>3</v>
          </cell>
          <cell r="AI362">
            <v>399</v>
          </cell>
          <cell r="AJ362">
            <v>399</v>
          </cell>
        </row>
        <row r="363">
          <cell r="A363">
            <v>168971</v>
          </cell>
          <cell r="B363">
            <v>37692</v>
          </cell>
          <cell r="D363" t="str">
            <v>ENTEL CHILE - 1600001785</v>
          </cell>
          <cell r="E363">
            <v>3569036</v>
          </cell>
          <cell r="F363">
            <v>8073516</v>
          </cell>
          <cell r="G363">
            <v>2608616</v>
          </cell>
          <cell r="H363">
            <v>37700</v>
          </cell>
          <cell r="I363">
            <v>0.5</v>
          </cell>
          <cell r="J363">
            <v>7</v>
          </cell>
          <cell r="K363" t="str">
            <v xml:space="preserve">5.6 </v>
          </cell>
          <cell r="M363" t="str">
            <v>CAB-SS-V35MT</v>
          </cell>
          <cell r="N363" t="str">
            <v>V.35 Cable, DTE Male to Smart Serial, 10 Feet</v>
          </cell>
          <cell r="O363">
            <v>100</v>
          </cell>
          <cell r="P363">
            <v>50</v>
          </cell>
          <cell r="Q363">
            <v>2</v>
          </cell>
          <cell r="R363">
            <v>100</v>
          </cell>
          <cell r="S363">
            <v>37720</v>
          </cell>
          <cell r="W363" t="str">
            <v>3851724</v>
          </cell>
          <cell r="X363">
            <v>100</v>
          </cell>
          <cell r="Z363" t="str">
            <v>2030000196</v>
          </cell>
          <cell r="AA363">
            <v>114</v>
          </cell>
          <cell r="AB363">
            <v>37721</v>
          </cell>
          <cell r="AF363" t="str">
            <v>-</v>
          </cell>
          <cell r="AG363">
            <v>0</v>
          </cell>
          <cell r="AH363">
            <v>7</v>
          </cell>
          <cell r="AI363">
            <v>57</v>
          </cell>
          <cell r="AJ363">
            <v>114</v>
          </cell>
        </row>
        <row r="364">
          <cell r="A364">
            <v>168971</v>
          </cell>
          <cell r="B364">
            <v>37692</v>
          </cell>
          <cell r="D364" t="str">
            <v>ENTEL CHILE - 1600001785</v>
          </cell>
          <cell r="E364">
            <v>3569036</v>
          </cell>
          <cell r="F364">
            <v>8073516</v>
          </cell>
          <cell r="G364">
            <v>2608616</v>
          </cell>
          <cell r="H364">
            <v>37700</v>
          </cell>
          <cell r="I364">
            <v>0.5</v>
          </cell>
          <cell r="J364">
            <v>7</v>
          </cell>
          <cell r="K364" t="str">
            <v xml:space="preserve">5.7 </v>
          </cell>
          <cell r="M364" t="str">
            <v>MEM2600XM-16FS-INC</v>
          </cell>
          <cell r="N364" t="e">
            <v>#N/A</v>
          </cell>
          <cell r="O364">
            <v>0</v>
          </cell>
          <cell r="P364">
            <v>0</v>
          </cell>
          <cell r="Q364">
            <v>1</v>
          </cell>
          <cell r="R364">
            <v>0</v>
          </cell>
          <cell r="S364">
            <v>37720</v>
          </cell>
          <cell r="W364" t="str">
            <v>3851724</v>
          </cell>
          <cell r="X364">
            <v>0</v>
          </cell>
          <cell r="Z364" t="str">
            <v>2030000196</v>
          </cell>
          <cell r="AA364">
            <v>0</v>
          </cell>
          <cell r="AB364">
            <v>37721</v>
          </cell>
          <cell r="AF364" t="str">
            <v>c</v>
          </cell>
          <cell r="AG364">
            <v>0</v>
          </cell>
          <cell r="AH364">
            <v>22</v>
          </cell>
          <cell r="AI364">
            <v>0</v>
          </cell>
          <cell r="AJ364">
            <v>0</v>
          </cell>
        </row>
        <row r="365">
          <cell r="A365">
            <v>168971</v>
          </cell>
          <cell r="B365">
            <v>37692</v>
          </cell>
          <cell r="D365" t="str">
            <v>ENTEL CHILE - 1600001785</v>
          </cell>
          <cell r="E365">
            <v>3569036</v>
          </cell>
          <cell r="F365">
            <v>8073516</v>
          </cell>
          <cell r="G365">
            <v>2608616</v>
          </cell>
          <cell r="H365">
            <v>37700</v>
          </cell>
          <cell r="I365">
            <v>0.5</v>
          </cell>
          <cell r="J365">
            <v>6</v>
          </cell>
          <cell r="K365" t="str">
            <v xml:space="preserve">6.0 </v>
          </cell>
          <cell r="M365" t="str">
            <v>CISCO3745</v>
          </cell>
          <cell r="N365" t="str">
            <v>3700 Series, 4-Slot, Dual FE, Multiservice Access Router</v>
          </cell>
          <cell r="O365">
            <v>12000</v>
          </cell>
          <cell r="P365">
            <v>6000</v>
          </cell>
          <cell r="Q365">
            <v>1</v>
          </cell>
          <cell r="R365">
            <v>6000</v>
          </cell>
          <cell r="W365" t="str">
            <v>3858846</v>
          </cell>
          <cell r="X365">
            <v>6000</v>
          </cell>
          <cell r="Z365" t="str">
            <v>2030000212</v>
          </cell>
          <cell r="AA365">
            <v>6840</v>
          </cell>
          <cell r="AB365">
            <v>37735</v>
          </cell>
          <cell r="AE365" t="str">
            <v>C</v>
          </cell>
          <cell r="AF365" t="str">
            <v>C</v>
          </cell>
          <cell r="AG365">
            <v>450</v>
          </cell>
          <cell r="AH365">
            <v>13</v>
          </cell>
          <cell r="AI365">
            <v>6840</v>
          </cell>
          <cell r="AJ365">
            <v>6840</v>
          </cell>
        </row>
        <row r="366">
          <cell r="A366">
            <v>168971</v>
          </cell>
          <cell r="B366">
            <v>37692</v>
          </cell>
          <cell r="D366" t="str">
            <v>ENTEL CHILE - 1600001785</v>
          </cell>
          <cell r="E366">
            <v>3569036</v>
          </cell>
          <cell r="F366">
            <v>8073516</v>
          </cell>
          <cell r="G366">
            <v>2608616</v>
          </cell>
          <cell r="H366">
            <v>37700</v>
          </cell>
          <cell r="I366">
            <v>0.5</v>
          </cell>
          <cell r="J366">
            <v>6</v>
          </cell>
          <cell r="K366" t="str">
            <v xml:space="preserve">6.1 </v>
          </cell>
          <cell r="M366" t="str">
            <v>PWR-3745-AC/2</v>
          </cell>
          <cell r="N366" t="str">
            <v>Redundant AC System Power Supply for the Cisco 3745</v>
          </cell>
          <cell r="O366">
            <v>800</v>
          </cell>
          <cell r="P366">
            <v>400</v>
          </cell>
          <cell r="Q366">
            <v>1</v>
          </cell>
          <cell r="R366">
            <v>400</v>
          </cell>
          <cell r="W366" t="str">
            <v>3858846</v>
          </cell>
          <cell r="X366">
            <v>400</v>
          </cell>
          <cell r="Z366" t="str">
            <v>2030000212</v>
          </cell>
          <cell r="AA366">
            <v>456</v>
          </cell>
          <cell r="AB366">
            <v>37735</v>
          </cell>
          <cell r="AE366" t="str">
            <v>C</v>
          </cell>
          <cell r="AF366" t="str">
            <v>C</v>
          </cell>
          <cell r="AG366">
            <v>30</v>
          </cell>
          <cell r="AH366">
            <v>20</v>
          </cell>
          <cell r="AI366">
            <v>456</v>
          </cell>
          <cell r="AJ366">
            <v>456</v>
          </cell>
        </row>
        <row r="367">
          <cell r="A367">
            <v>168971</v>
          </cell>
          <cell r="B367">
            <v>37692</v>
          </cell>
          <cell r="D367" t="str">
            <v>ENTEL CHILE - 1600001785</v>
          </cell>
          <cell r="E367">
            <v>3569036</v>
          </cell>
          <cell r="F367">
            <v>8073516</v>
          </cell>
          <cell r="G367">
            <v>2608616</v>
          </cell>
          <cell r="H367">
            <v>37700</v>
          </cell>
          <cell r="I367">
            <v>0.5</v>
          </cell>
          <cell r="J367">
            <v>6</v>
          </cell>
          <cell r="K367" t="str">
            <v xml:space="preserve">6.2 </v>
          </cell>
          <cell r="M367" t="str">
            <v>CAB-ACI</v>
          </cell>
          <cell r="N367" t="str">
            <v>Power Cord-Italian</v>
          </cell>
          <cell r="O367">
            <v>0</v>
          </cell>
          <cell r="P367">
            <v>0</v>
          </cell>
          <cell r="Q367">
            <v>2</v>
          </cell>
          <cell r="R367">
            <v>0</v>
          </cell>
          <cell r="W367" t="str">
            <v>3858846</v>
          </cell>
          <cell r="X367">
            <v>0</v>
          </cell>
          <cell r="Z367" t="str">
            <v>2030000212</v>
          </cell>
          <cell r="AA367">
            <v>0</v>
          </cell>
          <cell r="AB367">
            <v>37735</v>
          </cell>
          <cell r="AF367" t="str">
            <v>-</v>
          </cell>
          <cell r="AG367">
            <v>0</v>
          </cell>
          <cell r="AH367">
            <v>13</v>
          </cell>
          <cell r="AI367">
            <v>0</v>
          </cell>
          <cell r="AJ367">
            <v>0</v>
          </cell>
        </row>
        <row r="368">
          <cell r="A368">
            <v>168971</v>
          </cell>
          <cell r="B368">
            <v>37692</v>
          </cell>
          <cell r="D368" t="str">
            <v>ENTEL CHILE - 1600001785</v>
          </cell>
          <cell r="E368">
            <v>3569036</v>
          </cell>
          <cell r="F368">
            <v>8073516</v>
          </cell>
          <cell r="G368">
            <v>2608616</v>
          </cell>
          <cell r="H368">
            <v>37700</v>
          </cell>
          <cell r="I368">
            <v>0.5</v>
          </cell>
          <cell r="J368">
            <v>6</v>
          </cell>
          <cell r="K368" t="str">
            <v xml:space="preserve">6.3 </v>
          </cell>
          <cell r="M368" t="str">
            <v>S374A-12211YT</v>
          </cell>
          <cell r="N368" t="str">
            <v>Cisco 3745 Series IOS ENTERPRISE PLUS</v>
          </cell>
          <cell r="O368">
            <v>2000</v>
          </cell>
          <cell r="P368">
            <v>1000</v>
          </cell>
          <cell r="Q368">
            <v>1</v>
          </cell>
          <cell r="R368">
            <v>1000</v>
          </cell>
          <cell r="W368" t="str">
            <v>3858846</v>
          </cell>
          <cell r="X368">
            <v>1000</v>
          </cell>
          <cell r="Z368" t="str">
            <v>2030000212</v>
          </cell>
          <cell r="AA368">
            <v>1140</v>
          </cell>
          <cell r="AB368">
            <v>37735</v>
          </cell>
          <cell r="AE368" t="str">
            <v>C</v>
          </cell>
          <cell r="AF368" t="str">
            <v>C</v>
          </cell>
          <cell r="AG368">
            <v>75</v>
          </cell>
          <cell r="AH368">
            <v>23</v>
          </cell>
          <cell r="AI368">
            <v>1140</v>
          </cell>
          <cell r="AJ368">
            <v>1140</v>
          </cell>
        </row>
        <row r="369">
          <cell r="A369">
            <v>168971</v>
          </cell>
          <cell r="B369">
            <v>37692</v>
          </cell>
          <cell r="D369" t="str">
            <v>ENTEL CHILE - 1600001785</v>
          </cell>
          <cell r="E369">
            <v>3569036</v>
          </cell>
          <cell r="F369">
            <v>8073516</v>
          </cell>
          <cell r="G369">
            <v>2608616</v>
          </cell>
          <cell r="H369">
            <v>37700</v>
          </cell>
          <cell r="I369">
            <v>0.5</v>
          </cell>
          <cell r="J369">
            <v>6</v>
          </cell>
          <cell r="K369" t="str">
            <v xml:space="preserve">6.4 </v>
          </cell>
          <cell r="M369" t="str">
            <v>NM-1FE2W</v>
          </cell>
          <cell r="N369" t="str">
            <v>1 10/100 Ethernet 2 WAN Card Slot Network Module</v>
          </cell>
          <cell r="O369">
            <v>2300</v>
          </cell>
          <cell r="P369">
            <v>1150</v>
          </cell>
          <cell r="Q369">
            <v>1</v>
          </cell>
          <cell r="R369">
            <v>1150</v>
          </cell>
          <cell r="W369" t="str">
            <v>3858846</v>
          </cell>
          <cell r="X369">
            <v>1150</v>
          </cell>
          <cell r="Z369" t="str">
            <v>2030000212</v>
          </cell>
          <cell r="AA369">
            <v>1311</v>
          </cell>
          <cell r="AB369">
            <v>37735</v>
          </cell>
          <cell r="AE369" t="str">
            <v>C</v>
          </cell>
          <cell r="AF369" t="str">
            <v>C</v>
          </cell>
          <cell r="AG369">
            <v>86.25</v>
          </cell>
          <cell r="AH369">
            <v>8</v>
          </cell>
          <cell r="AI369">
            <v>1311</v>
          </cell>
          <cell r="AJ369">
            <v>1311</v>
          </cell>
        </row>
        <row r="370">
          <cell r="A370">
            <v>168971</v>
          </cell>
          <cell r="B370">
            <v>37692</v>
          </cell>
          <cell r="D370" t="str">
            <v>ENTEL CHILE - 1600001785</v>
          </cell>
          <cell r="E370">
            <v>3569036</v>
          </cell>
          <cell r="F370">
            <v>8073516</v>
          </cell>
          <cell r="G370">
            <v>2608616</v>
          </cell>
          <cell r="H370">
            <v>37700</v>
          </cell>
          <cell r="I370">
            <v>0.5</v>
          </cell>
          <cell r="J370">
            <v>6</v>
          </cell>
          <cell r="K370" t="str">
            <v xml:space="preserve">6.5 </v>
          </cell>
          <cell r="M370" t="str">
            <v>WIC-1T</v>
          </cell>
          <cell r="N370" t="str">
            <v>1-Port Serial WAN Interface Card</v>
          </cell>
          <cell r="O370">
            <v>400</v>
          </cell>
          <cell r="P370">
            <v>200</v>
          </cell>
          <cell r="Q370">
            <v>2</v>
          </cell>
          <cell r="R370">
            <v>400</v>
          </cell>
          <cell r="W370" t="str">
            <v>3858846</v>
          </cell>
          <cell r="X370">
            <v>400</v>
          </cell>
          <cell r="Z370" t="str">
            <v>2030000212</v>
          </cell>
          <cell r="AA370">
            <v>456</v>
          </cell>
          <cell r="AB370">
            <v>37735</v>
          </cell>
          <cell r="AE370" t="str">
            <v>D</v>
          </cell>
          <cell r="AF370" t="str">
            <v>D</v>
          </cell>
          <cell r="AG370">
            <v>8</v>
          </cell>
          <cell r="AH370">
            <v>16</v>
          </cell>
          <cell r="AI370">
            <v>228</v>
          </cell>
          <cell r="AJ370">
            <v>456</v>
          </cell>
        </row>
        <row r="371">
          <cell r="A371">
            <v>168971</v>
          </cell>
          <cell r="B371">
            <v>37692</v>
          </cell>
          <cell r="D371" t="str">
            <v>ENTEL CHILE - 1600001785</v>
          </cell>
          <cell r="E371">
            <v>3569036</v>
          </cell>
          <cell r="F371">
            <v>8073516</v>
          </cell>
          <cell r="G371">
            <v>2608616</v>
          </cell>
          <cell r="H371">
            <v>37700</v>
          </cell>
          <cell r="I371">
            <v>0.5</v>
          </cell>
          <cell r="J371">
            <v>6</v>
          </cell>
          <cell r="K371" t="str">
            <v xml:space="preserve">6.6 </v>
          </cell>
          <cell r="M371" t="str">
            <v>NM-1CE1B</v>
          </cell>
          <cell r="N371" t="str">
            <v>1-Port Channelized E1/ISDN-PRI Balanced Network Module</v>
          </cell>
          <cell r="O371">
            <v>2600</v>
          </cell>
          <cell r="P371">
            <v>1300</v>
          </cell>
          <cell r="Q371">
            <v>1</v>
          </cell>
          <cell r="R371">
            <v>1300</v>
          </cell>
          <cell r="W371" t="str">
            <v>3858846</v>
          </cell>
          <cell r="X371">
            <v>1300</v>
          </cell>
          <cell r="Z371" t="str">
            <v>2030000212</v>
          </cell>
          <cell r="AA371">
            <v>1482</v>
          </cell>
          <cell r="AB371">
            <v>37735</v>
          </cell>
          <cell r="AE371" t="str">
            <v>C</v>
          </cell>
          <cell r="AF371" t="str">
            <v>C</v>
          </cell>
          <cell r="AG371">
            <v>97.5</v>
          </cell>
          <cell r="AH371">
            <v>12</v>
          </cell>
          <cell r="AI371">
            <v>1482</v>
          </cell>
          <cell r="AJ371">
            <v>1482</v>
          </cell>
        </row>
        <row r="372">
          <cell r="A372">
            <v>168971</v>
          </cell>
          <cell r="B372">
            <v>37692</v>
          </cell>
          <cell r="D372" t="str">
            <v>ENTEL CHILE - 1600001785</v>
          </cell>
          <cell r="E372">
            <v>3569036</v>
          </cell>
          <cell r="F372">
            <v>8073516</v>
          </cell>
          <cell r="G372">
            <v>2608616</v>
          </cell>
          <cell r="H372">
            <v>37700</v>
          </cell>
          <cell r="I372">
            <v>0.5</v>
          </cell>
          <cell r="J372">
            <v>6</v>
          </cell>
          <cell r="K372" t="str">
            <v xml:space="preserve">6.7 </v>
          </cell>
          <cell r="M372" t="str">
            <v>WIC-1T</v>
          </cell>
          <cell r="N372" t="str">
            <v>1-Port Serial WAN Interface Card</v>
          </cell>
          <cell r="O372">
            <v>400</v>
          </cell>
          <cell r="P372">
            <v>200</v>
          </cell>
          <cell r="Q372">
            <v>2</v>
          </cell>
          <cell r="R372">
            <v>400</v>
          </cell>
          <cell r="W372" t="str">
            <v>3858846</v>
          </cell>
          <cell r="X372">
            <v>400</v>
          </cell>
          <cell r="Z372" t="str">
            <v>2030000212</v>
          </cell>
          <cell r="AA372">
            <v>456</v>
          </cell>
          <cell r="AB372">
            <v>37735</v>
          </cell>
          <cell r="AE372" t="str">
            <v>D</v>
          </cell>
          <cell r="AF372" t="str">
            <v>D</v>
          </cell>
          <cell r="AG372">
            <v>8</v>
          </cell>
          <cell r="AH372">
            <v>16</v>
          </cell>
          <cell r="AI372">
            <v>228</v>
          </cell>
          <cell r="AJ372">
            <v>456</v>
          </cell>
        </row>
        <row r="373">
          <cell r="A373">
            <v>168971</v>
          </cell>
          <cell r="B373">
            <v>37692</v>
          </cell>
          <cell r="D373" t="str">
            <v>ENTEL CHILE - 1600001785</v>
          </cell>
          <cell r="E373">
            <v>3569036</v>
          </cell>
          <cell r="F373">
            <v>8073516</v>
          </cell>
          <cell r="G373">
            <v>2608616</v>
          </cell>
          <cell r="H373">
            <v>37700</v>
          </cell>
          <cell r="I373">
            <v>0.5</v>
          </cell>
          <cell r="J373">
            <v>6</v>
          </cell>
          <cell r="K373" t="str">
            <v xml:space="preserve">6.8 </v>
          </cell>
          <cell r="M373" t="str">
            <v>WIC-2T</v>
          </cell>
          <cell r="N373" t="str">
            <v>2-Port Serial WAN Interface Card</v>
          </cell>
          <cell r="O373">
            <v>700</v>
          </cell>
          <cell r="P373">
            <v>350</v>
          </cell>
          <cell r="Q373">
            <v>1</v>
          </cell>
          <cell r="R373">
            <v>350</v>
          </cell>
          <cell r="W373" t="str">
            <v>3858846</v>
          </cell>
          <cell r="X373">
            <v>350</v>
          </cell>
          <cell r="Z373" t="str">
            <v>2030000212</v>
          </cell>
          <cell r="AA373">
            <v>399</v>
          </cell>
          <cell r="AB373">
            <v>37735</v>
          </cell>
          <cell r="AE373" t="str">
            <v>C</v>
          </cell>
          <cell r="AF373" t="str">
            <v>C</v>
          </cell>
          <cell r="AG373">
            <v>26.25</v>
          </cell>
          <cell r="AH373">
            <v>3</v>
          </cell>
          <cell r="AI373">
            <v>399</v>
          </cell>
          <cell r="AJ373">
            <v>399</v>
          </cell>
        </row>
        <row r="374">
          <cell r="A374">
            <v>168971</v>
          </cell>
          <cell r="B374">
            <v>37692</v>
          </cell>
          <cell r="D374" t="str">
            <v>ENTEL CHILE - 1600001785</v>
          </cell>
          <cell r="E374">
            <v>3569036</v>
          </cell>
          <cell r="F374">
            <v>8073516</v>
          </cell>
          <cell r="G374">
            <v>2608616</v>
          </cell>
          <cell r="H374">
            <v>37700</v>
          </cell>
          <cell r="I374">
            <v>0.5</v>
          </cell>
          <cell r="J374">
            <v>6</v>
          </cell>
          <cell r="K374" t="str">
            <v xml:space="preserve">6.9 </v>
          </cell>
          <cell r="M374" t="str">
            <v>CAB-SS-V35MT</v>
          </cell>
          <cell r="N374" t="str">
            <v>V.35 Cable, DTE Male to Smart Serial, 10 Feet</v>
          </cell>
          <cell r="O374">
            <v>100</v>
          </cell>
          <cell r="P374">
            <v>50</v>
          </cell>
          <cell r="Q374">
            <v>2</v>
          </cell>
          <cell r="R374">
            <v>100</v>
          </cell>
          <cell r="W374" t="str">
            <v>3858846</v>
          </cell>
          <cell r="X374">
            <v>100</v>
          </cell>
          <cell r="Z374" t="str">
            <v>2030000212</v>
          </cell>
          <cell r="AA374">
            <v>114</v>
          </cell>
          <cell r="AB374">
            <v>37735</v>
          </cell>
          <cell r="AF374" t="str">
            <v>-</v>
          </cell>
          <cell r="AG374">
            <v>0</v>
          </cell>
          <cell r="AH374">
            <v>7</v>
          </cell>
          <cell r="AI374">
            <v>57</v>
          </cell>
          <cell r="AJ374">
            <v>114</v>
          </cell>
        </row>
        <row r="375">
          <cell r="A375">
            <v>168971</v>
          </cell>
          <cell r="B375">
            <v>37692</v>
          </cell>
          <cell r="D375" t="str">
            <v>ENTEL CHILE - 1600001785</v>
          </cell>
          <cell r="E375">
            <v>3569036</v>
          </cell>
          <cell r="F375">
            <v>8073516</v>
          </cell>
          <cell r="G375">
            <v>2608616</v>
          </cell>
          <cell r="H375">
            <v>37700</v>
          </cell>
          <cell r="I375">
            <v>0.5</v>
          </cell>
          <cell r="J375">
            <v>6</v>
          </cell>
          <cell r="K375" t="str">
            <v xml:space="preserve">6.10 </v>
          </cell>
          <cell r="M375" t="str">
            <v>CAB-V35MT</v>
          </cell>
          <cell r="N375" t="str">
            <v>V.35 Cable, DTE, Male, 10 Feet</v>
          </cell>
          <cell r="O375">
            <v>100</v>
          </cell>
          <cell r="P375">
            <v>50</v>
          </cell>
          <cell r="Q375">
            <v>4</v>
          </cell>
          <cell r="R375">
            <v>200</v>
          </cell>
          <cell r="W375" t="str">
            <v>3858846</v>
          </cell>
          <cell r="X375">
            <v>200</v>
          </cell>
          <cell r="Z375" t="str">
            <v>2030000212</v>
          </cell>
          <cell r="AA375">
            <v>228</v>
          </cell>
          <cell r="AB375">
            <v>37735</v>
          </cell>
          <cell r="AF375" t="str">
            <v>-</v>
          </cell>
          <cell r="AG375">
            <v>0</v>
          </cell>
          <cell r="AH375">
            <v>11</v>
          </cell>
          <cell r="AI375">
            <v>57</v>
          </cell>
          <cell r="AJ375">
            <v>228</v>
          </cell>
        </row>
        <row r="376">
          <cell r="A376">
            <v>168971</v>
          </cell>
          <cell r="B376">
            <v>37692</v>
          </cell>
          <cell r="D376" t="str">
            <v>ENTEL CHILE - 1600001785</v>
          </cell>
          <cell r="E376">
            <v>3569036</v>
          </cell>
          <cell r="F376">
            <v>8073516</v>
          </cell>
          <cell r="G376">
            <v>2608616</v>
          </cell>
          <cell r="H376">
            <v>37700</v>
          </cell>
          <cell r="I376">
            <v>0.5</v>
          </cell>
          <cell r="J376">
            <v>6</v>
          </cell>
          <cell r="K376" t="str">
            <v xml:space="preserve">6.11 </v>
          </cell>
          <cell r="M376" t="str">
            <v>PWR-3745-AC</v>
          </cell>
          <cell r="N376" t="e">
            <v>#N/A</v>
          </cell>
          <cell r="O376">
            <v>0</v>
          </cell>
          <cell r="P376">
            <v>0</v>
          </cell>
          <cell r="Q376">
            <v>1</v>
          </cell>
          <cell r="R376">
            <v>0</v>
          </cell>
          <cell r="W376" t="str">
            <v>3858846</v>
          </cell>
          <cell r="X376">
            <v>0</v>
          </cell>
          <cell r="Z376" t="str">
            <v>2030000212</v>
          </cell>
          <cell r="AA376">
            <v>0</v>
          </cell>
          <cell r="AB376">
            <v>37735</v>
          </cell>
          <cell r="AF376" t="str">
            <v>c</v>
          </cell>
          <cell r="AG376">
            <v>0</v>
          </cell>
          <cell r="AH376">
            <v>13</v>
          </cell>
          <cell r="AI376">
            <v>0</v>
          </cell>
          <cell r="AJ376">
            <v>0</v>
          </cell>
        </row>
        <row r="377">
          <cell r="A377">
            <v>168971</v>
          </cell>
          <cell r="B377">
            <v>37692</v>
          </cell>
          <cell r="D377" t="str">
            <v>ENTEL CHILE - 1600001785</v>
          </cell>
          <cell r="E377">
            <v>3569036</v>
          </cell>
          <cell r="F377">
            <v>8073516</v>
          </cell>
          <cell r="G377">
            <v>2608616</v>
          </cell>
          <cell r="H377">
            <v>37700</v>
          </cell>
          <cell r="I377">
            <v>0.5</v>
          </cell>
          <cell r="J377">
            <v>2</v>
          </cell>
          <cell r="K377" t="str">
            <v xml:space="preserve">7.0 </v>
          </cell>
          <cell r="M377" t="str">
            <v>CISCO1721</v>
          </cell>
          <cell r="N377" t="str">
            <v>10/100BaseT Modular Router w/2 WAN slots, 16M Flash/32M DRAM</v>
          </cell>
          <cell r="O377">
            <v>1195</v>
          </cell>
          <cell r="P377">
            <v>597.5</v>
          </cell>
          <cell r="Q377">
            <v>8</v>
          </cell>
          <cell r="R377">
            <v>4780</v>
          </cell>
          <cell r="AE377" t="str">
            <v>D</v>
          </cell>
          <cell r="AF377" t="str">
            <v>D</v>
          </cell>
          <cell r="AG377">
            <v>95.600000000000009</v>
          </cell>
          <cell r="AH377">
            <v>17</v>
          </cell>
          <cell r="AI377">
            <v>681</v>
          </cell>
          <cell r="AJ377">
            <v>5448</v>
          </cell>
        </row>
        <row r="378">
          <cell r="A378">
            <v>168971</v>
          </cell>
          <cell r="B378">
            <v>37692</v>
          </cell>
          <cell r="D378" t="str">
            <v>ENTEL CHILE - 1600001785</v>
          </cell>
          <cell r="E378">
            <v>3569036</v>
          </cell>
          <cell r="F378">
            <v>8073516</v>
          </cell>
          <cell r="G378">
            <v>2608616</v>
          </cell>
          <cell r="H378">
            <v>37700</v>
          </cell>
          <cell r="I378">
            <v>0.5</v>
          </cell>
          <cell r="J378">
            <v>2</v>
          </cell>
          <cell r="K378" t="str">
            <v xml:space="preserve">7.1 </v>
          </cell>
          <cell r="M378" t="str">
            <v>WIC-1T</v>
          </cell>
          <cell r="N378" t="str">
            <v>1-Port Serial WAN Interface Card</v>
          </cell>
          <cell r="O378">
            <v>400</v>
          </cell>
          <cell r="P378">
            <v>200</v>
          </cell>
          <cell r="Q378">
            <v>8</v>
          </cell>
          <cell r="R378">
            <v>1600</v>
          </cell>
          <cell r="AE378" t="str">
            <v>D</v>
          </cell>
          <cell r="AF378" t="str">
            <v>D</v>
          </cell>
          <cell r="AG378">
            <v>32</v>
          </cell>
          <cell r="AH378">
            <v>16</v>
          </cell>
          <cell r="AI378">
            <v>228</v>
          </cell>
          <cell r="AJ378">
            <v>1824</v>
          </cell>
        </row>
        <row r="379">
          <cell r="A379">
            <v>168971</v>
          </cell>
          <cell r="B379">
            <v>37692</v>
          </cell>
          <cell r="D379" t="str">
            <v>ENTEL CHILE - 1600001785</v>
          </cell>
          <cell r="E379">
            <v>3569036</v>
          </cell>
          <cell r="F379">
            <v>8073516</v>
          </cell>
          <cell r="G379">
            <v>2608616</v>
          </cell>
          <cell r="H379">
            <v>37700</v>
          </cell>
          <cell r="I379">
            <v>0.5</v>
          </cell>
          <cell r="J379">
            <v>2</v>
          </cell>
          <cell r="K379" t="str">
            <v xml:space="preserve">7.2 </v>
          </cell>
          <cell r="M379" t="str">
            <v>MEM17XX-32U48D</v>
          </cell>
          <cell r="N379" t="str">
            <v>Cisco 1710/1721/1751/1760 32MB to 48MB DRAM Factory Upgrade</v>
          </cell>
          <cell r="O379">
            <v>500</v>
          </cell>
          <cell r="P379">
            <v>250</v>
          </cell>
          <cell r="Q379">
            <v>8</v>
          </cell>
          <cell r="R379">
            <v>2000</v>
          </cell>
          <cell r="AE379" t="str">
            <v>D</v>
          </cell>
          <cell r="AF379" t="str">
            <v>D</v>
          </cell>
          <cell r="AG379">
            <v>40</v>
          </cell>
          <cell r="AH379">
            <v>14</v>
          </cell>
          <cell r="AI379">
            <v>285</v>
          </cell>
          <cell r="AJ379">
            <v>2280</v>
          </cell>
        </row>
        <row r="380">
          <cell r="A380">
            <v>168971</v>
          </cell>
          <cell r="B380">
            <v>37692</v>
          </cell>
          <cell r="D380" t="str">
            <v>ENTEL CHILE - 1600001785</v>
          </cell>
          <cell r="E380">
            <v>3569036</v>
          </cell>
          <cell r="F380">
            <v>8073516</v>
          </cell>
          <cell r="G380">
            <v>2608616</v>
          </cell>
          <cell r="H380">
            <v>37700</v>
          </cell>
          <cell r="I380">
            <v>0.5</v>
          </cell>
          <cell r="J380">
            <v>2</v>
          </cell>
          <cell r="K380" t="str">
            <v xml:space="preserve">7.3 </v>
          </cell>
          <cell r="M380" t="str">
            <v>S17Q7P-12208T</v>
          </cell>
          <cell r="N380" t="str">
            <v>Cisco 1700 IOS IP/ADSL/IPX/AT/IBM PLUS</v>
          </cell>
          <cell r="O380">
            <v>800</v>
          </cell>
          <cell r="P380">
            <v>400</v>
          </cell>
          <cell r="Q380">
            <v>8</v>
          </cell>
          <cell r="R380">
            <v>3200</v>
          </cell>
          <cell r="AE380" t="str">
            <v>D</v>
          </cell>
          <cell r="AF380" t="str">
            <v>D</v>
          </cell>
          <cell r="AG380">
            <v>64</v>
          </cell>
          <cell r="AH380">
            <v>6</v>
          </cell>
          <cell r="AI380">
            <v>456</v>
          </cell>
          <cell r="AJ380">
            <v>3648</v>
          </cell>
        </row>
        <row r="381">
          <cell r="A381">
            <v>168971</v>
          </cell>
          <cell r="B381">
            <v>37692</v>
          </cell>
          <cell r="D381" t="str">
            <v>ENTEL CHILE - 1600001785</v>
          </cell>
          <cell r="E381">
            <v>3569036</v>
          </cell>
          <cell r="F381">
            <v>8073516</v>
          </cell>
          <cell r="G381">
            <v>2608616</v>
          </cell>
          <cell r="H381">
            <v>37700</v>
          </cell>
          <cell r="I381">
            <v>0.5</v>
          </cell>
          <cell r="J381">
            <v>2</v>
          </cell>
          <cell r="K381" t="str">
            <v xml:space="preserve">7.4 </v>
          </cell>
          <cell r="M381" t="str">
            <v>CAB-ACI</v>
          </cell>
          <cell r="N381" t="str">
            <v>Power Cord-Italian</v>
          </cell>
          <cell r="O381">
            <v>0</v>
          </cell>
          <cell r="P381">
            <v>0</v>
          </cell>
          <cell r="Q381">
            <v>8</v>
          </cell>
          <cell r="R381">
            <v>0</v>
          </cell>
          <cell r="AF381" t="str">
            <v>-</v>
          </cell>
          <cell r="AG381">
            <v>0</v>
          </cell>
          <cell r="AH381">
            <v>17</v>
          </cell>
          <cell r="AI381">
            <v>0</v>
          </cell>
          <cell r="AJ381">
            <v>0</v>
          </cell>
        </row>
        <row r="382">
          <cell r="A382">
            <v>168971</v>
          </cell>
          <cell r="B382">
            <v>37692</v>
          </cell>
          <cell r="D382" t="str">
            <v>ENTEL CHILE - 1600001785</v>
          </cell>
          <cell r="E382">
            <v>3569036</v>
          </cell>
          <cell r="F382">
            <v>8073516</v>
          </cell>
          <cell r="G382">
            <v>2608616</v>
          </cell>
          <cell r="H382">
            <v>37700</v>
          </cell>
          <cell r="I382">
            <v>0.5</v>
          </cell>
          <cell r="J382">
            <v>2</v>
          </cell>
          <cell r="K382" t="str">
            <v xml:space="preserve">7.5 </v>
          </cell>
          <cell r="M382" t="str">
            <v>CAB-V35MT</v>
          </cell>
          <cell r="N382" t="str">
            <v>V.35 Cable, DTE, Male, 10 Feet</v>
          </cell>
          <cell r="O382">
            <v>100</v>
          </cell>
          <cell r="P382">
            <v>50</v>
          </cell>
          <cell r="Q382">
            <v>8</v>
          </cell>
          <cell r="R382">
            <v>400</v>
          </cell>
          <cell r="AF382" t="str">
            <v>-</v>
          </cell>
          <cell r="AG382">
            <v>0</v>
          </cell>
          <cell r="AH382">
            <v>11</v>
          </cell>
          <cell r="AI382">
            <v>57</v>
          </cell>
          <cell r="AJ382">
            <v>456</v>
          </cell>
        </row>
        <row r="383">
          <cell r="A383">
            <v>168971</v>
          </cell>
          <cell r="B383">
            <v>37692</v>
          </cell>
          <cell r="D383" t="str">
            <v>ENTEL CHILE - 1600001785</v>
          </cell>
          <cell r="E383">
            <v>3569036</v>
          </cell>
          <cell r="F383">
            <v>8073516</v>
          </cell>
          <cell r="G383">
            <v>2608616</v>
          </cell>
          <cell r="H383">
            <v>37700</v>
          </cell>
          <cell r="I383">
            <v>0.5</v>
          </cell>
          <cell r="J383">
            <v>2</v>
          </cell>
          <cell r="K383" t="str">
            <v xml:space="preserve">8.0 </v>
          </cell>
          <cell r="M383" t="str">
            <v>WIC-1B-S/T=</v>
          </cell>
          <cell r="N383" t="str">
            <v>1-Port ISDN WAN Interface Card(dial and leased line)</v>
          </cell>
          <cell r="O383">
            <v>500</v>
          </cell>
          <cell r="P383">
            <v>250</v>
          </cell>
          <cell r="Q383">
            <v>7</v>
          </cell>
          <cell r="R383">
            <v>1750</v>
          </cell>
          <cell r="AE383" t="str">
            <v>C</v>
          </cell>
          <cell r="AF383" t="str">
            <v>C</v>
          </cell>
          <cell r="AG383">
            <v>131.25</v>
          </cell>
          <cell r="AH383">
            <v>4</v>
          </cell>
          <cell r="AI383">
            <v>285</v>
          </cell>
          <cell r="AJ383">
            <v>1995</v>
          </cell>
        </row>
        <row r="384">
          <cell r="A384">
            <v>168971</v>
          </cell>
          <cell r="B384">
            <v>37692</v>
          </cell>
          <cell r="D384" t="str">
            <v>ENTEL CHILE - 1600001785</v>
          </cell>
          <cell r="E384">
            <v>3569036</v>
          </cell>
          <cell r="F384">
            <v>8073516</v>
          </cell>
          <cell r="G384">
            <v>2608616</v>
          </cell>
          <cell r="H384">
            <v>37700</v>
          </cell>
          <cell r="I384">
            <v>0.5</v>
          </cell>
          <cell r="J384">
            <v>2</v>
          </cell>
          <cell r="K384" t="str">
            <v xml:space="preserve">9.0 </v>
          </cell>
          <cell r="M384" t="str">
            <v>CISCO2610XM</v>
          </cell>
          <cell r="N384" t="str">
            <v>10/100 Ethernet Router w/ Cisco IOS IP</v>
          </cell>
          <cell r="O384">
            <v>1995</v>
          </cell>
          <cell r="P384">
            <v>997.5</v>
          </cell>
          <cell r="Q384">
            <v>1</v>
          </cell>
          <cell r="R384">
            <v>997.5</v>
          </cell>
          <cell r="AE384" t="str">
            <v>C</v>
          </cell>
          <cell r="AF384" t="str">
            <v>C</v>
          </cell>
          <cell r="AG384">
            <v>74.8125</v>
          </cell>
          <cell r="AH384">
            <v>25</v>
          </cell>
          <cell r="AI384">
            <v>1137</v>
          </cell>
          <cell r="AJ384">
            <v>1137</v>
          </cell>
        </row>
        <row r="385">
          <cell r="A385">
            <v>168971</v>
          </cell>
          <cell r="B385">
            <v>37692</v>
          </cell>
          <cell r="D385" t="str">
            <v>ENTEL CHILE - 1600001785</v>
          </cell>
          <cell r="E385">
            <v>3569036</v>
          </cell>
          <cell r="F385">
            <v>8073516</v>
          </cell>
          <cell r="G385">
            <v>2608616</v>
          </cell>
          <cell r="H385">
            <v>37700</v>
          </cell>
          <cell r="I385">
            <v>0.5</v>
          </cell>
          <cell r="J385">
            <v>2</v>
          </cell>
          <cell r="K385" t="str">
            <v xml:space="preserve">9.1 </v>
          </cell>
          <cell r="M385" t="str">
            <v>CAB-ACI</v>
          </cell>
          <cell r="N385" t="str">
            <v>Power Cord-Italian</v>
          </cell>
          <cell r="O385">
            <v>0</v>
          </cell>
          <cell r="P385">
            <v>0</v>
          </cell>
          <cell r="Q385">
            <v>1</v>
          </cell>
          <cell r="R385">
            <v>0</v>
          </cell>
          <cell r="AF385" t="str">
            <v>-</v>
          </cell>
          <cell r="AG385">
            <v>0</v>
          </cell>
          <cell r="AH385">
            <v>25</v>
          </cell>
          <cell r="AI385">
            <v>0</v>
          </cell>
          <cell r="AJ385">
            <v>0</v>
          </cell>
        </row>
        <row r="386">
          <cell r="A386">
            <v>168971</v>
          </cell>
          <cell r="B386">
            <v>37692</v>
          </cell>
          <cell r="D386" t="str">
            <v>ENTEL CHILE - 1600001785</v>
          </cell>
          <cell r="E386">
            <v>3569036</v>
          </cell>
          <cell r="F386">
            <v>8073516</v>
          </cell>
          <cell r="G386">
            <v>2608616</v>
          </cell>
          <cell r="H386">
            <v>37700</v>
          </cell>
          <cell r="I386">
            <v>0.5</v>
          </cell>
          <cell r="J386">
            <v>2</v>
          </cell>
          <cell r="K386" t="str">
            <v xml:space="preserve">9.2 </v>
          </cell>
          <cell r="M386" t="str">
            <v>S26BP-12212</v>
          </cell>
          <cell r="N386" t="str">
            <v>Cisco 2600 Series IOS IP/IPX/AT/DEC PLUS</v>
          </cell>
          <cell r="O386">
            <v>1100</v>
          </cell>
          <cell r="P386">
            <v>550</v>
          </cell>
          <cell r="Q386">
            <v>1</v>
          </cell>
          <cell r="R386">
            <v>550</v>
          </cell>
          <cell r="AE386" t="str">
            <v>C</v>
          </cell>
          <cell r="AF386" t="str">
            <v>C</v>
          </cell>
          <cell r="AG386">
            <v>41.25</v>
          </cell>
          <cell r="AH386">
            <v>10</v>
          </cell>
          <cell r="AI386">
            <v>627</v>
          </cell>
          <cell r="AJ386">
            <v>627</v>
          </cell>
        </row>
        <row r="387">
          <cell r="A387">
            <v>168971</v>
          </cell>
          <cell r="B387">
            <v>37692</v>
          </cell>
          <cell r="D387" t="str">
            <v>ENTEL CHILE - 1600001785</v>
          </cell>
          <cell r="E387">
            <v>3569036</v>
          </cell>
          <cell r="F387">
            <v>8073516</v>
          </cell>
          <cell r="G387">
            <v>2608616</v>
          </cell>
          <cell r="H387">
            <v>37700</v>
          </cell>
          <cell r="I387">
            <v>0.5</v>
          </cell>
          <cell r="J387">
            <v>2</v>
          </cell>
          <cell r="K387" t="str">
            <v xml:space="preserve">9.3 </v>
          </cell>
          <cell r="M387" t="str">
            <v>MEM2600XM-32U64D</v>
          </cell>
          <cell r="N387" t="str">
            <v xml:space="preserve">32 to 64MB DRAM factory upgrade for Cisco 261x/2xXM  </v>
          </cell>
          <cell r="O387">
            <v>950</v>
          </cell>
          <cell r="P387">
            <v>475</v>
          </cell>
          <cell r="Q387">
            <v>1</v>
          </cell>
          <cell r="R387">
            <v>475</v>
          </cell>
          <cell r="AE387" t="str">
            <v>C</v>
          </cell>
          <cell r="AF387" t="str">
            <v>C</v>
          </cell>
          <cell r="AG387">
            <v>35.625</v>
          </cell>
          <cell r="AH387">
            <v>26</v>
          </cell>
          <cell r="AI387">
            <v>542</v>
          </cell>
          <cell r="AJ387">
            <v>542</v>
          </cell>
        </row>
        <row r="388">
          <cell r="A388">
            <v>168971</v>
          </cell>
          <cell r="B388">
            <v>37692</v>
          </cell>
          <cell r="D388" t="str">
            <v>ENTEL CHILE - 1600001785</v>
          </cell>
          <cell r="E388">
            <v>3569036</v>
          </cell>
          <cell r="F388">
            <v>8073516</v>
          </cell>
          <cell r="G388">
            <v>2608616</v>
          </cell>
          <cell r="H388">
            <v>37700</v>
          </cell>
          <cell r="I388">
            <v>0.5</v>
          </cell>
          <cell r="J388">
            <v>2</v>
          </cell>
          <cell r="K388" t="str">
            <v xml:space="preserve">9.4 </v>
          </cell>
          <cell r="M388" t="str">
            <v>NM-4B-S/T</v>
          </cell>
          <cell r="N388" t="str">
            <v>4-Port ISDN-BRI Network Module</v>
          </cell>
          <cell r="O388">
            <v>1100</v>
          </cell>
          <cell r="P388">
            <v>550</v>
          </cell>
          <cell r="Q388">
            <v>1</v>
          </cell>
          <cell r="R388">
            <v>550</v>
          </cell>
          <cell r="AE388" t="str">
            <v>C</v>
          </cell>
          <cell r="AF388" t="str">
            <v>C</v>
          </cell>
          <cell r="AG388">
            <v>41.25</v>
          </cell>
          <cell r="AH388">
            <v>24</v>
          </cell>
          <cell r="AI388">
            <v>627</v>
          </cell>
          <cell r="AJ388">
            <v>627</v>
          </cell>
        </row>
        <row r="389">
          <cell r="A389">
            <v>168971</v>
          </cell>
          <cell r="B389">
            <v>37692</v>
          </cell>
          <cell r="D389" t="str">
            <v>ENTEL CHILE - 1600001785</v>
          </cell>
          <cell r="E389">
            <v>3569036</v>
          </cell>
          <cell r="F389">
            <v>8073516</v>
          </cell>
          <cell r="G389">
            <v>2608616</v>
          </cell>
          <cell r="H389">
            <v>37700</v>
          </cell>
          <cell r="I389">
            <v>0.5</v>
          </cell>
          <cell r="J389">
            <v>2</v>
          </cell>
          <cell r="K389" t="str">
            <v xml:space="preserve">9.5 </v>
          </cell>
          <cell r="M389" t="str">
            <v>WIC-2T</v>
          </cell>
          <cell r="N389" t="str">
            <v>2-Port Serial WAN Interface Card</v>
          </cell>
          <cell r="O389">
            <v>700</v>
          </cell>
          <cell r="P389">
            <v>350</v>
          </cell>
          <cell r="Q389">
            <v>1</v>
          </cell>
          <cell r="R389">
            <v>350</v>
          </cell>
          <cell r="AE389" t="str">
            <v>C</v>
          </cell>
          <cell r="AF389" t="str">
            <v>C</v>
          </cell>
          <cell r="AG389">
            <v>26.25</v>
          </cell>
          <cell r="AH389">
            <v>3</v>
          </cell>
          <cell r="AI389">
            <v>399</v>
          </cell>
          <cell r="AJ389">
            <v>399</v>
          </cell>
        </row>
        <row r="390">
          <cell r="A390">
            <v>168971</v>
          </cell>
          <cell r="B390">
            <v>37692</v>
          </cell>
          <cell r="D390" t="str">
            <v>ENTEL CHILE - 1600001785</v>
          </cell>
          <cell r="E390">
            <v>3569036</v>
          </cell>
          <cell r="F390">
            <v>8073516</v>
          </cell>
          <cell r="G390">
            <v>2608616</v>
          </cell>
          <cell r="H390">
            <v>37700</v>
          </cell>
          <cell r="I390">
            <v>0.5</v>
          </cell>
          <cell r="J390">
            <v>2</v>
          </cell>
          <cell r="K390" t="str">
            <v xml:space="preserve">9.6 </v>
          </cell>
          <cell r="M390" t="str">
            <v>CAB-SS-V35MT</v>
          </cell>
          <cell r="N390" t="str">
            <v>V.35 Cable, DTE Male to Smart Serial, 10 Feet</v>
          </cell>
          <cell r="O390">
            <v>100</v>
          </cell>
          <cell r="P390">
            <v>50</v>
          </cell>
          <cell r="Q390">
            <v>2</v>
          </cell>
          <cell r="R390">
            <v>100</v>
          </cell>
          <cell r="AF390" t="str">
            <v>-</v>
          </cell>
          <cell r="AG390">
            <v>0</v>
          </cell>
          <cell r="AH390">
            <v>7</v>
          </cell>
          <cell r="AI390">
            <v>57</v>
          </cell>
          <cell r="AJ390">
            <v>114</v>
          </cell>
        </row>
        <row r="391">
          <cell r="A391">
            <v>168971</v>
          </cell>
          <cell r="B391">
            <v>37692</v>
          </cell>
          <cell r="D391" t="str">
            <v>ENTEL CHILE - 1600001785</v>
          </cell>
          <cell r="E391">
            <v>3569036</v>
          </cell>
          <cell r="F391">
            <v>8073516</v>
          </cell>
          <cell r="G391">
            <v>2608616</v>
          </cell>
          <cell r="H391">
            <v>37700</v>
          </cell>
          <cell r="I391">
            <v>0.5</v>
          </cell>
          <cell r="J391">
            <v>2</v>
          </cell>
          <cell r="K391" t="str">
            <v xml:space="preserve">9.7 </v>
          </cell>
          <cell r="M391" t="str">
            <v>MEM2600XM-16FS-INC</v>
          </cell>
          <cell r="N391" t="e">
            <v>#N/A</v>
          </cell>
          <cell r="O391">
            <v>0</v>
          </cell>
          <cell r="P391">
            <v>0</v>
          </cell>
          <cell r="Q391">
            <v>1</v>
          </cell>
          <cell r="R391">
            <v>0</v>
          </cell>
          <cell r="AF391" t="str">
            <v>c</v>
          </cell>
          <cell r="AG391">
            <v>0</v>
          </cell>
          <cell r="AH391">
            <v>25</v>
          </cell>
          <cell r="AI391">
            <v>0</v>
          </cell>
          <cell r="AJ391">
            <v>0</v>
          </cell>
        </row>
        <row r="392">
          <cell r="A392">
            <v>168971</v>
          </cell>
          <cell r="B392">
            <v>37692</v>
          </cell>
          <cell r="D392" t="str">
            <v>ENTEL CHILE - 1600001785</v>
          </cell>
          <cell r="E392">
            <v>3569036</v>
          </cell>
          <cell r="F392">
            <v>8073516</v>
          </cell>
          <cell r="G392">
            <v>2608616</v>
          </cell>
          <cell r="H392">
            <v>37700</v>
          </cell>
          <cell r="I392">
            <v>0.5</v>
          </cell>
          <cell r="J392">
            <v>2</v>
          </cell>
          <cell r="K392" t="str">
            <v xml:space="preserve">10.0 </v>
          </cell>
          <cell r="M392" t="str">
            <v>CISCO2610XM</v>
          </cell>
          <cell r="N392" t="str">
            <v>10/100 Ethernet Router w/ Cisco IOS IP</v>
          </cell>
          <cell r="O392">
            <v>1995</v>
          </cell>
          <cell r="P392">
            <v>997.5</v>
          </cell>
          <cell r="Q392">
            <v>3</v>
          </cell>
          <cell r="R392">
            <v>2992.5</v>
          </cell>
          <cell r="AE392" t="str">
            <v>C</v>
          </cell>
          <cell r="AF392" t="str">
            <v>C</v>
          </cell>
          <cell r="AG392">
            <v>224.4375</v>
          </cell>
          <cell r="AH392">
            <v>25</v>
          </cell>
          <cell r="AI392">
            <v>1137</v>
          </cell>
          <cell r="AJ392">
            <v>3411</v>
          </cell>
        </row>
        <row r="393">
          <cell r="A393">
            <v>168971</v>
          </cell>
          <cell r="B393">
            <v>37692</v>
          </cell>
          <cell r="D393" t="str">
            <v>ENTEL CHILE - 1600001785</v>
          </cell>
          <cell r="E393">
            <v>3569036</v>
          </cell>
          <cell r="F393">
            <v>8073516</v>
          </cell>
          <cell r="G393">
            <v>2608616</v>
          </cell>
          <cell r="H393">
            <v>37700</v>
          </cell>
          <cell r="I393">
            <v>0.5</v>
          </cell>
          <cell r="J393">
            <v>2</v>
          </cell>
          <cell r="K393" t="str">
            <v xml:space="preserve">10.1 </v>
          </cell>
          <cell r="M393" t="str">
            <v>CAB-ACI</v>
          </cell>
          <cell r="N393" t="str">
            <v>Power Cord-Italian</v>
          </cell>
          <cell r="O393">
            <v>0</v>
          </cell>
          <cell r="P393">
            <v>0</v>
          </cell>
          <cell r="Q393">
            <v>3</v>
          </cell>
          <cell r="R393">
            <v>0</v>
          </cell>
          <cell r="AF393" t="str">
            <v>-</v>
          </cell>
          <cell r="AG393">
            <v>0</v>
          </cell>
          <cell r="AH393">
            <v>25</v>
          </cell>
          <cell r="AI393">
            <v>0</v>
          </cell>
          <cell r="AJ393">
            <v>0</v>
          </cell>
        </row>
        <row r="394">
          <cell r="A394">
            <v>168971</v>
          </cell>
          <cell r="B394">
            <v>37692</v>
          </cell>
          <cell r="D394" t="str">
            <v>ENTEL CHILE - 1600001785</v>
          </cell>
          <cell r="E394">
            <v>3569036</v>
          </cell>
          <cell r="F394">
            <v>8073516</v>
          </cell>
          <cell r="G394">
            <v>2608616</v>
          </cell>
          <cell r="H394">
            <v>37700</v>
          </cell>
          <cell r="I394">
            <v>0.5</v>
          </cell>
          <cell r="J394">
            <v>2</v>
          </cell>
          <cell r="K394" t="str">
            <v xml:space="preserve">10.2 </v>
          </cell>
          <cell r="M394" t="str">
            <v>S26BP-12212</v>
          </cell>
          <cell r="N394" t="str">
            <v>Cisco 2600 Series IOS IP/IPX/AT/DEC PLUS</v>
          </cell>
          <cell r="O394">
            <v>1100</v>
          </cell>
          <cell r="P394">
            <v>550</v>
          </cell>
          <cell r="Q394">
            <v>3</v>
          </cell>
          <cell r="R394">
            <v>1650</v>
          </cell>
          <cell r="AE394" t="str">
            <v>C</v>
          </cell>
          <cell r="AF394" t="str">
            <v>C</v>
          </cell>
          <cell r="AG394">
            <v>123.75</v>
          </cell>
          <cell r="AH394">
            <v>10</v>
          </cell>
          <cell r="AI394">
            <v>627</v>
          </cell>
          <cell r="AJ394">
            <v>1881</v>
          </cell>
        </row>
        <row r="395">
          <cell r="A395">
            <v>168971</v>
          </cell>
          <cell r="B395">
            <v>37692</v>
          </cell>
          <cell r="D395" t="str">
            <v>ENTEL CHILE - 1600001785</v>
          </cell>
          <cell r="E395">
            <v>3569036</v>
          </cell>
          <cell r="F395">
            <v>8073516</v>
          </cell>
          <cell r="G395">
            <v>2608616</v>
          </cell>
          <cell r="H395">
            <v>37700</v>
          </cell>
          <cell r="I395">
            <v>0.5</v>
          </cell>
          <cell r="J395">
            <v>2</v>
          </cell>
          <cell r="K395" t="str">
            <v xml:space="preserve">10.3 </v>
          </cell>
          <cell r="M395" t="str">
            <v>MEM2600XM-32U64D</v>
          </cell>
          <cell r="N395" t="str">
            <v xml:space="preserve">32 to 64MB DRAM factory upgrade for Cisco 261x/2xXM  </v>
          </cell>
          <cell r="O395">
            <v>950</v>
          </cell>
          <cell r="P395">
            <v>475</v>
          </cell>
          <cell r="Q395">
            <v>3</v>
          </cell>
          <cell r="R395">
            <v>1425</v>
          </cell>
          <cell r="AE395" t="str">
            <v>C</v>
          </cell>
          <cell r="AF395" t="str">
            <v>C</v>
          </cell>
          <cell r="AG395">
            <v>106.875</v>
          </cell>
          <cell r="AH395">
            <v>26</v>
          </cell>
          <cell r="AI395">
            <v>542</v>
          </cell>
          <cell r="AJ395">
            <v>1626</v>
          </cell>
        </row>
        <row r="396">
          <cell r="A396">
            <v>168971</v>
          </cell>
          <cell r="B396">
            <v>37692</v>
          </cell>
          <cell r="D396" t="str">
            <v>ENTEL CHILE - 1600001785</v>
          </cell>
          <cell r="E396">
            <v>3569036</v>
          </cell>
          <cell r="F396">
            <v>8073516</v>
          </cell>
          <cell r="G396">
            <v>2608616</v>
          </cell>
          <cell r="H396">
            <v>37700</v>
          </cell>
          <cell r="I396">
            <v>0.5</v>
          </cell>
          <cell r="J396">
            <v>2</v>
          </cell>
          <cell r="K396" t="str">
            <v xml:space="preserve">10.4 </v>
          </cell>
          <cell r="M396" t="str">
            <v>NM-4B-S/T</v>
          </cell>
          <cell r="N396" t="str">
            <v>4-Port ISDN-BRI Network Module</v>
          </cell>
          <cell r="O396">
            <v>1100</v>
          </cell>
          <cell r="P396">
            <v>550</v>
          </cell>
          <cell r="Q396">
            <v>3</v>
          </cell>
          <cell r="R396">
            <v>1650</v>
          </cell>
          <cell r="AE396" t="str">
            <v>C</v>
          </cell>
          <cell r="AF396" t="str">
            <v>C</v>
          </cell>
          <cell r="AG396">
            <v>123.75</v>
          </cell>
          <cell r="AH396">
            <v>24</v>
          </cell>
          <cell r="AI396">
            <v>627</v>
          </cell>
          <cell r="AJ396">
            <v>1881</v>
          </cell>
        </row>
        <row r="397">
          <cell r="A397">
            <v>168971</v>
          </cell>
          <cell r="B397">
            <v>37692</v>
          </cell>
          <cell r="D397" t="str">
            <v>ENTEL CHILE - 1600001785</v>
          </cell>
          <cell r="E397">
            <v>3569036</v>
          </cell>
          <cell r="F397">
            <v>8073516</v>
          </cell>
          <cell r="G397">
            <v>2608616</v>
          </cell>
          <cell r="H397">
            <v>37700</v>
          </cell>
          <cell r="I397">
            <v>0.5</v>
          </cell>
          <cell r="J397">
            <v>2</v>
          </cell>
          <cell r="K397" t="str">
            <v xml:space="preserve">10.5 </v>
          </cell>
          <cell r="M397" t="str">
            <v>WIC-1T</v>
          </cell>
          <cell r="N397" t="str">
            <v>1-Port Serial WAN Interface Card</v>
          </cell>
          <cell r="O397">
            <v>400</v>
          </cell>
          <cell r="P397">
            <v>200</v>
          </cell>
          <cell r="Q397">
            <v>3</v>
          </cell>
          <cell r="R397">
            <v>600</v>
          </cell>
          <cell r="AE397" t="str">
            <v>D</v>
          </cell>
          <cell r="AF397" t="str">
            <v>D</v>
          </cell>
          <cell r="AG397">
            <v>12</v>
          </cell>
          <cell r="AH397">
            <v>16</v>
          </cell>
          <cell r="AI397">
            <v>228</v>
          </cell>
          <cell r="AJ397">
            <v>684</v>
          </cell>
        </row>
        <row r="398">
          <cell r="A398">
            <v>168971</v>
          </cell>
          <cell r="B398">
            <v>37692</v>
          </cell>
          <cell r="D398" t="str">
            <v>ENTEL CHILE - 1600001785</v>
          </cell>
          <cell r="E398">
            <v>3569036</v>
          </cell>
          <cell r="F398">
            <v>8073516</v>
          </cell>
          <cell r="G398">
            <v>2608616</v>
          </cell>
          <cell r="H398">
            <v>37700</v>
          </cell>
          <cell r="I398">
            <v>0.5</v>
          </cell>
          <cell r="J398">
            <v>2</v>
          </cell>
          <cell r="K398" t="str">
            <v xml:space="preserve">10.6 </v>
          </cell>
          <cell r="M398" t="str">
            <v>CAB-V35MT</v>
          </cell>
          <cell r="N398" t="str">
            <v>V.35 Cable, DTE, Male, 10 Feet</v>
          </cell>
          <cell r="O398">
            <v>100</v>
          </cell>
          <cell r="P398">
            <v>50</v>
          </cell>
          <cell r="Q398">
            <v>3</v>
          </cell>
          <cell r="R398">
            <v>150</v>
          </cell>
          <cell r="AF398" t="str">
            <v>-</v>
          </cell>
          <cell r="AG398">
            <v>0</v>
          </cell>
          <cell r="AH398">
            <v>11</v>
          </cell>
          <cell r="AI398">
            <v>57</v>
          </cell>
          <cell r="AJ398">
            <v>171</v>
          </cell>
        </row>
        <row r="399">
          <cell r="A399">
            <v>168971</v>
          </cell>
          <cell r="B399">
            <v>37692</v>
          </cell>
          <cell r="D399" t="str">
            <v>ENTEL CHILE - 1600001785</v>
          </cell>
          <cell r="E399">
            <v>3569036</v>
          </cell>
          <cell r="F399">
            <v>8073516</v>
          </cell>
          <cell r="G399">
            <v>2608616</v>
          </cell>
          <cell r="H399">
            <v>37700</v>
          </cell>
          <cell r="I399">
            <v>0.5</v>
          </cell>
          <cell r="J399">
            <v>2</v>
          </cell>
          <cell r="K399" t="str">
            <v xml:space="preserve">10.7 </v>
          </cell>
          <cell r="M399" t="str">
            <v>MEM2600XM-16FS-INC</v>
          </cell>
          <cell r="N399" t="e">
            <v>#N/A</v>
          </cell>
          <cell r="O399">
            <v>0</v>
          </cell>
          <cell r="P399">
            <v>0</v>
          </cell>
          <cell r="Q399">
            <v>3</v>
          </cell>
          <cell r="R399">
            <v>0</v>
          </cell>
          <cell r="AF399" t="str">
            <v>c</v>
          </cell>
          <cell r="AG399">
            <v>0</v>
          </cell>
          <cell r="AH399">
            <v>25</v>
          </cell>
          <cell r="AI399">
            <v>0</v>
          </cell>
          <cell r="AJ399">
            <v>0</v>
          </cell>
        </row>
        <row r="400">
          <cell r="A400">
            <v>168971</v>
          </cell>
          <cell r="B400">
            <v>37692</v>
          </cell>
          <cell r="D400" t="str">
            <v>ENTEL CHILE - 1600001785</v>
          </cell>
          <cell r="E400">
            <v>3569036</v>
          </cell>
          <cell r="F400">
            <v>8073516</v>
          </cell>
          <cell r="G400">
            <v>2608616</v>
          </cell>
          <cell r="H400">
            <v>37700</v>
          </cell>
          <cell r="I400">
            <v>0.5</v>
          </cell>
          <cell r="J400">
            <v>2</v>
          </cell>
          <cell r="K400" t="str">
            <v xml:space="preserve">11.0 </v>
          </cell>
          <cell r="M400" t="str">
            <v>CISCO2611XM</v>
          </cell>
          <cell r="N400" t="str">
            <v>Dual 10/100 Ethernet Router w/ Cisco IOS IP</v>
          </cell>
          <cell r="O400">
            <v>2495</v>
          </cell>
          <cell r="P400">
            <v>1247.5</v>
          </cell>
          <cell r="Q400">
            <v>1</v>
          </cell>
          <cell r="R400">
            <v>1247.5</v>
          </cell>
          <cell r="AE400" t="str">
            <v>C</v>
          </cell>
          <cell r="AF400" t="str">
            <v>C</v>
          </cell>
          <cell r="AG400">
            <v>93.5625</v>
          </cell>
          <cell r="AH400">
            <v>22</v>
          </cell>
          <cell r="AI400">
            <v>1422</v>
          </cell>
          <cell r="AJ400">
            <v>1422</v>
          </cell>
        </row>
        <row r="401">
          <cell r="A401">
            <v>168971</v>
          </cell>
          <cell r="B401">
            <v>37692</v>
          </cell>
          <cell r="D401" t="str">
            <v>ENTEL CHILE - 1600001785</v>
          </cell>
          <cell r="E401">
            <v>3569036</v>
          </cell>
          <cell r="F401">
            <v>8073516</v>
          </cell>
          <cell r="G401">
            <v>2608616</v>
          </cell>
          <cell r="H401">
            <v>37700</v>
          </cell>
          <cell r="I401">
            <v>0.5</v>
          </cell>
          <cell r="J401">
            <v>2</v>
          </cell>
          <cell r="K401" t="str">
            <v xml:space="preserve">11.1 </v>
          </cell>
          <cell r="M401" t="str">
            <v>CAB-ACI</v>
          </cell>
          <cell r="N401" t="str">
            <v>Power Cord-Italian</v>
          </cell>
          <cell r="O401">
            <v>0</v>
          </cell>
          <cell r="P401">
            <v>0</v>
          </cell>
          <cell r="Q401">
            <v>1</v>
          </cell>
          <cell r="R401">
            <v>0</v>
          </cell>
          <cell r="AF401" t="str">
            <v>-</v>
          </cell>
          <cell r="AG401">
            <v>0</v>
          </cell>
          <cell r="AH401">
            <v>22</v>
          </cell>
          <cell r="AI401">
            <v>0</v>
          </cell>
          <cell r="AJ401">
            <v>0</v>
          </cell>
        </row>
        <row r="402">
          <cell r="A402">
            <v>168971</v>
          </cell>
          <cell r="B402">
            <v>37692</v>
          </cell>
          <cell r="D402" t="str">
            <v>ENTEL CHILE - 1600001785</v>
          </cell>
          <cell r="E402">
            <v>3569036</v>
          </cell>
          <cell r="F402">
            <v>8073516</v>
          </cell>
          <cell r="G402">
            <v>2608616</v>
          </cell>
          <cell r="H402">
            <v>37700</v>
          </cell>
          <cell r="I402">
            <v>0.5</v>
          </cell>
          <cell r="J402">
            <v>2</v>
          </cell>
          <cell r="K402" t="str">
            <v xml:space="preserve">11.2 </v>
          </cell>
          <cell r="M402" t="str">
            <v>S26BP-12212</v>
          </cell>
          <cell r="N402" t="str">
            <v>Cisco 2600 Series IOS IP/IPX/AT/DEC PLUS</v>
          </cell>
          <cell r="O402">
            <v>1100</v>
          </cell>
          <cell r="P402">
            <v>550</v>
          </cell>
          <cell r="Q402">
            <v>1</v>
          </cell>
          <cell r="R402">
            <v>550</v>
          </cell>
          <cell r="AE402" t="str">
            <v>C</v>
          </cell>
          <cell r="AF402" t="str">
            <v>C</v>
          </cell>
          <cell r="AG402">
            <v>41.25</v>
          </cell>
          <cell r="AH402">
            <v>10</v>
          </cell>
          <cell r="AI402">
            <v>627</v>
          </cell>
          <cell r="AJ402">
            <v>627</v>
          </cell>
        </row>
        <row r="403">
          <cell r="A403">
            <v>168971</v>
          </cell>
          <cell r="B403">
            <v>37692</v>
          </cell>
          <cell r="D403" t="str">
            <v>ENTEL CHILE - 1600001785</v>
          </cell>
          <cell r="E403">
            <v>3569036</v>
          </cell>
          <cell r="F403">
            <v>8073516</v>
          </cell>
          <cell r="G403">
            <v>2608616</v>
          </cell>
          <cell r="H403">
            <v>37700</v>
          </cell>
          <cell r="I403">
            <v>0.5</v>
          </cell>
          <cell r="J403">
            <v>2</v>
          </cell>
          <cell r="K403" t="str">
            <v xml:space="preserve">11.3 </v>
          </cell>
          <cell r="M403" t="str">
            <v>MEM2600XM-32U64D</v>
          </cell>
          <cell r="N403" t="str">
            <v xml:space="preserve">32 to 64MB DRAM factory upgrade for Cisco 261x/2xXM  </v>
          </cell>
          <cell r="O403">
            <v>950</v>
          </cell>
          <cell r="P403">
            <v>475</v>
          </cell>
          <cell r="Q403">
            <v>1</v>
          </cell>
          <cell r="R403">
            <v>475</v>
          </cell>
          <cell r="AE403" t="str">
            <v>C</v>
          </cell>
          <cell r="AF403" t="str">
            <v>C</v>
          </cell>
          <cell r="AG403">
            <v>35.625</v>
          </cell>
          <cell r="AH403">
            <v>26</v>
          </cell>
          <cell r="AI403">
            <v>542</v>
          </cell>
          <cell r="AJ403">
            <v>542</v>
          </cell>
        </row>
        <row r="404">
          <cell r="A404">
            <v>168971</v>
          </cell>
          <cell r="B404">
            <v>37692</v>
          </cell>
          <cell r="D404" t="str">
            <v>ENTEL CHILE - 1600001785</v>
          </cell>
          <cell r="E404">
            <v>3569036</v>
          </cell>
          <cell r="F404">
            <v>8073516</v>
          </cell>
          <cell r="G404">
            <v>2608616</v>
          </cell>
          <cell r="H404">
            <v>37700</v>
          </cell>
          <cell r="I404">
            <v>0.5</v>
          </cell>
          <cell r="J404">
            <v>2</v>
          </cell>
          <cell r="K404" t="str">
            <v xml:space="preserve">11.4 </v>
          </cell>
          <cell r="M404" t="str">
            <v>WIC-1B-S/T</v>
          </cell>
          <cell r="N404" t="str">
            <v>1-Port ISDN WAN Interface Card(dial and leased line)</v>
          </cell>
          <cell r="O404">
            <v>500</v>
          </cell>
          <cell r="P404">
            <v>250</v>
          </cell>
          <cell r="Q404">
            <v>1</v>
          </cell>
          <cell r="R404">
            <v>250</v>
          </cell>
          <cell r="AE404" t="str">
            <v>C</v>
          </cell>
          <cell r="AF404" t="str">
            <v>C</v>
          </cell>
          <cell r="AG404">
            <v>18.75</v>
          </cell>
          <cell r="AH404">
            <v>4</v>
          </cell>
          <cell r="AI404">
            <v>285</v>
          </cell>
          <cell r="AJ404">
            <v>285</v>
          </cell>
        </row>
        <row r="405">
          <cell r="A405">
            <v>168971</v>
          </cell>
          <cell r="B405">
            <v>37692</v>
          </cell>
          <cell r="D405" t="str">
            <v>ENTEL CHILE - 1600001785</v>
          </cell>
          <cell r="E405">
            <v>3569036</v>
          </cell>
          <cell r="F405">
            <v>8073516</v>
          </cell>
          <cell r="G405">
            <v>2608616</v>
          </cell>
          <cell r="H405">
            <v>37700</v>
          </cell>
          <cell r="I405">
            <v>0.5</v>
          </cell>
          <cell r="J405">
            <v>2</v>
          </cell>
          <cell r="K405" t="str">
            <v xml:space="preserve">11.5 </v>
          </cell>
          <cell r="M405" t="str">
            <v>WIC-2T</v>
          </cell>
          <cell r="N405" t="str">
            <v>2-Port Serial WAN Interface Card</v>
          </cell>
          <cell r="O405">
            <v>700</v>
          </cell>
          <cell r="P405">
            <v>350</v>
          </cell>
          <cell r="Q405">
            <v>1</v>
          </cell>
          <cell r="R405">
            <v>350</v>
          </cell>
          <cell r="AE405" t="str">
            <v>C</v>
          </cell>
          <cell r="AF405" t="str">
            <v>C</v>
          </cell>
          <cell r="AG405">
            <v>26.25</v>
          </cell>
          <cell r="AH405">
            <v>3</v>
          </cell>
          <cell r="AI405">
            <v>399</v>
          </cell>
          <cell r="AJ405">
            <v>399</v>
          </cell>
        </row>
        <row r="406">
          <cell r="A406">
            <v>168971</v>
          </cell>
          <cell r="B406">
            <v>37692</v>
          </cell>
          <cell r="D406" t="str">
            <v>ENTEL CHILE - 1600001785</v>
          </cell>
          <cell r="E406">
            <v>3569036</v>
          </cell>
          <cell r="F406">
            <v>8073516</v>
          </cell>
          <cell r="G406">
            <v>2608616</v>
          </cell>
          <cell r="H406">
            <v>37700</v>
          </cell>
          <cell r="I406">
            <v>0.5</v>
          </cell>
          <cell r="J406">
            <v>2</v>
          </cell>
          <cell r="K406" t="str">
            <v xml:space="preserve">11.6 </v>
          </cell>
          <cell r="M406" t="str">
            <v>CAB-SS-V35MT</v>
          </cell>
          <cell r="N406" t="str">
            <v>V.35 Cable, DTE Male to Smart Serial, 10 Feet</v>
          </cell>
          <cell r="O406">
            <v>100</v>
          </cell>
          <cell r="P406">
            <v>50</v>
          </cell>
          <cell r="Q406">
            <v>2</v>
          </cell>
          <cell r="R406">
            <v>100</v>
          </cell>
          <cell r="AF406" t="str">
            <v>-</v>
          </cell>
          <cell r="AG406">
            <v>0</v>
          </cell>
          <cell r="AH406">
            <v>7</v>
          </cell>
          <cell r="AI406">
            <v>57</v>
          </cell>
          <cell r="AJ406">
            <v>114</v>
          </cell>
        </row>
        <row r="407">
          <cell r="A407">
            <v>168971</v>
          </cell>
          <cell r="B407">
            <v>37692</v>
          </cell>
          <cell r="D407" t="str">
            <v>ENTEL CHILE - 1600001785</v>
          </cell>
          <cell r="E407">
            <v>3569036</v>
          </cell>
          <cell r="F407">
            <v>8073516</v>
          </cell>
          <cell r="G407">
            <v>2608616</v>
          </cell>
          <cell r="H407">
            <v>37700</v>
          </cell>
          <cell r="I407">
            <v>0.5</v>
          </cell>
          <cell r="J407">
            <v>2</v>
          </cell>
          <cell r="K407" t="str">
            <v xml:space="preserve">11.7 </v>
          </cell>
          <cell r="M407" t="str">
            <v>MEM2600XM-16FS-INC</v>
          </cell>
          <cell r="N407" t="e">
            <v>#N/A</v>
          </cell>
          <cell r="O407">
            <v>0</v>
          </cell>
          <cell r="P407">
            <v>0</v>
          </cell>
          <cell r="Q407">
            <v>1</v>
          </cell>
          <cell r="R407">
            <v>0</v>
          </cell>
          <cell r="AF407" t="str">
            <v>c</v>
          </cell>
          <cell r="AG407">
            <v>0</v>
          </cell>
          <cell r="AH407">
            <v>22</v>
          </cell>
          <cell r="AI407">
            <v>0</v>
          </cell>
          <cell r="AJ407">
            <v>0</v>
          </cell>
        </row>
        <row r="408">
          <cell r="A408">
            <v>168971</v>
          </cell>
          <cell r="B408">
            <v>37692</v>
          </cell>
          <cell r="D408" t="str">
            <v>ENTEL CHILE - 1600001785</v>
          </cell>
          <cell r="E408">
            <v>3569036</v>
          </cell>
          <cell r="F408">
            <v>8073516</v>
          </cell>
          <cell r="G408">
            <v>2608616</v>
          </cell>
          <cell r="H408">
            <v>37700</v>
          </cell>
          <cell r="I408">
            <v>0.5</v>
          </cell>
          <cell r="J408">
            <v>2</v>
          </cell>
          <cell r="K408" t="str">
            <v xml:space="preserve">12.0 </v>
          </cell>
          <cell r="M408" t="str">
            <v>WIC-1B-S/T=</v>
          </cell>
          <cell r="N408" t="str">
            <v>1-Port ISDN WAN Interface Card(dial and leased line)</v>
          </cell>
          <cell r="O408">
            <v>500</v>
          </cell>
          <cell r="P408">
            <v>250</v>
          </cell>
          <cell r="Q408">
            <v>1</v>
          </cell>
          <cell r="R408">
            <v>250</v>
          </cell>
          <cell r="AE408" t="str">
            <v>C</v>
          </cell>
          <cell r="AF408" t="str">
            <v>C</v>
          </cell>
          <cell r="AG408">
            <v>18.75</v>
          </cell>
          <cell r="AH408">
            <v>4</v>
          </cell>
          <cell r="AI408">
            <v>285</v>
          </cell>
          <cell r="AJ408">
            <v>285</v>
          </cell>
        </row>
        <row r="409">
          <cell r="A409">
            <v>168971</v>
          </cell>
          <cell r="B409">
            <v>37692</v>
          </cell>
          <cell r="D409" t="str">
            <v>ENTEL CHILE - 1600001785</v>
          </cell>
          <cell r="E409">
            <v>3569036</v>
          </cell>
          <cell r="F409">
            <v>8073516</v>
          </cell>
          <cell r="G409">
            <v>2608616</v>
          </cell>
          <cell r="H409">
            <v>37700</v>
          </cell>
          <cell r="I409">
            <v>0.5</v>
          </cell>
          <cell r="J409">
            <v>2</v>
          </cell>
          <cell r="K409" t="str">
            <v xml:space="preserve">13.0 </v>
          </cell>
          <cell r="M409" t="str">
            <v>CISCO2611XM</v>
          </cell>
          <cell r="N409" t="str">
            <v>Dual 10/100 Ethernet Router w/ Cisco IOS IP</v>
          </cell>
          <cell r="O409">
            <v>2495</v>
          </cell>
          <cell r="P409">
            <v>1247.5</v>
          </cell>
          <cell r="Q409">
            <v>2</v>
          </cell>
          <cell r="R409">
            <v>2495</v>
          </cell>
          <cell r="AE409" t="str">
            <v>C</v>
          </cell>
          <cell r="AF409" t="str">
            <v>C</v>
          </cell>
          <cell r="AG409">
            <v>187.125</v>
          </cell>
          <cell r="AH409">
            <v>22</v>
          </cell>
          <cell r="AI409">
            <v>1422</v>
          </cell>
          <cell r="AJ409">
            <v>2844</v>
          </cell>
        </row>
        <row r="410">
          <cell r="A410">
            <v>168971</v>
          </cell>
          <cell r="B410">
            <v>37692</v>
          </cell>
          <cell r="D410" t="str">
            <v>ENTEL CHILE - 1600001785</v>
          </cell>
          <cell r="E410">
            <v>3569036</v>
          </cell>
          <cell r="F410">
            <v>8073516</v>
          </cell>
          <cell r="G410">
            <v>2608616</v>
          </cell>
          <cell r="H410">
            <v>37700</v>
          </cell>
          <cell r="I410">
            <v>0.5</v>
          </cell>
          <cell r="J410">
            <v>2</v>
          </cell>
          <cell r="K410" t="str">
            <v xml:space="preserve">13.1 </v>
          </cell>
          <cell r="M410" t="str">
            <v>CAB-ACI</v>
          </cell>
          <cell r="N410" t="str">
            <v>Power Cord-Italian</v>
          </cell>
          <cell r="O410">
            <v>0</v>
          </cell>
          <cell r="P410">
            <v>0</v>
          </cell>
          <cell r="Q410">
            <v>2</v>
          </cell>
          <cell r="R410">
            <v>0</v>
          </cell>
          <cell r="AF410" t="str">
            <v>-</v>
          </cell>
          <cell r="AG410">
            <v>0</v>
          </cell>
          <cell r="AH410">
            <v>22</v>
          </cell>
          <cell r="AI410">
            <v>0</v>
          </cell>
          <cell r="AJ410">
            <v>0</v>
          </cell>
        </row>
        <row r="411">
          <cell r="A411">
            <v>168971</v>
          </cell>
          <cell r="B411">
            <v>37692</v>
          </cell>
          <cell r="D411" t="str">
            <v>ENTEL CHILE - 1600001785</v>
          </cell>
          <cell r="E411">
            <v>3569036</v>
          </cell>
          <cell r="F411">
            <v>8073516</v>
          </cell>
          <cell r="G411">
            <v>2608616</v>
          </cell>
          <cell r="H411">
            <v>37700</v>
          </cell>
          <cell r="I411">
            <v>0.5</v>
          </cell>
          <cell r="J411">
            <v>2</v>
          </cell>
          <cell r="K411" t="str">
            <v xml:space="preserve">13.2 </v>
          </cell>
          <cell r="M411" t="str">
            <v>S26BP-12212</v>
          </cell>
          <cell r="N411" t="str">
            <v>Cisco 2600 Series IOS IP/IPX/AT/DEC PLUS</v>
          </cell>
          <cell r="O411">
            <v>1100</v>
          </cell>
          <cell r="P411">
            <v>550</v>
          </cell>
          <cell r="Q411">
            <v>2</v>
          </cell>
          <cell r="R411">
            <v>1100</v>
          </cell>
          <cell r="S411">
            <v>37773</v>
          </cell>
          <cell r="AE411" t="str">
            <v>C</v>
          </cell>
          <cell r="AF411" t="str">
            <v>C</v>
          </cell>
          <cell r="AG411">
            <v>82.5</v>
          </cell>
          <cell r="AH411">
            <v>10</v>
          </cell>
          <cell r="AI411">
            <v>627</v>
          </cell>
          <cell r="AJ411">
            <v>1254</v>
          </cell>
        </row>
        <row r="412">
          <cell r="A412">
            <v>168971</v>
          </cell>
          <cell r="B412">
            <v>37692</v>
          </cell>
          <cell r="D412" t="str">
            <v>ENTEL CHILE - 1600001785</v>
          </cell>
          <cell r="E412">
            <v>3569036</v>
          </cell>
          <cell r="F412">
            <v>8073516</v>
          </cell>
          <cell r="G412">
            <v>2608616</v>
          </cell>
          <cell r="H412">
            <v>37700</v>
          </cell>
          <cell r="I412">
            <v>0.5</v>
          </cell>
          <cell r="J412">
            <v>2</v>
          </cell>
          <cell r="K412" t="str">
            <v xml:space="preserve">13.3 </v>
          </cell>
          <cell r="M412" t="str">
            <v>MEM2600XM-32U64D</v>
          </cell>
          <cell r="N412" t="str">
            <v xml:space="preserve">32 to 64MB DRAM factory upgrade for Cisco 261x/2xXM  </v>
          </cell>
          <cell r="O412">
            <v>950</v>
          </cell>
          <cell r="P412">
            <v>475</v>
          </cell>
          <cell r="Q412">
            <v>2</v>
          </cell>
          <cell r="R412">
            <v>950</v>
          </cell>
          <cell r="AE412" t="str">
            <v>C</v>
          </cell>
          <cell r="AF412" t="str">
            <v>C</v>
          </cell>
          <cell r="AG412">
            <v>71.25</v>
          </cell>
          <cell r="AH412">
            <v>26</v>
          </cell>
          <cell r="AI412">
            <v>542</v>
          </cell>
          <cell r="AJ412">
            <v>1084</v>
          </cell>
        </row>
        <row r="413">
          <cell r="A413">
            <v>168971</v>
          </cell>
          <cell r="B413">
            <v>37692</v>
          </cell>
          <cell r="D413" t="str">
            <v>ENTEL CHILE - 1600001785</v>
          </cell>
          <cell r="E413">
            <v>3569036</v>
          </cell>
          <cell r="F413">
            <v>8073516</v>
          </cell>
          <cell r="G413">
            <v>2608616</v>
          </cell>
          <cell r="H413">
            <v>37700</v>
          </cell>
          <cell r="I413">
            <v>0.5</v>
          </cell>
          <cell r="J413">
            <v>2</v>
          </cell>
          <cell r="K413" t="str">
            <v xml:space="preserve">13.4 </v>
          </cell>
          <cell r="M413" t="str">
            <v>NM-4B-S/T</v>
          </cell>
          <cell r="N413" t="str">
            <v>4-Port ISDN-BRI Network Module</v>
          </cell>
          <cell r="O413">
            <v>1100</v>
          </cell>
          <cell r="P413">
            <v>550</v>
          </cell>
          <cell r="Q413">
            <v>2</v>
          </cell>
          <cell r="R413">
            <v>1100</v>
          </cell>
          <cell r="S413">
            <v>37773</v>
          </cell>
          <cell r="AE413" t="str">
            <v>C</v>
          </cell>
          <cell r="AF413" t="str">
            <v>C</v>
          </cell>
          <cell r="AG413">
            <v>82.5</v>
          </cell>
          <cell r="AH413">
            <v>24</v>
          </cell>
          <cell r="AI413">
            <v>627</v>
          </cell>
          <cell r="AJ413">
            <v>1254</v>
          </cell>
        </row>
        <row r="414">
          <cell r="A414">
            <v>168971</v>
          </cell>
          <cell r="B414">
            <v>37692</v>
          </cell>
          <cell r="D414" t="str">
            <v>ENTEL CHILE - 1600001785</v>
          </cell>
          <cell r="E414">
            <v>3569036</v>
          </cell>
          <cell r="F414">
            <v>8073516</v>
          </cell>
          <cell r="G414">
            <v>2608616</v>
          </cell>
          <cell r="H414">
            <v>37700</v>
          </cell>
          <cell r="I414">
            <v>0.5</v>
          </cell>
          <cell r="J414">
            <v>2</v>
          </cell>
          <cell r="K414" t="str">
            <v xml:space="preserve">13.5 </v>
          </cell>
          <cell r="M414" t="str">
            <v>WIC-1T</v>
          </cell>
          <cell r="N414" t="str">
            <v>1-Port Serial WAN Interface Card</v>
          </cell>
          <cell r="O414">
            <v>400</v>
          </cell>
          <cell r="P414">
            <v>200</v>
          </cell>
          <cell r="Q414">
            <v>2</v>
          </cell>
          <cell r="R414">
            <v>400</v>
          </cell>
          <cell r="AE414" t="str">
            <v>D</v>
          </cell>
          <cell r="AF414" t="str">
            <v>D</v>
          </cell>
          <cell r="AG414">
            <v>8</v>
          </cell>
          <cell r="AH414">
            <v>16</v>
          </cell>
          <cell r="AI414">
            <v>228</v>
          </cell>
          <cell r="AJ414">
            <v>456</v>
          </cell>
        </row>
        <row r="415">
          <cell r="A415">
            <v>168971</v>
          </cell>
          <cell r="B415">
            <v>37692</v>
          </cell>
          <cell r="D415" t="str">
            <v>ENTEL CHILE - 1600001785</v>
          </cell>
          <cell r="E415">
            <v>3569036</v>
          </cell>
          <cell r="F415">
            <v>8073516</v>
          </cell>
          <cell r="G415">
            <v>2608616</v>
          </cell>
          <cell r="H415">
            <v>37700</v>
          </cell>
          <cell r="I415">
            <v>0.5</v>
          </cell>
          <cell r="J415">
            <v>2</v>
          </cell>
          <cell r="K415" t="str">
            <v xml:space="preserve">13.6 </v>
          </cell>
          <cell r="M415" t="str">
            <v>CAB-V35MT</v>
          </cell>
          <cell r="N415" t="str">
            <v>V.35 Cable, DTE, Male, 10 Feet</v>
          </cell>
          <cell r="O415">
            <v>100</v>
          </cell>
          <cell r="P415">
            <v>50</v>
          </cell>
          <cell r="Q415">
            <v>2</v>
          </cell>
          <cell r="R415">
            <v>100</v>
          </cell>
          <cell r="AF415" t="str">
            <v>-</v>
          </cell>
          <cell r="AG415">
            <v>0</v>
          </cell>
          <cell r="AH415">
            <v>11</v>
          </cell>
          <cell r="AI415">
            <v>57</v>
          </cell>
          <cell r="AJ415">
            <v>114</v>
          </cell>
        </row>
        <row r="416">
          <cell r="A416">
            <v>168971</v>
          </cell>
          <cell r="B416">
            <v>37692</v>
          </cell>
          <cell r="D416" t="str">
            <v>ENTEL CHILE - 1600001785</v>
          </cell>
          <cell r="E416">
            <v>3569036</v>
          </cell>
          <cell r="F416">
            <v>8073516</v>
          </cell>
          <cell r="G416">
            <v>2608616</v>
          </cell>
          <cell r="H416">
            <v>37700</v>
          </cell>
          <cell r="I416">
            <v>0.5</v>
          </cell>
          <cell r="J416">
            <v>2</v>
          </cell>
          <cell r="K416" t="str">
            <v xml:space="preserve">13.7 </v>
          </cell>
          <cell r="M416" t="str">
            <v>MEM2600XM-16FS-INC</v>
          </cell>
          <cell r="N416" t="e">
            <v>#N/A</v>
          </cell>
          <cell r="O416">
            <v>0</v>
          </cell>
          <cell r="P416">
            <v>0</v>
          </cell>
          <cell r="Q416">
            <v>2</v>
          </cell>
          <cell r="R416">
            <v>0</v>
          </cell>
          <cell r="AF416" t="str">
            <v>c</v>
          </cell>
          <cell r="AG416">
            <v>0</v>
          </cell>
          <cell r="AH416">
            <v>22</v>
          </cell>
          <cell r="AI416">
            <v>0</v>
          </cell>
          <cell r="AJ416">
            <v>0</v>
          </cell>
        </row>
        <row r="417">
          <cell r="A417">
            <v>168971</v>
          </cell>
          <cell r="B417">
            <v>37692</v>
          </cell>
          <cell r="D417" t="str">
            <v>ENTEL CHILE - 1600001785</v>
          </cell>
          <cell r="E417">
            <v>3569036</v>
          </cell>
          <cell r="F417">
            <v>8073516</v>
          </cell>
          <cell r="G417">
            <v>2608616</v>
          </cell>
          <cell r="H417">
            <v>37700</v>
          </cell>
          <cell r="I417">
            <v>0.5</v>
          </cell>
          <cell r="J417">
            <v>2</v>
          </cell>
          <cell r="K417" t="str">
            <v xml:space="preserve">14.0 </v>
          </cell>
          <cell r="M417" t="str">
            <v>CISCO2611XM</v>
          </cell>
          <cell r="N417" t="str">
            <v>Dual 10/100 Ethernet Router w/ Cisco IOS IP</v>
          </cell>
          <cell r="O417">
            <v>2495</v>
          </cell>
          <cell r="P417">
            <v>1247.5</v>
          </cell>
          <cell r="Q417">
            <v>2</v>
          </cell>
          <cell r="R417">
            <v>2495</v>
          </cell>
          <cell r="AE417" t="str">
            <v>C</v>
          </cell>
          <cell r="AF417" t="str">
            <v>C</v>
          </cell>
          <cell r="AG417">
            <v>187.125</v>
          </cell>
          <cell r="AH417">
            <v>22</v>
          </cell>
          <cell r="AI417">
            <v>1422</v>
          </cell>
          <cell r="AJ417">
            <v>2844</v>
          </cell>
        </row>
        <row r="418">
          <cell r="A418">
            <v>168971</v>
          </cell>
          <cell r="B418">
            <v>37692</v>
          </cell>
          <cell r="D418" t="str">
            <v>ENTEL CHILE - 1600001785</v>
          </cell>
          <cell r="E418">
            <v>3569036</v>
          </cell>
          <cell r="F418">
            <v>8073516</v>
          </cell>
          <cell r="G418">
            <v>2608616</v>
          </cell>
          <cell r="H418">
            <v>37700</v>
          </cell>
          <cell r="I418">
            <v>0.5</v>
          </cell>
          <cell r="J418">
            <v>2</v>
          </cell>
          <cell r="K418" t="str">
            <v xml:space="preserve">14.1 </v>
          </cell>
          <cell r="M418" t="str">
            <v>CAB-ACI</v>
          </cell>
          <cell r="N418" t="str">
            <v>Power Cord-Italian</v>
          </cell>
          <cell r="O418">
            <v>0</v>
          </cell>
          <cell r="P418">
            <v>0</v>
          </cell>
          <cell r="Q418">
            <v>2</v>
          </cell>
          <cell r="R418">
            <v>0</v>
          </cell>
          <cell r="AF418" t="str">
            <v>-</v>
          </cell>
          <cell r="AG418">
            <v>0</v>
          </cell>
          <cell r="AH418">
            <v>22</v>
          </cell>
          <cell r="AI418">
            <v>0</v>
          </cell>
          <cell r="AJ418">
            <v>0</v>
          </cell>
        </row>
        <row r="419">
          <cell r="A419">
            <v>168971</v>
          </cell>
          <cell r="B419">
            <v>37692</v>
          </cell>
          <cell r="D419" t="str">
            <v>ENTEL CHILE - 1600001785</v>
          </cell>
          <cell r="E419">
            <v>3569036</v>
          </cell>
          <cell r="F419">
            <v>8073516</v>
          </cell>
          <cell r="G419">
            <v>2608616</v>
          </cell>
          <cell r="H419">
            <v>37700</v>
          </cell>
          <cell r="I419">
            <v>0.5</v>
          </cell>
          <cell r="J419">
            <v>2</v>
          </cell>
          <cell r="K419" t="str">
            <v xml:space="preserve">14.2 </v>
          </cell>
          <cell r="M419" t="str">
            <v>S26BP-12212</v>
          </cell>
          <cell r="N419" t="str">
            <v>Cisco 2600 Series IOS IP/IPX/AT/DEC PLUS</v>
          </cell>
          <cell r="O419">
            <v>1100</v>
          </cell>
          <cell r="P419">
            <v>550</v>
          </cell>
          <cell r="Q419">
            <v>2</v>
          </cell>
          <cell r="R419">
            <v>1100</v>
          </cell>
          <cell r="S419">
            <v>37681</v>
          </cell>
          <cell r="AE419" t="str">
            <v>C</v>
          </cell>
          <cell r="AF419" t="str">
            <v>C</v>
          </cell>
          <cell r="AG419">
            <v>82.5</v>
          </cell>
          <cell r="AH419">
            <v>10</v>
          </cell>
          <cell r="AI419">
            <v>627</v>
          </cell>
          <cell r="AJ419">
            <v>1254</v>
          </cell>
        </row>
        <row r="420">
          <cell r="A420">
            <v>168971</v>
          </cell>
          <cell r="B420">
            <v>37692</v>
          </cell>
          <cell r="D420" t="str">
            <v>ENTEL CHILE - 1600001785</v>
          </cell>
          <cell r="E420">
            <v>3569036</v>
          </cell>
          <cell r="F420">
            <v>8073516</v>
          </cell>
          <cell r="G420">
            <v>2608616</v>
          </cell>
          <cell r="H420">
            <v>37700</v>
          </cell>
          <cell r="I420">
            <v>0.5</v>
          </cell>
          <cell r="J420">
            <v>2</v>
          </cell>
          <cell r="K420" t="str">
            <v xml:space="preserve">14.3 </v>
          </cell>
          <cell r="M420" t="str">
            <v>MEM2600XM-32U64D</v>
          </cell>
          <cell r="N420" t="str">
            <v xml:space="preserve">32 to 64MB DRAM factory upgrade for Cisco 261x/2xXM  </v>
          </cell>
          <cell r="O420">
            <v>950</v>
          </cell>
          <cell r="P420">
            <v>475</v>
          </cell>
          <cell r="Q420">
            <v>2</v>
          </cell>
          <cell r="R420">
            <v>950</v>
          </cell>
          <cell r="AE420" t="str">
            <v>C</v>
          </cell>
          <cell r="AF420" t="str">
            <v>C</v>
          </cell>
          <cell r="AG420">
            <v>71.25</v>
          </cell>
          <cell r="AH420">
            <v>26</v>
          </cell>
          <cell r="AI420">
            <v>542</v>
          </cell>
          <cell r="AJ420">
            <v>1084</v>
          </cell>
        </row>
        <row r="421">
          <cell r="A421">
            <v>168971</v>
          </cell>
          <cell r="B421">
            <v>37692</v>
          </cell>
          <cell r="D421" t="str">
            <v>ENTEL CHILE - 1600001785</v>
          </cell>
          <cell r="E421">
            <v>3569036</v>
          </cell>
          <cell r="F421">
            <v>8073516</v>
          </cell>
          <cell r="G421">
            <v>2608616</v>
          </cell>
          <cell r="H421">
            <v>37700</v>
          </cell>
          <cell r="I421">
            <v>0.5</v>
          </cell>
          <cell r="J421">
            <v>2</v>
          </cell>
          <cell r="K421" t="str">
            <v xml:space="preserve">14.4 </v>
          </cell>
          <cell r="M421" t="str">
            <v>WIC-1B-S/T</v>
          </cell>
          <cell r="N421" t="str">
            <v>1-Port ISDN WAN Interface Card(dial and leased line)</v>
          </cell>
          <cell r="O421">
            <v>500</v>
          </cell>
          <cell r="P421">
            <v>250</v>
          </cell>
          <cell r="Q421">
            <v>4</v>
          </cell>
          <cell r="R421">
            <v>1000</v>
          </cell>
          <cell r="AE421" t="str">
            <v>C</v>
          </cell>
          <cell r="AF421" t="str">
            <v>C</v>
          </cell>
          <cell r="AG421">
            <v>75</v>
          </cell>
          <cell r="AH421">
            <v>4</v>
          </cell>
          <cell r="AI421">
            <v>285</v>
          </cell>
          <cell r="AJ421">
            <v>1140</v>
          </cell>
        </row>
        <row r="422">
          <cell r="A422">
            <v>168971</v>
          </cell>
          <cell r="B422">
            <v>37692</v>
          </cell>
          <cell r="D422" t="str">
            <v>ENTEL CHILE - 1600001785</v>
          </cell>
          <cell r="E422">
            <v>3569036</v>
          </cell>
          <cell r="F422">
            <v>8073516</v>
          </cell>
          <cell r="G422">
            <v>2608616</v>
          </cell>
          <cell r="H422">
            <v>37700</v>
          </cell>
          <cell r="I422">
            <v>0.5</v>
          </cell>
          <cell r="J422">
            <v>2</v>
          </cell>
          <cell r="K422" t="str">
            <v xml:space="preserve">14.5 </v>
          </cell>
          <cell r="M422" t="str">
            <v>MEM2600XM-16FS-INC</v>
          </cell>
          <cell r="N422" t="e">
            <v>#N/A</v>
          </cell>
          <cell r="O422">
            <v>0</v>
          </cell>
          <cell r="P422">
            <v>0</v>
          </cell>
          <cell r="Q422">
            <v>2</v>
          </cell>
          <cell r="R422">
            <v>0</v>
          </cell>
          <cell r="AF422" t="str">
            <v>c</v>
          </cell>
          <cell r="AG422">
            <v>0</v>
          </cell>
          <cell r="AH422">
            <v>22</v>
          </cell>
          <cell r="AI422">
            <v>0</v>
          </cell>
          <cell r="AJ422">
            <v>0</v>
          </cell>
        </row>
        <row r="423">
          <cell r="A423">
            <v>168971</v>
          </cell>
          <cell r="B423">
            <v>37692</v>
          </cell>
          <cell r="D423" t="str">
            <v>ENTEL CHILE - 1600001785</v>
          </cell>
          <cell r="E423">
            <v>3569036</v>
          </cell>
          <cell r="F423">
            <v>8073516</v>
          </cell>
          <cell r="G423">
            <v>2608616</v>
          </cell>
          <cell r="H423">
            <v>37700</v>
          </cell>
          <cell r="I423">
            <v>0.5</v>
          </cell>
          <cell r="J423">
            <v>4</v>
          </cell>
          <cell r="K423" t="str">
            <v xml:space="preserve">15.0 </v>
          </cell>
          <cell r="M423" t="str">
            <v>CISCO1760-V</v>
          </cell>
          <cell r="N423" t="str">
            <v>10/100 Modular Router w/Voice,19 inch Chassis</v>
          </cell>
          <cell r="O423">
            <v>2595</v>
          </cell>
          <cell r="P423">
            <v>1297.5</v>
          </cell>
          <cell r="Q423">
            <v>1</v>
          </cell>
          <cell r="R423">
            <v>1297.5</v>
          </cell>
          <cell r="S423">
            <v>37726</v>
          </cell>
          <cell r="Z423" t="str">
            <v>2030000202</v>
          </cell>
          <cell r="AA423">
            <v>1479</v>
          </cell>
          <cell r="AB423">
            <v>37726</v>
          </cell>
          <cell r="AE423" t="str">
            <v>D</v>
          </cell>
          <cell r="AF423" t="str">
            <v>D</v>
          </cell>
          <cell r="AG423">
            <v>25.95</v>
          </cell>
          <cell r="AH423">
            <v>9</v>
          </cell>
          <cell r="AI423">
            <v>1479</v>
          </cell>
          <cell r="AJ423">
            <v>1479</v>
          </cell>
        </row>
        <row r="424">
          <cell r="A424">
            <v>168971</v>
          </cell>
          <cell r="B424">
            <v>37692</v>
          </cell>
          <cell r="D424" t="str">
            <v>ENTEL CHILE - 1600001785</v>
          </cell>
          <cell r="E424">
            <v>3569036</v>
          </cell>
          <cell r="F424">
            <v>8073516</v>
          </cell>
          <cell r="G424">
            <v>2608616</v>
          </cell>
          <cell r="H424">
            <v>37700</v>
          </cell>
          <cell r="I424">
            <v>0.5</v>
          </cell>
          <cell r="J424">
            <v>4</v>
          </cell>
          <cell r="K424" t="str">
            <v xml:space="preserve">15.1 </v>
          </cell>
          <cell r="M424" t="str">
            <v>S17C7V8P-12211YT</v>
          </cell>
          <cell r="N424" t="str">
            <v>Cisco 1700 IOS IP/ADSL/VOX PLUS</v>
          </cell>
          <cell r="O424">
            <v>0</v>
          </cell>
          <cell r="P424">
            <v>0</v>
          </cell>
          <cell r="Q424">
            <v>1</v>
          </cell>
          <cell r="R424">
            <v>0</v>
          </cell>
          <cell r="S424">
            <v>37726</v>
          </cell>
          <cell r="Z424" t="str">
            <v>2030000202</v>
          </cell>
          <cell r="AA424">
            <v>0</v>
          </cell>
          <cell r="AB424">
            <v>37726</v>
          </cell>
          <cell r="AE424" t="str">
            <v>D</v>
          </cell>
          <cell r="AF424" t="str">
            <v>D</v>
          </cell>
          <cell r="AG424">
            <v>0</v>
          </cell>
          <cell r="AH424">
            <v>9</v>
          </cell>
          <cell r="AI424">
            <v>0</v>
          </cell>
          <cell r="AJ424">
            <v>0</v>
          </cell>
        </row>
        <row r="425">
          <cell r="A425">
            <v>168971</v>
          </cell>
          <cell r="B425">
            <v>37692</v>
          </cell>
          <cell r="D425" t="str">
            <v>ENTEL CHILE - 1600001785</v>
          </cell>
          <cell r="E425">
            <v>3569036</v>
          </cell>
          <cell r="F425">
            <v>8073516</v>
          </cell>
          <cell r="G425">
            <v>2608616</v>
          </cell>
          <cell r="H425">
            <v>37700</v>
          </cell>
          <cell r="I425">
            <v>0.5</v>
          </cell>
          <cell r="J425">
            <v>4</v>
          </cell>
          <cell r="K425" t="str">
            <v xml:space="preserve">15.2 </v>
          </cell>
          <cell r="M425" t="str">
            <v>WIC-1T</v>
          </cell>
          <cell r="N425" t="str">
            <v>1-Port Serial WAN Interface Card</v>
          </cell>
          <cell r="O425">
            <v>400</v>
          </cell>
          <cell r="P425">
            <v>200</v>
          </cell>
          <cell r="Q425">
            <v>1</v>
          </cell>
          <cell r="R425">
            <v>200</v>
          </cell>
          <cell r="S425">
            <v>37726</v>
          </cell>
          <cell r="Z425" t="str">
            <v>2030000202</v>
          </cell>
          <cell r="AA425">
            <v>228</v>
          </cell>
          <cell r="AB425">
            <v>37726</v>
          </cell>
          <cell r="AE425" t="str">
            <v>D</v>
          </cell>
          <cell r="AF425" t="str">
            <v>D</v>
          </cell>
          <cell r="AG425">
            <v>4</v>
          </cell>
          <cell r="AH425">
            <v>16</v>
          </cell>
          <cell r="AI425">
            <v>228</v>
          </cell>
          <cell r="AJ425">
            <v>228</v>
          </cell>
        </row>
        <row r="426">
          <cell r="A426">
            <v>168971</v>
          </cell>
          <cell r="B426">
            <v>37692</v>
          </cell>
          <cell r="D426" t="str">
            <v>ENTEL CHILE - 1600001785</v>
          </cell>
          <cell r="E426">
            <v>3569036</v>
          </cell>
          <cell r="F426">
            <v>8073516</v>
          </cell>
          <cell r="G426">
            <v>2608616</v>
          </cell>
          <cell r="H426">
            <v>37700</v>
          </cell>
          <cell r="I426">
            <v>0.5</v>
          </cell>
          <cell r="J426">
            <v>4</v>
          </cell>
          <cell r="K426" t="str">
            <v xml:space="preserve">15.3 </v>
          </cell>
          <cell r="M426" t="str">
            <v>VIC-2FXS</v>
          </cell>
          <cell r="N426" t="str">
            <v>Two-port Voice Interface Card - FXS</v>
          </cell>
          <cell r="O426">
            <v>400</v>
          </cell>
          <cell r="P426">
            <v>200</v>
          </cell>
          <cell r="Q426">
            <v>1</v>
          </cell>
          <cell r="R426">
            <v>200</v>
          </cell>
          <cell r="S426">
            <v>37726</v>
          </cell>
          <cell r="Z426" t="str">
            <v>2030000202</v>
          </cell>
          <cell r="AA426">
            <v>228</v>
          </cell>
          <cell r="AB426">
            <v>37726</v>
          </cell>
          <cell r="AE426" t="str">
            <v>C</v>
          </cell>
          <cell r="AF426" t="str">
            <v>C</v>
          </cell>
          <cell r="AG426">
            <v>15</v>
          </cell>
          <cell r="AH426">
            <v>15</v>
          </cell>
          <cell r="AI426">
            <v>228</v>
          </cell>
          <cell r="AJ426">
            <v>228</v>
          </cell>
        </row>
        <row r="427">
          <cell r="A427">
            <v>168971</v>
          </cell>
          <cell r="B427">
            <v>37692</v>
          </cell>
          <cell r="D427" t="str">
            <v>ENTEL CHILE - 1600001785</v>
          </cell>
          <cell r="E427">
            <v>3569036</v>
          </cell>
          <cell r="F427">
            <v>8073516</v>
          </cell>
          <cell r="G427">
            <v>2608616</v>
          </cell>
          <cell r="H427">
            <v>37700</v>
          </cell>
          <cell r="I427">
            <v>0.5</v>
          </cell>
          <cell r="J427">
            <v>4</v>
          </cell>
          <cell r="K427" t="str">
            <v xml:space="preserve">15.4 </v>
          </cell>
          <cell r="M427" t="str">
            <v>CAB-V35MT</v>
          </cell>
          <cell r="N427" t="str">
            <v>V.35 Cable, DTE, Male, 10 Feet</v>
          </cell>
          <cell r="O427">
            <v>100</v>
          </cell>
          <cell r="P427">
            <v>50</v>
          </cell>
          <cell r="Q427">
            <v>1</v>
          </cell>
          <cell r="R427">
            <v>50</v>
          </cell>
          <cell r="S427">
            <v>37726</v>
          </cell>
          <cell r="Z427" t="str">
            <v>2030000202</v>
          </cell>
          <cell r="AA427">
            <v>57</v>
          </cell>
          <cell r="AB427">
            <v>37726</v>
          </cell>
          <cell r="AF427" t="str">
            <v>-</v>
          </cell>
          <cell r="AG427">
            <v>0</v>
          </cell>
          <cell r="AH427">
            <v>11</v>
          </cell>
          <cell r="AI427">
            <v>57</v>
          </cell>
          <cell r="AJ427">
            <v>57</v>
          </cell>
        </row>
        <row r="428">
          <cell r="A428">
            <v>168971</v>
          </cell>
          <cell r="B428">
            <v>37692</v>
          </cell>
          <cell r="D428" t="str">
            <v>ENTEL CHILE - 1600001785</v>
          </cell>
          <cell r="E428">
            <v>3569036</v>
          </cell>
          <cell r="F428">
            <v>8073516</v>
          </cell>
          <cell r="G428">
            <v>2608616</v>
          </cell>
          <cell r="H428">
            <v>37700</v>
          </cell>
          <cell r="I428">
            <v>0.5</v>
          </cell>
          <cell r="J428">
            <v>4</v>
          </cell>
          <cell r="K428" t="str">
            <v xml:space="preserve">15.5 </v>
          </cell>
          <cell r="M428" t="str">
            <v>CAB-ACI</v>
          </cell>
          <cell r="N428" t="str">
            <v>Power Cord-Italian</v>
          </cell>
          <cell r="O428">
            <v>0</v>
          </cell>
          <cell r="P428">
            <v>0</v>
          </cell>
          <cell r="Q428">
            <v>1</v>
          </cell>
          <cell r="R428">
            <v>0</v>
          </cell>
          <cell r="S428">
            <v>37726</v>
          </cell>
          <cell r="Z428" t="str">
            <v>2030000202</v>
          </cell>
          <cell r="AA428">
            <v>0</v>
          </cell>
          <cell r="AB428">
            <v>37726</v>
          </cell>
          <cell r="AF428" t="str">
            <v>-</v>
          </cell>
          <cell r="AG428">
            <v>0</v>
          </cell>
          <cell r="AH428">
            <v>9</v>
          </cell>
          <cell r="AI428">
            <v>0</v>
          </cell>
          <cell r="AJ428">
            <v>0</v>
          </cell>
        </row>
        <row r="429">
          <cell r="A429">
            <v>168971</v>
          </cell>
          <cell r="B429">
            <v>37692</v>
          </cell>
          <cell r="D429" t="str">
            <v>ENTEL CHILE - 1600001785</v>
          </cell>
          <cell r="E429">
            <v>3569036</v>
          </cell>
          <cell r="F429">
            <v>8073516</v>
          </cell>
          <cell r="G429">
            <v>2608616</v>
          </cell>
          <cell r="H429">
            <v>37700</v>
          </cell>
          <cell r="I429">
            <v>0.5</v>
          </cell>
          <cell r="J429">
            <v>4</v>
          </cell>
          <cell r="K429" t="str">
            <v xml:space="preserve">15.6 </v>
          </cell>
          <cell r="M429" t="str">
            <v>MEM1700-16U32MFS</v>
          </cell>
          <cell r="N429" t="str">
            <v>Cisco 1700 16MB to 32MB Flash SIMM Factory Upgrade</v>
          </cell>
          <cell r="O429">
            <v>0</v>
          </cell>
          <cell r="P429">
            <v>0</v>
          </cell>
          <cell r="Q429">
            <v>1</v>
          </cell>
          <cell r="R429">
            <v>0</v>
          </cell>
          <cell r="S429">
            <v>37726</v>
          </cell>
          <cell r="Z429" t="str">
            <v>2030000202</v>
          </cell>
          <cell r="AA429">
            <v>0</v>
          </cell>
          <cell r="AB429">
            <v>37726</v>
          </cell>
          <cell r="AE429" t="str">
            <v>D</v>
          </cell>
          <cell r="AF429" t="str">
            <v>D</v>
          </cell>
          <cell r="AG429">
            <v>0</v>
          </cell>
          <cell r="AH429">
            <v>9</v>
          </cell>
          <cell r="AI429">
            <v>0</v>
          </cell>
          <cell r="AJ429">
            <v>0</v>
          </cell>
        </row>
        <row r="430">
          <cell r="A430">
            <v>168971</v>
          </cell>
          <cell r="B430">
            <v>37692</v>
          </cell>
          <cell r="D430" t="str">
            <v>ENTEL CHILE - 1600001785</v>
          </cell>
          <cell r="E430">
            <v>3569036</v>
          </cell>
          <cell r="F430">
            <v>8073516</v>
          </cell>
          <cell r="G430">
            <v>2608616</v>
          </cell>
          <cell r="H430">
            <v>37700</v>
          </cell>
          <cell r="I430">
            <v>0.5</v>
          </cell>
          <cell r="J430">
            <v>4</v>
          </cell>
          <cell r="K430" t="str">
            <v xml:space="preserve">15.7 </v>
          </cell>
          <cell r="M430" t="str">
            <v>MEM1700-32U64D</v>
          </cell>
          <cell r="N430" t="str">
            <v>Cisco 1700 32MB to 64MB DRAM Factory Upgrade</v>
          </cell>
          <cell r="O430">
            <v>0</v>
          </cell>
          <cell r="P430">
            <v>0</v>
          </cell>
          <cell r="Q430">
            <v>1</v>
          </cell>
          <cell r="R430">
            <v>0</v>
          </cell>
          <cell r="S430">
            <v>37726</v>
          </cell>
          <cell r="Z430" t="str">
            <v>2030000202</v>
          </cell>
          <cell r="AA430">
            <v>0</v>
          </cell>
          <cell r="AB430">
            <v>37726</v>
          </cell>
          <cell r="AE430" t="str">
            <v>D</v>
          </cell>
          <cell r="AF430" t="str">
            <v>D</v>
          </cell>
          <cell r="AG430">
            <v>0</v>
          </cell>
          <cell r="AH430">
            <v>9</v>
          </cell>
          <cell r="AI430">
            <v>0</v>
          </cell>
          <cell r="AJ430">
            <v>0</v>
          </cell>
        </row>
        <row r="431">
          <cell r="A431">
            <v>168971</v>
          </cell>
          <cell r="B431">
            <v>37692</v>
          </cell>
          <cell r="D431" t="str">
            <v>ENTEL CHILE - 1600001785</v>
          </cell>
          <cell r="E431">
            <v>3569036</v>
          </cell>
          <cell r="F431">
            <v>8073516</v>
          </cell>
          <cell r="G431">
            <v>2608616</v>
          </cell>
          <cell r="H431">
            <v>37700</v>
          </cell>
          <cell r="I431">
            <v>0.5</v>
          </cell>
          <cell r="J431">
            <v>4</v>
          </cell>
          <cell r="K431" t="str">
            <v xml:space="preserve">15.8 </v>
          </cell>
          <cell r="M431" t="str">
            <v>PVDM-256K-4</v>
          </cell>
          <cell r="N431" t="str">
            <v>4-Channel Packet Voice/Fax DSP Module</v>
          </cell>
          <cell r="O431">
            <v>0</v>
          </cell>
          <cell r="P431">
            <v>0</v>
          </cell>
          <cell r="Q431">
            <v>1</v>
          </cell>
          <cell r="R431">
            <v>0</v>
          </cell>
          <cell r="S431">
            <v>37726</v>
          </cell>
          <cell r="Z431" t="str">
            <v>2030000202</v>
          </cell>
          <cell r="AA431">
            <v>0</v>
          </cell>
          <cell r="AB431">
            <v>37726</v>
          </cell>
          <cell r="AE431" t="str">
            <v>D</v>
          </cell>
          <cell r="AF431" t="str">
            <v>D</v>
          </cell>
          <cell r="AG431">
            <v>0</v>
          </cell>
          <cell r="AH431">
            <v>9</v>
          </cell>
          <cell r="AI431">
            <v>0</v>
          </cell>
          <cell r="AJ431">
            <v>0</v>
          </cell>
        </row>
        <row r="432">
          <cell r="A432">
            <v>168971</v>
          </cell>
          <cell r="B432">
            <v>37692</v>
          </cell>
          <cell r="D432" t="str">
            <v>ENTEL CHILE - 1600001785</v>
          </cell>
          <cell r="E432">
            <v>3569036</v>
          </cell>
          <cell r="F432">
            <v>8073516</v>
          </cell>
          <cell r="G432">
            <v>2608616</v>
          </cell>
          <cell r="H432">
            <v>37700</v>
          </cell>
          <cell r="I432">
            <v>0.5</v>
          </cell>
          <cell r="J432">
            <v>7</v>
          </cell>
          <cell r="K432" t="str">
            <v xml:space="preserve">16.0 </v>
          </cell>
          <cell r="M432" t="str">
            <v>CISCO2610XM</v>
          </cell>
          <cell r="N432" t="str">
            <v>10/100 Ethernet Router w/ Cisco IOS IP</v>
          </cell>
          <cell r="O432">
            <v>1995</v>
          </cell>
          <cell r="P432">
            <v>997.5</v>
          </cell>
          <cell r="Q432">
            <v>2</v>
          </cell>
          <cell r="R432">
            <v>1995</v>
          </cell>
          <cell r="S432">
            <v>37720</v>
          </cell>
          <cell r="W432" t="str">
            <v>3851724</v>
          </cell>
          <cell r="X432">
            <v>1995</v>
          </cell>
          <cell r="Z432" t="str">
            <v>2030000196</v>
          </cell>
          <cell r="AA432">
            <v>2274</v>
          </cell>
          <cell r="AB432">
            <v>37721</v>
          </cell>
          <cell r="AE432" t="str">
            <v>C</v>
          </cell>
          <cell r="AF432" t="str">
            <v>C</v>
          </cell>
          <cell r="AG432">
            <v>149.625</v>
          </cell>
          <cell r="AH432">
            <v>25</v>
          </cell>
          <cell r="AI432">
            <v>1137</v>
          </cell>
          <cell r="AJ432">
            <v>2274</v>
          </cell>
        </row>
        <row r="433">
          <cell r="A433">
            <v>168971</v>
          </cell>
          <cell r="B433">
            <v>37692</v>
          </cell>
          <cell r="D433" t="str">
            <v>ENTEL CHILE - 1600001785</v>
          </cell>
          <cell r="E433">
            <v>3569036</v>
          </cell>
          <cell r="F433">
            <v>8073516</v>
          </cell>
          <cell r="G433">
            <v>2608616</v>
          </cell>
          <cell r="H433">
            <v>37700</v>
          </cell>
          <cell r="I433">
            <v>0.5</v>
          </cell>
          <cell r="J433">
            <v>7</v>
          </cell>
          <cell r="K433" t="str">
            <v xml:space="preserve">16.1 </v>
          </cell>
          <cell r="M433" t="str">
            <v>CAB-ACI</v>
          </cell>
          <cell r="N433" t="str">
            <v>Power Cord-Italian</v>
          </cell>
          <cell r="O433">
            <v>0</v>
          </cell>
          <cell r="P433">
            <v>0</v>
          </cell>
          <cell r="Q433">
            <v>2</v>
          </cell>
          <cell r="R433">
            <v>0</v>
          </cell>
          <cell r="S433">
            <v>37720</v>
          </cell>
          <cell r="W433" t="str">
            <v>3851724</v>
          </cell>
          <cell r="X433">
            <v>0</v>
          </cell>
          <cell r="Z433" t="str">
            <v>2030000196</v>
          </cell>
          <cell r="AA433">
            <v>0</v>
          </cell>
          <cell r="AB433">
            <v>37721</v>
          </cell>
          <cell r="AF433" t="str">
            <v>-</v>
          </cell>
          <cell r="AG433">
            <v>0</v>
          </cell>
          <cell r="AH433">
            <v>25</v>
          </cell>
          <cell r="AI433">
            <v>0</v>
          </cell>
          <cell r="AJ433">
            <v>0</v>
          </cell>
        </row>
        <row r="434">
          <cell r="A434">
            <v>168971</v>
          </cell>
          <cell r="B434">
            <v>37692</v>
          </cell>
          <cell r="D434" t="str">
            <v>ENTEL CHILE - 1600001785</v>
          </cell>
          <cell r="E434">
            <v>3569036</v>
          </cell>
          <cell r="F434">
            <v>8073516</v>
          </cell>
          <cell r="G434">
            <v>2608616</v>
          </cell>
          <cell r="H434">
            <v>37700</v>
          </cell>
          <cell r="I434">
            <v>0.5</v>
          </cell>
          <cell r="J434">
            <v>7</v>
          </cell>
          <cell r="K434" t="str">
            <v xml:space="preserve">16.2 </v>
          </cell>
          <cell r="M434" t="str">
            <v>NM-1E</v>
          </cell>
          <cell r="N434" t="str">
            <v>1-Port Ethernet Network Module</v>
          </cell>
          <cell r="O434">
            <v>1000</v>
          </cell>
          <cell r="P434">
            <v>500</v>
          </cell>
          <cell r="Q434">
            <v>2</v>
          </cell>
          <cell r="R434">
            <v>1000</v>
          </cell>
          <cell r="S434">
            <v>37720</v>
          </cell>
          <cell r="W434" t="str">
            <v>3851724</v>
          </cell>
          <cell r="X434">
            <v>1000</v>
          </cell>
          <cell r="Z434" t="str">
            <v>2030000196</v>
          </cell>
          <cell r="AA434">
            <v>1140</v>
          </cell>
          <cell r="AB434">
            <v>37721</v>
          </cell>
          <cell r="AE434" t="str">
            <v>C</v>
          </cell>
          <cell r="AF434" t="str">
            <v>C</v>
          </cell>
          <cell r="AG434">
            <v>75</v>
          </cell>
          <cell r="AH434">
            <v>27</v>
          </cell>
          <cell r="AI434">
            <v>570</v>
          </cell>
          <cell r="AJ434">
            <v>1140</v>
          </cell>
        </row>
        <row r="435">
          <cell r="A435">
            <v>168971</v>
          </cell>
          <cell r="B435">
            <v>37692</v>
          </cell>
          <cell r="D435" t="str">
            <v>ENTEL CHILE - 1600001785</v>
          </cell>
          <cell r="E435">
            <v>3569036</v>
          </cell>
          <cell r="F435">
            <v>8073516</v>
          </cell>
          <cell r="G435">
            <v>2608616</v>
          </cell>
          <cell r="H435">
            <v>37700</v>
          </cell>
          <cell r="I435">
            <v>0.5</v>
          </cell>
          <cell r="J435">
            <v>7</v>
          </cell>
          <cell r="K435" t="str">
            <v xml:space="preserve">16.3 </v>
          </cell>
          <cell r="M435" t="str">
            <v>WIC-1T</v>
          </cell>
          <cell r="N435" t="str">
            <v>1-Port Serial WAN Interface Card</v>
          </cell>
          <cell r="O435">
            <v>400</v>
          </cell>
          <cell r="P435">
            <v>200</v>
          </cell>
          <cell r="Q435">
            <v>2</v>
          </cell>
          <cell r="R435">
            <v>400</v>
          </cell>
          <cell r="S435">
            <v>37720</v>
          </cell>
          <cell r="W435" t="str">
            <v>3851724</v>
          </cell>
          <cell r="X435">
            <v>400</v>
          </cell>
          <cell r="Z435" t="str">
            <v>2030000196</v>
          </cell>
          <cell r="AA435">
            <v>456</v>
          </cell>
          <cell r="AB435">
            <v>37721</v>
          </cell>
          <cell r="AE435" t="str">
            <v>D</v>
          </cell>
          <cell r="AF435" t="str">
            <v>D</v>
          </cell>
          <cell r="AG435">
            <v>8</v>
          </cell>
          <cell r="AH435">
            <v>16</v>
          </cell>
          <cell r="AI435">
            <v>228</v>
          </cell>
          <cell r="AJ435">
            <v>456</v>
          </cell>
        </row>
        <row r="436">
          <cell r="A436">
            <v>168971</v>
          </cell>
          <cell r="B436">
            <v>37692</v>
          </cell>
          <cell r="D436" t="str">
            <v>ENTEL CHILE - 1600001785</v>
          </cell>
          <cell r="E436">
            <v>3569036</v>
          </cell>
          <cell r="F436">
            <v>8073516</v>
          </cell>
          <cell r="G436">
            <v>2608616</v>
          </cell>
          <cell r="H436">
            <v>37700</v>
          </cell>
          <cell r="I436">
            <v>0.5</v>
          </cell>
          <cell r="J436">
            <v>7</v>
          </cell>
          <cell r="K436" t="str">
            <v xml:space="preserve">16.4 </v>
          </cell>
          <cell r="M436" t="str">
            <v>CAB-V35MT</v>
          </cell>
          <cell r="N436" t="str">
            <v>V.35 Cable, DTE, Male, 10 Feet</v>
          </cell>
          <cell r="O436">
            <v>100</v>
          </cell>
          <cell r="P436">
            <v>50</v>
          </cell>
          <cell r="Q436">
            <v>2</v>
          </cell>
          <cell r="R436">
            <v>100</v>
          </cell>
          <cell r="S436">
            <v>37720</v>
          </cell>
          <cell r="W436" t="str">
            <v>3851724</v>
          </cell>
          <cell r="X436">
            <v>100</v>
          </cell>
          <cell r="Z436" t="str">
            <v>2030000196</v>
          </cell>
          <cell r="AA436">
            <v>114</v>
          </cell>
          <cell r="AB436">
            <v>37721</v>
          </cell>
          <cell r="AF436" t="str">
            <v>-</v>
          </cell>
          <cell r="AG436">
            <v>0</v>
          </cell>
          <cell r="AH436">
            <v>11</v>
          </cell>
          <cell r="AI436">
            <v>57</v>
          </cell>
          <cell r="AJ436">
            <v>114</v>
          </cell>
        </row>
        <row r="437">
          <cell r="A437">
            <v>168971</v>
          </cell>
          <cell r="B437">
            <v>37692</v>
          </cell>
          <cell r="D437" t="str">
            <v>ENTEL CHILE - 1600001785</v>
          </cell>
          <cell r="E437">
            <v>3569036</v>
          </cell>
          <cell r="F437">
            <v>8073516</v>
          </cell>
          <cell r="G437">
            <v>2608616</v>
          </cell>
          <cell r="H437">
            <v>37700</v>
          </cell>
          <cell r="I437">
            <v>0.5</v>
          </cell>
          <cell r="J437">
            <v>7</v>
          </cell>
          <cell r="K437" t="str">
            <v xml:space="preserve">16.5 </v>
          </cell>
          <cell r="M437" t="str">
            <v>S26C-12208T</v>
          </cell>
          <cell r="N437" t="str">
            <v>Cisco 2600 Series IOS IP</v>
          </cell>
          <cell r="O437">
            <v>0</v>
          </cell>
          <cell r="P437">
            <v>0</v>
          </cell>
          <cell r="Q437">
            <v>2</v>
          </cell>
          <cell r="R437">
            <v>0</v>
          </cell>
          <cell r="S437">
            <v>37720</v>
          </cell>
          <cell r="W437" t="str">
            <v>3851724</v>
          </cell>
          <cell r="X437">
            <v>0</v>
          </cell>
          <cell r="Z437" t="str">
            <v>2030000196</v>
          </cell>
          <cell r="AA437">
            <v>0</v>
          </cell>
          <cell r="AB437">
            <v>37721</v>
          </cell>
          <cell r="AE437" t="str">
            <v>C</v>
          </cell>
          <cell r="AF437" t="str">
            <v>C</v>
          </cell>
          <cell r="AG437">
            <v>0</v>
          </cell>
          <cell r="AH437">
            <v>25</v>
          </cell>
          <cell r="AI437">
            <v>0</v>
          </cell>
          <cell r="AJ437">
            <v>0</v>
          </cell>
        </row>
        <row r="438">
          <cell r="A438">
            <v>168971</v>
          </cell>
          <cell r="B438">
            <v>37692</v>
          </cell>
          <cell r="D438" t="str">
            <v>ENTEL CHILE - 1600001785</v>
          </cell>
          <cell r="E438">
            <v>3569036</v>
          </cell>
          <cell r="F438">
            <v>8073516</v>
          </cell>
          <cell r="G438">
            <v>2608616</v>
          </cell>
          <cell r="H438">
            <v>37700</v>
          </cell>
          <cell r="I438">
            <v>0.5</v>
          </cell>
          <cell r="J438">
            <v>7</v>
          </cell>
          <cell r="K438" t="str">
            <v xml:space="preserve">16.6 </v>
          </cell>
          <cell r="M438" t="str">
            <v>MEM2600XM-32D-INC</v>
          </cell>
          <cell r="N438" t="e">
            <v>#N/A</v>
          </cell>
          <cell r="O438">
            <v>0</v>
          </cell>
          <cell r="P438">
            <v>0</v>
          </cell>
          <cell r="Q438">
            <v>2</v>
          </cell>
          <cell r="R438">
            <v>0</v>
          </cell>
          <cell r="S438">
            <v>37720</v>
          </cell>
          <cell r="W438" t="str">
            <v>3851724</v>
          </cell>
          <cell r="X438">
            <v>0</v>
          </cell>
          <cell r="Z438" t="str">
            <v>2030000196</v>
          </cell>
          <cell r="AA438">
            <v>0</v>
          </cell>
          <cell r="AB438">
            <v>37721</v>
          </cell>
          <cell r="AF438" t="str">
            <v>c</v>
          </cell>
          <cell r="AG438">
            <v>0</v>
          </cell>
          <cell r="AH438">
            <v>25</v>
          </cell>
          <cell r="AI438">
            <v>0</v>
          </cell>
          <cell r="AJ438">
            <v>0</v>
          </cell>
        </row>
        <row r="439">
          <cell r="A439">
            <v>168971</v>
          </cell>
          <cell r="B439">
            <v>37692</v>
          </cell>
          <cell r="D439" t="str">
            <v>ENTEL CHILE - 1600001785</v>
          </cell>
          <cell r="E439">
            <v>3569036</v>
          </cell>
          <cell r="F439">
            <v>8073516</v>
          </cell>
          <cell r="G439">
            <v>2608616</v>
          </cell>
          <cell r="H439">
            <v>37700</v>
          </cell>
          <cell r="I439">
            <v>0.5</v>
          </cell>
          <cell r="J439">
            <v>7</v>
          </cell>
          <cell r="K439" t="str">
            <v xml:space="preserve">16.7 </v>
          </cell>
          <cell r="M439" t="str">
            <v>MEM2600XM-16FS-INC</v>
          </cell>
          <cell r="N439" t="e">
            <v>#N/A</v>
          </cell>
          <cell r="O439">
            <v>0</v>
          </cell>
          <cell r="P439">
            <v>0</v>
          </cell>
          <cell r="Q439">
            <v>2</v>
          </cell>
          <cell r="R439">
            <v>0</v>
          </cell>
          <cell r="S439">
            <v>37720</v>
          </cell>
          <cell r="W439" t="str">
            <v>3851724</v>
          </cell>
          <cell r="X439">
            <v>0</v>
          </cell>
          <cell r="Z439" t="str">
            <v>2030000196</v>
          </cell>
          <cell r="AA439">
            <v>0</v>
          </cell>
          <cell r="AB439">
            <v>37721</v>
          </cell>
          <cell r="AF439" t="str">
            <v>c</v>
          </cell>
          <cell r="AG439">
            <v>0</v>
          </cell>
          <cell r="AH439">
            <v>25</v>
          </cell>
          <cell r="AI439">
            <v>0</v>
          </cell>
          <cell r="AJ439">
            <v>0</v>
          </cell>
        </row>
        <row r="440">
          <cell r="A440">
            <v>168971</v>
          </cell>
          <cell r="B440">
            <v>37692</v>
          </cell>
          <cell r="D440" t="str">
            <v>ENTEL CHILE - 1600001785</v>
          </cell>
          <cell r="E440">
            <v>3569036</v>
          </cell>
          <cell r="F440">
            <v>8073516</v>
          </cell>
          <cell r="G440">
            <v>2608616</v>
          </cell>
          <cell r="H440">
            <v>37700</v>
          </cell>
          <cell r="I440">
            <v>0.5</v>
          </cell>
          <cell r="J440">
            <v>7</v>
          </cell>
          <cell r="K440" t="str">
            <v xml:space="preserve">17.0 </v>
          </cell>
          <cell r="M440" t="str">
            <v>CISCO2611XM</v>
          </cell>
          <cell r="N440" t="str">
            <v>Dual 10/100 Ethernet Router w/ Cisco IOS IP</v>
          </cell>
          <cell r="O440">
            <v>2495</v>
          </cell>
          <cell r="P440">
            <v>1247.5</v>
          </cell>
          <cell r="Q440">
            <v>1</v>
          </cell>
          <cell r="R440">
            <v>1247.5</v>
          </cell>
          <cell r="S440">
            <v>37720</v>
          </cell>
          <cell r="W440" t="str">
            <v>3851724</v>
          </cell>
          <cell r="X440">
            <v>1247.5</v>
          </cell>
          <cell r="Z440" t="str">
            <v>2030000196</v>
          </cell>
          <cell r="AA440">
            <v>1422</v>
          </cell>
          <cell r="AB440">
            <v>37721</v>
          </cell>
          <cell r="AE440" t="str">
            <v>C</v>
          </cell>
          <cell r="AF440" t="str">
            <v>C</v>
          </cell>
          <cell r="AG440">
            <v>93.5625</v>
          </cell>
          <cell r="AH440">
            <v>22</v>
          </cell>
          <cell r="AI440">
            <v>1422</v>
          </cell>
          <cell r="AJ440">
            <v>1422</v>
          </cell>
        </row>
        <row r="441">
          <cell r="A441">
            <v>168971</v>
          </cell>
          <cell r="B441">
            <v>37692</v>
          </cell>
          <cell r="D441" t="str">
            <v>ENTEL CHILE - 1600001785</v>
          </cell>
          <cell r="E441">
            <v>3569036</v>
          </cell>
          <cell r="F441">
            <v>8073516</v>
          </cell>
          <cell r="G441">
            <v>2608616</v>
          </cell>
          <cell r="H441">
            <v>37700</v>
          </cell>
          <cell r="I441">
            <v>0.5</v>
          </cell>
          <cell r="J441">
            <v>7</v>
          </cell>
          <cell r="K441" t="str">
            <v xml:space="preserve">17.1 </v>
          </cell>
          <cell r="M441" t="str">
            <v>CAB-ACI</v>
          </cell>
          <cell r="N441" t="str">
            <v>Power Cord-Italian</v>
          </cell>
          <cell r="O441">
            <v>0</v>
          </cell>
          <cell r="P441">
            <v>0</v>
          </cell>
          <cell r="Q441">
            <v>1</v>
          </cell>
          <cell r="R441">
            <v>0</v>
          </cell>
          <cell r="S441">
            <v>37720</v>
          </cell>
          <cell r="W441" t="str">
            <v>3851724</v>
          </cell>
          <cell r="X441">
            <v>0</v>
          </cell>
          <cell r="Z441" t="str">
            <v>2030000196</v>
          </cell>
          <cell r="AA441">
            <v>0</v>
          </cell>
          <cell r="AB441">
            <v>37721</v>
          </cell>
          <cell r="AF441" t="str">
            <v>-</v>
          </cell>
          <cell r="AG441">
            <v>0</v>
          </cell>
          <cell r="AH441">
            <v>22</v>
          </cell>
          <cell r="AI441">
            <v>0</v>
          </cell>
          <cell r="AJ441">
            <v>0</v>
          </cell>
        </row>
        <row r="442">
          <cell r="A442">
            <v>168971</v>
          </cell>
          <cell r="B442">
            <v>37692</v>
          </cell>
          <cell r="D442" t="str">
            <v>ENTEL CHILE - 1600001785</v>
          </cell>
          <cell r="E442">
            <v>3569036</v>
          </cell>
          <cell r="F442">
            <v>8073516</v>
          </cell>
          <cell r="G442">
            <v>2608616</v>
          </cell>
          <cell r="H442">
            <v>37700</v>
          </cell>
          <cell r="I442">
            <v>0.5</v>
          </cell>
          <cell r="J442">
            <v>7</v>
          </cell>
          <cell r="K442" t="str">
            <v xml:space="preserve">17.2 </v>
          </cell>
          <cell r="M442" t="str">
            <v>S26AP-12212</v>
          </cell>
          <cell r="N442" t="str">
            <v>Cisco 2600 Series IOS ENTERPRISE PLUS</v>
          </cell>
          <cell r="O442">
            <v>1300</v>
          </cell>
          <cell r="P442">
            <v>650</v>
          </cell>
          <cell r="Q442">
            <v>1</v>
          </cell>
          <cell r="R442">
            <v>650</v>
          </cell>
          <cell r="S442">
            <v>37720</v>
          </cell>
          <cell r="W442" t="str">
            <v>3851724</v>
          </cell>
          <cell r="X442">
            <v>650</v>
          </cell>
          <cell r="Z442" t="str">
            <v>2030000196</v>
          </cell>
          <cell r="AA442">
            <v>741</v>
          </cell>
          <cell r="AB442">
            <v>37721</v>
          </cell>
          <cell r="AE442" t="str">
            <v>C</v>
          </cell>
          <cell r="AF442" t="str">
            <v>C</v>
          </cell>
          <cell r="AG442">
            <v>48.75</v>
          </cell>
          <cell r="AH442">
            <v>21</v>
          </cell>
          <cell r="AI442">
            <v>741</v>
          </cell>
          <cell r="AJ442">
            <v>741</v>
          </cell>
        </row>
        <row r="443">
          <cell r="A443">
            <v>168971</v>
          </cell>
          <cell r="B443">
            <v>37692</v>
          </cell>
          <cell r="D443" t="str">
            <v>ENTEL CHILE - 1600001785</v>
          </cell>
          <cell r="E443">
            <v>3569036</v>
          </cell>
          <cell r="F443">
            <v>8073516</v>
          </cell>
          <cell r="G443">
            <v>2608616</v>
          </cell>
          <cell r="H443">
            <v>37700</v>
          </cell>
          <cell r="I443">
            <v>0.5</v>
          </cell>
          <cell r="J443">
            <v>7</v>
          </cell>
          <cell r="K443" t="str">
            <v xml:space="preserve">17.3 </v>
          </cell>
          <cell r="M443" t="str">
            <v>MEM2600XM-32U64D</v>
          </cell>
          <cell r="N443" t="str">
            <v xml:space="preserve">32 to 64MB DRAM factory upgrade for Cisco 261x/2xXM  </v>
          </cell>
          <cell r="O443">
            <v>950</v>
          </cell>
          <cell r="P443">
            <v>475</v>
          </cell>
          <cell r="Q443">
            <v>1</v>
          </cell>
          <cell r="R443">
            <v>475</v>
          </cell>
          <cell r="S443">
            <v>37720</v>
          </cell>
          <cell r="W443" t="str">
            <v>3851724</v>
          </cell>
          <cell r="X443">
            <v>475</v>
          </cell>
          <cell r="Z443" t="str">
            <v>2030000196</v>
          </cell>
          <cell r="AA443">
            <v>542</v>
          </cell>
          <cell r="AB443">
            <v>37721</v>
          </cell>
          <cell r="AE443" t="str">
            <v>C</v>
          </cell>
          <cell r="AF443" t="str">
            <v>C</v>
          </cell>
          <cell r="AG443">
            <v>35.625</v>
          </cell>
          <cell r="AH443">
            <v>26</v>
          </cell>
          <cell r="AI443">
            <v>542</v>
          </cell>
          <cell r="AJ443">
            <v>542</v>
          </cell>
        </row>
        <row r="444">
          <cell r="A444">
            <v>168971</v>
          </cell>
          <cell r="B444">
            <v>37692</v>
          </cell>
          <cell r="D444" t="str">
            <v>ENTEL CHILE - 1600001785</v>
          </cell>
          <cell r="E444">
            <v>3569036</v>
          </cell>
          <cell r="F444">
            <v>8073516</v>
          </cell>
          <cell r="G444">
            <v>2608616</v>
          </cell>
          <cell r="H444">
            <v>37700</v>
          </cell>
          <cell r="I444">
            <v>0.5</v>
          </cell>
          <cell r="J444">
            <v>7</v>
          </cell>
          <cell r="K444" t="str">
            <v xml:space="preserve">17.4 </v>
          </cell>
          <cell r="M444" t="str">
            <v>NM-1E</v>
          </cell>
          <cell r="N444" t="str">
            <v>1-Port Ethernet Network Module</v>
          </cell>
          <cell r="O444">
            <v>1000</v>
          </cell>
          <cell r="P444">
            <v>500</v>
          </cell>
          <cell r="Q444">
            <v>1</v>
          </cell>
          <cell r="R444">
            <v>500</v>
          </cell>
          <cell r="S444">
            <v>37720</v>
          </cell>
          <cell r="W444" t="str">
            <v>3851724</v>
          </cell>
          <cell r="X444">
            <v>500</v>
          </cell>
          <cell r="Z444" t="str">
            <v>2030000196</v>
          </cell>
          <cell r="AA444">
            <v>570</v>
          </cell>
          <cell r="AB444">
            <v>37721</v>
          </cell>
          <cell r="AE444" t="str">
            <v>C</v>
          </cell>
          <cell r="AF444" t="str">
            <v>C</v>
          </cell>
          <cell r="AG444">
            <v>37.5</v>
          </cell>
          <cell r="AH444">
            <v>27</v>
          </cell>
          <cell r="AI444">
            <v>570</v>
          </cell>
          <cell r="AJ444">
            <v>570</v>
          </cell>
        </row>
        <row r="445">
          <cell r="A445">
            <v>168971</v>
          </cell>
          <cell r="B445">
            <v>37692</v>
          </cell>
          <cell r="D445" t="str">
            <v>ENTEL CHILE - 1600001785</v>
          </cell>
          <cell r="E445">
            <v>3569036</v>
          </cell>
          <cell r="F445">
            <v>8073516</v>
          </cell>
          <cell r="G445">
            <v>2608616</v>
          </cell>
          <cell r="H445">
            <v>37700</v>
          </cell>
          <cell r="I445">
            <v>0.5</v>
          </cell>
          <cell r="J445">
            <v>7</v>
          </cell>
          <cell r="K445" t="str">
            <v xml:space="preserve">17.5 </v>
          </cell>
          <cell r="M445" t="str">
            <v>WIC-1T</v>
          </cell>
          <cell r="N445" t="str">
            <v>1-Port Serial WAN Interface Card</v>
          </cell>
          <cell r="O445">
            <v>400</v>
          </cell>
          <cell r="P445">
            <v>200</v>
          </cell>
          <cell r="Q445">
            <v>1</v>
          </cell>
          <cell r="R445">
            <v>200</v>
          </cell>
          <cell r="S445">
            <v>37720</v>
          </cell>
          <cell r="W445" t="str">
            <v>3851724</v>
          </cell>
          <cell r="X445">
            <v>200</v>
          </cell>
          <cell r="Z445" t="str">
            <v>2030000196</v>
          </cell>
          <cell r="AA445">
            <v>228</v>
          </cell>
          <cell r="AB445">
            <v>37721</v>
          </cell>
          <cell r="AE445" t="str">
            <v>D</v>
          </cell>
          <cell r="AF445" t="str">
            <v>D</v>
          </cell>
          <cell r="AG445">
            <v>4</v>
          </cell>
          <cell r="AH445">
            <v>16</v>
          </cell>
          <cell r="AI445">
            <v>228</v>
          </cell>
          <cell r="AJ445">
            <v>228</v>
          </cell>
        </row>
        <row r="446">
          <cell r="A446">
            <v>168971</v>
          </cell>
          <cell r="B446">
            <v>37692</v>
          </cell>
          <cell r="D446" t="str">
            <v>ENTEL CHILE - 1600001785</v>
          </cell>
          <cell r="E446">
            <v>3569036</v>
          </cell>
          <cell r="F446">
            <v>8073516</v>
          </cell>
          <cell r="G446">
            <v>2608616</v>
          </cell>
          <cell r="H446">
            <v>37700</v>
          </cell>
          <cell r="I446">
            <v>0.5</v>
          </cell>
          <cell r="J446">
            <v>7</v>
          </cell>
          <cell r="K446" t="str">
            <v xml:space="preserve">17.6 </v>
          </cell>
          <cell r="M446" t="str">
            <v>CAB-V35MT</v>
          </cell>
          <cell r="N446" t="str">
            <v>V.35 Cable, DTE, Male, 10 Feet</v>
          </cell>
          <cell r="O446">
            <v>100</v>
          </cell>
          <cell r="P446">
            <v>50</v>
          </cell>
          <cell r="Q446">
            <v>1</v>
          </cell>
          <cell r="R446">
            <v>50</v>
          </cell>
          <cell r="S446">
            <v>37720</v>
          </cell>
          <cell r="W446" t="str">
            <v>3851724</v>
          </cell>
          <cell r="X446">
            <v>50</v>
          </cell>
          <cell r="Z446" t="str">
            <v>2030000196</v>
          </cell>
          <cell r="AA446">
            <v>57</v>
          </cell>
          <cell r="AB446">
            <v>37721</v>
          </cell>
          <cell r="AF446" t="str">
            <v>-</v>
          </cell>
          <cell r="AG446">
            <v>0</v>
          </cell>
          <cell r="AH446">
            <v>11</v>
          </cell>
          <cell r="AI446">
            <v>57</v>
          </cell>
          <cell r="AJ446">
            <v>57</v>
          </cell>
        </row>
        <row r="447">
          <cell r="A447">
            <v>168971</v>
          </cell>
          <cell r="B447">
            <v>37692</v>
          </cell>
          <cell r="D447" t="str">
            <v>ENTEL CHILE - 1600001785</v>
          </cell>
          <cell r="E447">
            <v>3569036</v>
          </cell>
          <cell r="F447">
            <v>8073516</v>
          </cell>
          <cell r="G447">
            <v>2608616</v>
          </cell>
          <cell r="H447">
            <v>37700</v>
          </cell>
          <cell r="I447">
            <v>0.5</v>
          </cell>
          <cell r="J447">
            <v>7</v>
          </cell>
          <cell r="K447" t="str">
            <v xml:space="preserve">17.7 </v>
          </cell>
          <cell r="M447" t="str">
            <v>MEM2600XM-16FS-INC</v>
          </cell>
          <cell r="N447" t="e">
            <v>#N/A</v>
          </cell>
          <cell r="O447">
            <v>0</v>
          </cell>
          <cell r="P447">
            <v>0</v>
          </cell>
          <cell r="Q447">
            <v>1</v>
          </cell>
          <cell r="R447">
            <v>0</v>
          </cell>
          <cell r="S447">
            <v>37720</v>
          </cell>
          <cell r="W447" t="str">
            <v>3851724</v>
          </cell>
          <cell r="X447">
            <v>0</v>
          </cell>
          <cell r="Z447" t="str">
            <v>2030000196</v>
          </cell>
          <cell r="AA447">
            <v>0</v>
          </cell>
          <cell r="AB447">
            <v>37721</v>
          </cell>
          <cell r="AF447" t="str">
            <v>c</v>
          </cell>
          <cell r="AG447">
            <v>0</v>
          </cell>
          <cell r="AH447">
            <v>22</v>
          </cell>
          <cell r="AI447">
            <v>0</v>
          </cell>
          <cell r="AJ447">
            <v>0</v>
          </cell>
        </row>
        <row r="448">
          <cell r="A448">
            <v>168971</v>
          </cell>
          <cell r="B448">
            <v>37692</v>
          </cell>
          <cell r="D448" t="str">
            <v>ENTEL CHILE - 1600001785</v>
          </cell>
          <cell r="E448">
            <v>3569036</v>
          </cell>
          <cell r="F448">
            <v>8073516</v>
          </cell>
          <cell r="G448">
            <v>2608616</v>
          </cell>
          <cell r="H448">
            <v>37700</v>
          </cell>
          <cell r="I448">
            <v>0.5</v>
          </cell>
          <cell r="J448">
            <v>3</v>
          </cell>
          <cell r="K448" t="str">
            <v>18.0</v>
          </cell>
          <cell r="M448" t="str">
            <v>CE-507-K9</v>
          </cell>
          <cell r="N448" t="str">
            <v>Content Engine 507, AC Power, with ACNS Software</v>
          </cell>
          <cell r="O448">
            <v>5500</v>
          </cell>
          <cell r="P448">
            <v>2750</v>
          </cell>
          <cell r="Q448">
            <v>2</v>
          </cell>
          <cell r="R448">
            <v>5500</v>
          </cell>
          <cell r="W448" t="str">
            <v>3861788</v>
          </cell>
          <cell r="X448">
            <v>5500</v>
          </cell>
          <cell r="Z448" t="str">
            <v>2030000213</v>
          </cell>
          <cell r="AA448">
            <v>6270</v>
          </cell>
          <cell r="AB448">
            <v>37735</v>
          </cell>
          <cell r="AE448" t="str">
            <v>D</v>
          </cell>
          <cell r="AF448" t="str">
            <v>D</v>
          </cell>
          <cell r="AG448">
            <v>110</v>
          </cell>
          <cell r="AH448">
            <v>5</v>
          </cell>
          <cell r="AI448">
            <v>3135</v>
          </cell>
          <cell r="AJ448">
            <v>6270</v>
          </cell>
        </row>
        <row r="449">
          <cell r="A449">
            <v>168971</v>
          </cell>
          <cell r="B449">
            <v>37692</v>
          </cell>
          <cell r="D449" t="str">
            <v>ENTEL CHILE - 1600001785</v>
          </cell>
          <cell r="E449">
            <v>3569036</v>
          </cell>
          <cell r="F449">
            <v>8073516</v>
          </cell>
          <cell r="G449">
            <v>2608616</v>
          </cell>
          <cell r="H449">
            <v>37700</v>
          </cell>
          <cell r="I449">
            <v>0.5</v>
          </cell>
          <cell r="J449">
            <v>3</v>
          </cell>
          <cell r="K449" t="str">
            <v>18.1</v>
          </cell>
          <cell r="M449" t="str">
            <v>CE-DISK-18GB-507-X</v>
          </cell>
          <cell r="N449" t="str">
            <v>(1)Extra18GB,10KRPM,SCSIdiskdrivefortheCE507</v>
          </cell>
          <cell r="O449">
            <v>995</v>
          </cell>
          <cell r="P449">
            <v>497.5</v>
          </cell>
          <cell r="Q449">
            <v>2</v>
          </cell>
          <cell r="R449">
            <v>995</v>
          </cell>
          <cell r="W449" t="str">
            <v>3861788</v>
          </cell>
          <cell r="X449">
            <v>995</v>
          </cell>
          <cell r="Z449" t="str">
            <v>2030000213</v>
          </cell>
          <cell r="AA449">
            <v>1134</v>
          </cell>
          <cell r="AB449">
            <v>37735</v>
          </cell>
          <cell r="AE449" t="str">
            <v>D</v>
          </cell>
          <cell r="AF449" t="str">
            <v>D</v>
          </cell>
          <cell r="AG449">
            <v>19.900000000000002</v>
          </cell>
          <cell r="AH449">
            <v>2</v>
          </cell>
          <cell r="AI449">
            <v>567</v>
          </cell>
          <cell r="AJ449">
            <v>1134</v>
          </cell>
        </row>
        <row r="450">
          <cell r="A450">
            <v>168971</v>
          </cell>
          <cell r="B450">
            <v>37692</v>
          </cell>
          <cell r="D450" t="str">
            <v>ENTEL CHILE - 1600001785</v>
          </cell>
          <cell r="E450">
            <v>3569036</v>
          </cell>
          <cell r="F450">
            <v>8073516</v>
          </cell>
          <cell r="G450">
            <v>2608616</v>
          </cell>
          <cell r="H450">
            <v>37700</v>
          </cell>
          <cell r="I450">
            <v>0.5</v>
          </cell>
          <cell r="J450">
            <v>3</v>
          </cell>
          <cell r="K450" t="str">
            <v>18.2</v>
          </cell>
          <cell r="M450" t="str">
            <v>CAB-ACI</v>
          </cell>
          <cell r="N450" t="str">
            <v>Power Cord-Italian</v>
          </cell>
          <cell r="O450">
            <v>0</v>
          </cell>
          <cell r="P450">
            <v>0</v>
          </cell>
          <cell r="Q450">
            <v>2</v>
          </cell>
          <cell r="R450">
            <v>0</v>
          </cell>
          <cell r="W450" t="str">
            <v>3861788</v>
          </cell>
          <cell r="X450">
            <v>0</v>
          </cell>
          <cell r="Z450" t="str">
            <v>2030000213</v>
          </cell>
          <cell r="AA450">
            <v>0</v>
          </cell>
          <cell r="AB450">
            <v>37735</v>
          </cell>
          <cell r="AF450" t="str">
            <v>-</v>
          </cell>
          <cell r="AG450">
            <v>0</v>
          </cell>
          <cell r="AH450">
            <v>5</v>
          </cell>
          <cell r="AI450">
            <v>0</v>
          </cell>
          <cell r="AJ450">
            <v>0</v>
          </cell>
        </row>
        <row r="451">
          <cell r="A451">
            <v>168971</v>
          </cell>
          <cell r="B451">
            <v>37692</v>
          </cell>
          <cell r="D451" t="str">
            <v>ENTEL CHILE - 1600001785</v>
          </cell>
          <cell r="E451">
            <v>3569036</v>
          </cell>
          <cell r="F451">
            <v>8073516</v>
          </cell>
          <cell r="G451">
            <v>2608616</v>
          </cell>
          <cell r="H451">
            <v>37700</v>
          </cell>
          <cell r="I451">
            <v>0.5</v>
          </cell>
          <cell r="J451">
            <v>3</v>
          </cell>
          <cell r="K451" t="str">
            <v>18.3</v>
          </cell>
          <cell r="M451" t="str">
            <v>SF-ACNS-4.2-K9</v>
          </cell>
          <cell r="N451" t="e">
            <v>#N/A</v>
          </cell>
          <cell r="O451">
            <v>0</v>
          </cell>
          <cell r="P451">
            <v>0</v>
          </cell>
          <cell r="Q451">
            <v>2</v>
          </cell>
          <cell r="R451">
            <v>0</v>
          </cell>
          <cell r="W451" t="str">
            <v>3861788</v>
          </cell>
          <cell r="X451">
            <v>0</v>
          </cell>
          <cell r="Z451" t="str">
            <v>2030000213</v>
          </cell>
          <cell r="AA451">
            <v>0</v>
          </cell>
          <cell r="AB451">
            <v>37735</v>
          </cell>
          <cell r="AF451" t="str">
            <v>s</v>
          </cell>
          <cell r="AG451">
            <v>0</v>
          </cell>
          <cell r="AH451">
            <v>5</v>
          </cell>
          <cell r="AI451">
            <v>0</v>
          </cell>
          <cell r="AJ451">
            <v>0</v>
          </cell>
        </row>
        <row r="452">
          <cell r="A452">
            <v>168973</v>
          </cell>
          <cell r="B452">
            <v>37698</v>
          </cell>
          <cell r="D452" t="str">
            <v>ENTEL CALL CENTER - 056/2003</v>
          </cell>
          <cell r="E452">
            <v>3584081</v>
          </cell>
          <cell r="F452">
            <v>8080583</v>
          </cell>
          <cell r="G452">
            <v>2608634</v>
          </cell>
          <cell r="H452">
            <v>37714</v>
          </cell>
          <cell r="I452">
            <v>0.45</v>
          </cell>
          <cell r="J452">
            <v>1</v>
          </cell>
          <cell r="K452">
            <v>1</v>
          </cell>
          <cell r="M452" t="str">
            <v>WS-C2950-12</v>
          </cell>
          <cell r="N452" t="str">
            <v>12 port, 10/100 Catalyst Switch, Standard Image only</v>
          </cell>
          <cell r="O452">
            <v>895</v>
          </cell>
          <cell r="P452">
            <v>492.25000000000006</v>
          </cell>
          <cell r="Q452">
            <v>1</v>
          </cell>
          <cell r="R452">
            <v>492.25000000000006</v>
          </cell>
          <cell r="S452">
            <v>37739</v>
          </cell>
          <cell r="T452">
            <v>37760</v>
          </cell>
          <cell r="AF452" t="str">
            <v>D</v>
          </cell>
          <cell r="AG452">
            <v>9.8450000000000006</v>
          </cell>
          <cell r="AH452">
            <v>1</v>
          </cell>
          <cell r="AI452">
            <v>585.33000000000004</v>
          </cell>
          <cell r="AJ452">
            <v>585.33000000000004</v>
          </cell>
        </row>
        <row r="453">
          <cell r="A453">
            <v>168973</v>
          </cell>
          <cell r="B453">
            <v>37698</v>
          </cell>
          <cell r="D453" t="str">
            <v>ENTEL CALL CENTER - 056/2003</v>
          </cell>
          <cell r="E453">
            <v>3584081</v>
          </cell>
          <cell r="F453">
            <v>8080583</v>
          </cell>
          <cell r="G453">
            <v>2608634</v>
          </cell>
          <cell r="H453">
            <v>37714</v>
          </cell>
          <cell r="I453">
            <v>0.45</v>
          </cell>
          <cell r="J453">
            <v>1</v>
          </cell>
          <cell r="K453">
            <v>1.1000000000000001</v>
          </cell>
          <cell r="M453" t="str">
            <v>CAB-ACI</v>
          </cell>
          <cell r="N453" t="str">
            <v>Power Cord-Italian</v>
          </cell>
          <cell r="O453">
            <v>0</v>
          </cell>
          <cell r="P453">
            <v>0</v>
          </cell>
          <cell r="Q453">
            <v>1</v>
          </cell>
          <cell r="R453">
            <v>0</v>
          </cell>
          <cell r="S453">
            <v>37739</v>
          </cell>
          <cell r="T453">
            <v>37760</v>
          </cell>
          <cell r="AF453" t="str">
            <v>-</v>
          </cell>
          <cell r="AG453">
            <v>0</v>
          </cell>
          <cell r="AH453">
            <v>1</v>
          </cell>
          <cell r="AI453">
            <v>0</v>
          </cell>
          <cell r="AJ453">
            <v>0</v>
          </cell>
        </row>
        <row r="454">
          <cell r="A454">
            <v>168974</v>
          </cell>
          <cell r="B454">
            <v>37701</v>
          </cell>
          <cell r="D454" t="str">
            <v>ENTEL CHILE - 1600001786</v>
          </cell>
          <cell r="E454">
            <v>3589226</v>
          </cell>
          <cell r="F454">
            <v>8076603</v>
          </cell>
          <cell r="G454">
            <v>2609249</v>
          </cell>
          <cell r="H454">
            <v>37707</v>
          </cell>
          <cell r="I454">
            <v>0.5</v>
          </cell>
          <cell r="J454">
            <v>1</v>
          </cell>
          <cell r="K454" t="str">
            <v xml:space="preserve">1.0 </v>
          </cell>
          <cell r="M454" t="str">
            <v>CISCO3620</v>
          </cell>
          <cell r="N454" t="str">
            <v>Cisco 3600 2-slot Modular Router-AC with IP Software</v>
          </cell>
          <cell r="O454">
            <v>2900</v>
          </cell>
          <cell r="P454">
            <v>1450</v>
          </cell>
          <cell r="Q454">
            <v>1</v>
          </cell>
          <cell r="R454">
            <v>1450</v>
          </cell>
          <cell r="S454">
            <v>37740</v>
          </cell>
          <cell r="AF454" t="str">
            <v>C</v>
          </cell>
          <cell r="AG454">
            <v>108.75</v>
          </cell>
          <cell r="AH454">
            <v>2</v>
          </cell>
          <cell r="AI454">
            <v>1653</v>
          </cell>
          <cell r="AJ454">
            <v>1653</v>
          </cell>
        </row>
        <row r="455">
          <cell r="A455">
            <v>168974</v>
          </cell>
          <cell r="B455">
            <v>37701</v>
          </cell>
          <cell r="D455" t="str">
            <v>ENTEL CHILE - 1600001786</v>
          </cell>
          <cell r="E455">
            <v>3589226</v>
          </cell>
          <cell r="F455">
            <v>8076603</v>
          </cell>
          <cell r="G455">
            <v>2609249</v>
          </cell>
          <cell r="H455">
            <v>37707</v>
          </cell>
          <cell r="I455">
            <v>0.5</v>
          </cell>
          <cell r="J455">
            <v>1</v>
          </cell>
          <cell r="K455" t="str">
            <v xml:space="preserve">1.1 </v>
          </cell>
          <cell r="M455" t="str">
            <v>CAB-ACI</v>
          </cell>
          <cell r="N455" t="str">
            <v>Power Cord-Italian</v>
          </cell>
          <cell r="O455">
            <v>0</v>
          </cell>
          <cell r="P455">
            <v>0</v>
          </cell>
          <cell r="Q455">
            <v>1</v>
          </cell>
          <cell r="R455">
            <v>0</v>
          </cell>
          <cell r="S455">
            <v>37740</v>
          </cell>
          <cell r="AF455" t="str">
            <v>-</v>
          </cell>
          <cell r="AG455">
            <v>0</v>
          </cell>
          <cell r="AH455">
            <v>2</v>
          </cell>
          <cell r="AI455">
            <v>0</v>
          </cell>
          <cell r="AJ455">
            <v>0</v>
          </cell>
        </row>
        <row r="456">
          <cell r="A456">
            <v>168974</v>
          </cell>
          <cell r="B456">
            <v>37701</v>
          </cell>
          <cell r="D456" t="str">
            <v>ENTEL CHILE - 1600001786</v>
          </cell>
          <cell r="E456">
            <v>3589226</v>
          </cell>
          <cell r="F456">
            <v>8076603</v>
          </cell>
          <cell r="G456">
            <v>2609249</v>
          </cell>
          <cell r="H456">
            <v>37707</v>
          </cell>
          <cell r="I456">
            <v>0.5</v>
          </cell>
          <cell r="J456">
            <v>1</v>
          </cell>
          <cell r="K456" t="str">
            <v xml:space="preserve">1.2 </v>
          </cell>
          <cell r="M456" t="str">
            <v>S362C-12213</v>
          </cell>
          <cell r="N456" t="str">
            <v>Cisco 3620 Series IOS IP</v>
          </cell>
          <cell r="O456">
            <v>0</v>
          </cell>
          <cell r="P456">
            <v>0</v>
          </cell>
          <cell r="Q456">
            <v>1</v>
          </cell>
          <cell r="R456">
            <v>0</v>
          </cell>
          <cell r="S456">
            <v>37740</v>
          </cell>
          <cell r="AF456" t="str">
            <v>C</v>
          </cell>
          <cell r="AG456">
            <v>0</v>
          </cell>
          <cell r="AH456">
            <v>1</v>
          </cell>
          <cell r="AI456">
            <v>171</v>
          </cell>
          <cell r="AJ456">
            <v>171</v>
          </cell>
        </row>
        <row r="457">
          <cell r="A457">
            <v>168974</v>
          </cell>
          <cell r="B457">
            <v>37701</v>
          </cell>
          <cell r="D457" t="str">
            <v>ENTEL CHILE - 1600001786</v>
          </cell>
          <cell r="E457">
            <v>3589226</v>
          </cell>
          <cell r="F457">
            <v>8076603</v>
          </cell>
          <cell r="G457">
            <v>2609249</v>
          </cell>
          <cell r="H457">
            <v>37707</v>
          </cell>
          <cell r="I457">
            <v>0.5</v>
          </cell>
          <cell r="J457">
            <v>1</v>
          </cell>
          <cell r="K457" t="str">
            <v xml:space="preserve">1.3 </v>
          </cell>
          <cell r="M457" t="str">
            <v>NM-1E2W</v>
          </cell>
          <cell r="N457" t="str">
            <v>1 Ethernet 2 WAN Card Slot Network Module</v>
          </cell>
          <cell r="O457">
            <v>1500</v>
          </cell>
          <cell r="P457">
            <v>750</v>
          </cell>
          <cell r="Q457">
            <v>1</v>
          </cell>
          <cell r="R457">
            <v>750</v>
          </cell>
          <cell r="S457">
            <v>37740</v>
          </cell>
          <cell r="AF457" t="str">
            <v>C</v>
          </cell>
          <cell r="AG457">
            <v>56.25</v>
          </cell>
          <cell r="AH457">
            <v>4</v>
          </cell>
          <cell r="AI457">
            <v>855</v>
          </cell>
          <cell r="AJ457">
            <v>855</v>
          </cell>
        </row>
        <row r="458">
          <cell r="A458">
            <v>168974</v>
          </cell>
          <cell r="B458">
            <v>37701</v>
          </cell>
          <cell r="D458" t="str">
            <v>ENTEL CHILE - 1600001786</v>
          </cell>
          <cell r="E458">
            <v>3589226</v>
          </cell>
          <cell r="F458">
            <v>8076603</v>
          </cell>
          <cell r="G458">
            <v>2609249</v>
          </cell>
          <cell r="H458">
            <v>37707</v>
          </cell>
          <cell r="I458">
            <v>0.5</v>
          </cell>
          <cell r="J458">
            <v>1</v>
          </cell>
          <cell r="K458" t="str">
            <v xml:space="preserve">1.4 </v>
          </cell>
          <cell r="M458" t="str">
            <v>WIC-1T</v>
          </cell>
          <cell r="N458" t="str">
            <v>1-Port Serial WAN Interface Card</v>
          </cell>
          <cell r="O458">
            <v>400</v>
          </cell>
          <cell r="P458">
            <v>200</v>
          </cell>
          <cell r="Q458">
            <v>2</v>
          </cell>
          <cell r="R458">
            <v>400</v>
          </cell>
          <cell r="S458">
            <v>37740</v>
          </cell>
          <cell r="AF458" t="str">
            <v>D</v>
          </cell>
          <cell r="AG458">
            <v>8</v>
          </cell>
          <cell r="AH458">
            <v>5</v>
          </cell>
          <cell r="AI458">
            <v>228</v>
          </cell>
          <cell r="AJ458">
            <v>456</v>
          </cell>
        </row>
        <row r="459">
          <cell r="A459">
            <v>168974</v>
          </cell>
          <cell r="B459">
            <v>37701</v>
          </cell>
          <cell r="D459" t="str">
            <v>ENTEL CHILE - 1600001786</v>
          </cell>
          <cell r="E459">
            <v>3589226</v>
          </cell>
          <cell r="F459">
            <v>8076603</v>
          </cell>
          <cell r="G459">
            <v>2609249</v>
          </cell>
          <cell r="H459">
            <v>37707</v>
          </cell>
          <cell r="I459">
            <v>0.5</v>
          </cell>
          <cell r="J459">
            <v>1</v>
          </cell>
          <cell r="K459" t="str">
            <v xml:space="preserve">1.5 </v>
          </cell>
          <cell r="M459" t="str">
            <v>NM-8AM</v>
          </cell>
          <cell r="N459" t="str">
            <v>8Port Analog Modem Network Module</v>
          </cell>
          <cell r="O459">
            <v>2200</v>
          </cell>
          <cell r="P459">
            <v>1100</v>
          </cell>
          <cell r="Q459">
            <v>1</v>
          </cell>
          <cell r="R459">
            <v>1100</v>
          </cell>
          <cell r="S459">
            <v>37740</v>
          </cell>
          <cell r="AF459" t="str">
            <v>C</v>
          </cell>
          <cell r="AG459">
            <v>82.5</v>
          </cell>
          <cell r="AH459">
            <v>3</v>
          </cell>
          <cell r="AI459">
            <v>1254</v>
          </cell>
          <cell r="AJ459">
            <v>1254</v>
          </cell>
        </row>
        <row r="460">
          <cell r="A460">
            <v>168974</v>
          </cell>
          <cell r="B460">
            <v>37701</v>
          </cell>
          <cell r="D460" t="str">
            <v>ENTEL CHILE - 1600001786</v>
          </cell>
          <cell r="E460">
            <v>3589226</v>
          </cell>
          <cell r="F460">
            <v>8076603</v>
          </cell>
          <cell r="G460">
            <v>2609249</v>
          </cell>
          <cell r="H460">
            <v>37707</v>
          </cell>
          <cell r="I460">
            <v>0.5</v>
          </cell>
          <cell r="J460">
            <v>1</v>
          </cell>
          <cell r="K460" t="str">
            <v xml:space="preserve">2.0 </v>
          </cell>
          <cell r="M460" t="str">
            <v>CISCO1721-ADSL</v>
          </cell>
          <cell r="N460" t="str">
            <v>1721 ADSL Router, w/ADSLoPOTS WIC,IP/ADSL</v>
          </cell>
          <cell r="O460">
            <v>1695</v>
          </cell>
          <cell r="P460">
            <v>847.5</v>
          </cell>
          <cell r="Q460">
            <v>17</v>
          </cell>
          <cell r="R460">
            <v>14407.5</v>
          </cell>
          <cell r="S460">
            <v>37740</v>
          </cell>
          <cell r="AF460" t="str">
            <v>D</v>
          </cell>
          <cell r="AG460">
            <v>288.15000000000003</v>
          </cell>
          <cell r="AH460">
            <v>7</v>
          </cell>
          <cell r="AI460">
            <v>966</v>
          </cell>
          <cell r="AJ460">
            <v>16422</v>
          </cell>
        </row>
        <row r="461">
          <cell r="A461">
            <v>168974</v>
          </cell>
          <cell r="B461">
            <v>37701</v>
          </cell>
          <cell r="D461" t="str">
            <v>ENTEL CHILE - 1600001786</v>
          </cell>
          <cell r="E461">
            <v>3589226</v>
          </cell>
          <cell r="F461">
            <v>8076603</v>
          </cell>
          <cell r="G461">
            <v>2609249</v>
          </cell>
          <cell r="H461">
            <v>37707</v>
          </cell>
          <cell r="I461">
            <v>0.5</v>
          </cell>
          <cell r="J461">
            <v>1</v>
          </cell>
          <cell r="K461" t="str">
            <v xml:space="preserve">2.1 </v>
          </cell>
          <cell r="M461" t="str">
            <v>S17C7-12211T</v>
          </cell>
          <cell r="N461" t="str">
            <v>Cisco 1700 IOS IP/ADSL</v>
          </cell>
          <cell r="O461">
            <v>0</v>
          </cell>
          <cell r="P461">
            <v>0</v>
          </cell>
          <cell r="Q461">
            <v>17</v>
          </cell>
          <cell r="R461">
            <v>0</v>
          </cell>
          <cell r="S461">
            <v>37740</v>
          </cell>
          <cell r="AF461" t="str">
            <v>D</v>
          </cell>
          <cell r="AG461">
            <v>0</v>
          </cell>
          <cell r="AH461">
            <v>7</v>
          </cell>
          <cell r="AI461">
            <v>0</v>
          </cell>
          <cell r="AJ461">
            <v>0</v>
          </cell>
        </row>
        <row r="462">
          <cell r="A462">
            <v>168974</v>
          </cell>
          <cell r="B462">
            <v>37701</v>
          </cell>
          <cell r="D462" t="str">
            <v>ENTEL CHILE - 1600001786</v>
          </cell>
          <cell r="E462">
            <v>3589226</v>
          </cell>
          <cell r="F462">
            <v>8076603</v>
          </cell>
          <cell r="G462">
            <v>2609249</v>
          </cell>
          <cell r="H462">
            <v>37707</v>
          </cell>
          <cell r="I462">
            <v>0.5</v>
          </cell>
          <cell r="J462">
            <v>1</v>
          </cell>
          <cell r="K462" t="str">
            <v xml:space="preserve">2.2 </v>
          </cell>
          <cell r="M462" t="str">
            <v>CAB-ACI</v>
          </cell>
          <cell r="N462" t="str">
            <v>Power Cord-Italian</v>
          </cell>
          <cell r="O462">
            <v>0</v>
          </cell>
          <cell r="P462">
            <v>0</v>
          </cell>
          <cell r="Q462">
            <v>17</v>
          </cell>
          <cell r="R462">
            <v>0</v>
          </cell>
          <cell r="S462">
            <v>37740</v>
          </cell>
          <cell r="AF462" t="str">
            <v>-</v>
          </cell>
          <cell r="AG462">
            <v>0</v>
          </cell>
          <cell r="AH462">
            <v>7</v>
          </cell>
          <cell r="AI462">
            <v>0</v>
          </cell>
          <cell r="AJ462">
            <v>0</v>
          </cell>
        </row>
        <row r="463">
          <cell r="A463">
            <v>168974</v>
          </cell>
          <cell r="B463">
            <v>37701</v>
          </cell>
          <cell r="D463" t="str">
            <v>ENTEL CHILE - 1600001786</v>
          </cell>
          <cell r="E463">
            <v>3589226</v>
          </cell>
          <cell r="F463">
            <v>8076603</v>
          </cell>
          <cell r="G463">
            <v>2609249</v>
          </cell>
          <cell r="H463">
            <v>37707</v>
          </cell>
          <cell r="I463">
            <v>0.5</v>
          </cell>
          <cell r="J463">
            <v>1</v>
          </cell>
          <cell r="K463" t="str">
            <v xml:space="preserve">2.3 </v>
          </cell>
          <cell r="M463" t="str">
            <v>CAB-ADSL-RJ11</v>
          </cell>
          <cell r="N463" t="str">
            <v>Lavender Cable for xDSL, Straight-through, RJ-11, 6 feet</v>
          </cell>
          <cell r="O463">
            <v>0</v>
          </cell>
          <cell r="P463">
            <v>0</v>
          </cell>
          <cell r="Q463">
            <v>17</v>
          </cell>
          <cell r="R463">
            <v>0</v>
          </cell>
          <cell r="S463">
            <v>37740</v>
          </cell>
          <cell r="AF463" t="str">
            <v>-</v>
          </cell>
          <cell r="AG463">
            <v>0</v>
          </cell>
          <cell r="AH463">
            <v>7</v>
          </cell>
          <cell r="AI463">
            <v>0</v>
          </cell>
          <cell r="AJ463">
            <v>0</v>
          </cell>
        </row>
        <row r="464">
          <cell r="A464">
            <v>168974</v>
          </cell>
          <cell r="B464">
            <v>37701</v>
          </cell>
          <cell r="D464" t="str">
            <v>ENTEL CHILE - 1600001786</v>
          </cell>
          <cell r="E464">
            <v>3589226</v>
          </cell>
          <cell r="F464">
            <v>8076603</v>
          </cell>
          <cell r="G464">
            <v>2609249</v>
          </cell>
          <cell r="H464">
            <v>37707</v>
          </cell>
          <cell r="I464">
            <v>0.5</v>
          </cell>
          <cell r="J464">
            <v>1</v>
          </cell>
          <cell r="K464" t="str">
            <v xml:space="preserve">2.4 </v>
          </cell>
          <cell r="M464" t="str">
            <v>WIC-1ADSL</v>
          </cell>
          <cell r="N464" t="str">
            <v>1-port ADSL WAN Interface Card</v>
          </cell>
          <cell r="O464">
            <v>0</v>
          </cell>
          <cell r="P464">
            <v>0</v>
          </cell>
          <cell r="Q464">
            <v>17</v>
          </cell>
          <cell r="R464">
            <v>0</v>
          </cell>
          <cell r="S464">
            <v>37740</v>
          </cell>
          <cell r="AF464" t="str">
            <v>D</v>
          </cell>
          <cell r="AG464">
            <v>0</v>
          </cell>
          <cell r="AH464">
            <v>6</v>
          </cell>
          <cell r="AI464">
            <v>428</v>
          </cell>
          <cell r="AJ464">
            <v>7276</v>
          </cell>
        </row>
        <row r="465">
          <cell r="A465">
            <v>168975</v>
          </cell>
          <cell r="B465">
            <v>37701</v>
          </cell>
          <cell r="D465" t="str">
            <v>ENTEL CHILE - 1600001787</v>
          </cell>
          <cell r="E465">
            <v>3589313</v>
          </cell>
          <cell r="F465">
            <v>8075901</v>
          </cell>
          <cell r="G465">
            <v>2608621</v>
          </cell>
          <cell r="H465">
            <v>37706</v>
          </cell>
          <cell r="I465">
            <v>0.5</v>
          </cell>
          <cell r="K465" t="str">
            <v xml:space="preserve">1.0 </v>
          </cell>
          <cell r="M465" t="str">
            <v>CISCO3725</v>
          </cell>
          <cell r="N465" t="str">
            <v xml:space="preserve">3700 Series, 2-Slot, Dual FE, Multiservice Access Router  </v>
          </cell>
          <cell r="O465">
            <v>8500</v>
          </cell>
          <cell r="P465">
            <v>4250</v>
          </cell>
          <cell r="Q465">
            <v>1</v>
          </cell>
          <cell r="R465">
            <v>4250</v>
          </cell>
          <cell r="S465">
            <v>37725</v>
          </cell>
          <cell r="Z465" t="str">
            <v>2030000203</v>
          </cell>
          <cell r="AA465">
            <v>4845</v>
          </cell>
          <cell r="AB465">
            <v>37726</v>
          </cell>
          <cell r="AF465" t="str">
            <v>c</v>
          </cell>
          <cell r="AG465">
            <v>318.75</v>
          </cell>
          <cell r="AH465">
            <v>2</v>
          </cell>
          <cell r="AI465">
            <v>4845</v>
          </cell>
          <cell r="AJ465">
            <v>4845</v>
          </cell>
        </row>
        <row r="466">
          <cell r="A466">
            <v>168975</v>
          </cell>
          <cell r="B466">
            <v>37701</v>
          </cell>
          <cell r="D466" t="str">
            <v>ENTEL CHILE - 1600001787</v>
          </cell>
          <cell r="E466">
            <v>3589313</v>
          </cell>
          <cell r="F466">
            <v>8075901</v>
          </cell>
          <cell r="G466">
            <v>2608621</v>
          </cell>
          <cell r="H466">
            <v>37706</v>
          </cell>
          <cell r="I466">
            <v>0.5</v>
          </cell>
          <cell r="K466" t="str">
            <v xml:space="preserve">1.1 </v>
          </cell>
          <cell r="M466" t="str">
            <v>S372CP-12211YT</v>
          </cell>
          <cell r="N466" t="str">
            <v>Cisco 3725 Series IOS IP PLUS</v>
          </cell>
          <cell r="O466">
            <v>900</v>
          </cell>
          <cell r="P466">
            <v>450</v>
          </cell>
          <cell r="Q466">
            <v>1</v>
          </cell>
          <cell r="R466">
            <v>450</v>
          </cell>
          <cell r="S466">
            <v>37725</v>
          </cell>
          <cell r="Z466" t="str">
            <v>2030000203</v>
          </cell>
          <cell r="AA466">
            <v>513</v>
          </cell>
          <cell r="AB466">
            <v>37726</v>
          </cell>
          <cell r="AF466" t="str">
            <v>C</v>
          </cell>
          <cell r="AG466">
            <v>33.75</v>
          </cell>
          <cell r="AH466">
            <v>4</v>
          </cell>
          <cell r="AI466">
            <v>513</v>
          </cell>
          <cell r="AJ466">
            <v>513</v>
          </cell>
        </row>
        <row r="467">
          <cell r="A467">
            <v>168975</v>
          </cell>
          <cell r="B467">
            <v>37701</v>
          </cell>
          <cell r="D467" t="str">
            <v>ENTEL CHILE - 1600001787</v>
          </cell>
          <cell r="E467">
            <v>3589313</v>
          </cell>
          <cell r="F467">
            <v>8075901</v>
          </cell>
          <cell r="G467">
            <v>2608621</v>
          </cell>
          <cell r="H467">
            <v>37706</v>
          </cell>
          <cell r="I467">
            <v>0.5</v>
          </cell>
          <cell r="K467" t="str">
            <v xml:space="preserve">1.2 </v>
          </cell>
          <cell r="M467" t="str">
            <v>NM-2V</v>
          </cell>
          <cell r="N467" t="str">
            <v>Two-Slot Voice/fax Network Module</v>
          </cell>
          <cell r="O467">
            <v>1000</v>
          </cell>
          <cell r="P467">
            <v>500</v>
          </cell>
          <cell r="Q467">
            <v>2</v>
          </cell>
          <cell r="R467">
            <v>1000</v>
          </cell>
          <cell r="S467">
            <v>37725</v>
          </cell>
          <cell r="Z467" t="str">
            <v>2030000203</v>
          </cell>
          <cell r="AA467">
            <v>1140</v>
          </cell>
          <cell r="AB467">
            <v>37726</v>
          </cell>
          <cell r="AF467" t="str">
            <v>C</v>
          </cell>
          <cell r="AG467">
            <v>75</v>
          </cell>
          <cell r="AH467">
            <v>1</v>
          </cell>
          <cell r="AI467">
            <v>570</v>
          </cell>
          <cell r="AJ467">
            <v>1140</v>
          </cell>
        </row>
        <row r="468">
          <cell r="A468">
            <v>168975</v>
          </cell>
          <cell r="B468">
            <v>37701</v>
          </cell>
          <cell r="D468" t="str">
            <v>ENTEL CHILE - 1600001787</v>
          </cell>
          <cell r="E468">
            <v>3589313</v>
          </cell>
          <cell r="F468">
            <v>8075901</v>
          </cell>
          <cell r="G468">
            <v>2608621</v>
          </cell>
          <cell r="H468">
            <v>37706</v>
          </cell>
          <cell r="I468">
            <v>0.5</v>
          </cell>
          <cell r="K468" t="str">
            <v xml:space="preserve">1.3 </v>
          </cell>
          <cell r="M468" t="str">
            <v>VIC-2FXO</v>
          </cell>
          <cell r="N468" t="str">
            <v>Two-port Voice Interface Card - FXO</v>
          </cell>
          <cell r="O468">
            <v>400</v>
          </cell>
          <cell r="P468">
            <v>200</v>
          </cell>
          <cell r="Q468">
            <v>3</v>
          </cell>
          <cell r="R468">
            <v>600</v>
          </cell>
          <cell r="S468">
            <v>37725</v>
          </cell>
          <cell r="Z468" t="str">
            <v>2030000203</v>
          </cell>
          <cell r="AA468">
            <v>684</v>
          </cell>
          <cell r="AB468">
            <v>37726</v>
          </cell>
          <cell r="AF468" t="str">
            <v>C</v>
          </cell>
          <cell r="AG468">
            <v>45</v>
          </cell>
          <cell r="AH468">
            <v>3</v>
          </cell>
          <cell r="AI468">
            <v>228</v>
          </cell>
          <cell r="AJ468">
            <v>684</v>
          </cell>
        </row>
        <row r="469">
          <cell r="A469">
            <v>168975</v>
          </cell>
          <cell r="B469">
            <v>37701</v>
          </cell>
          <cell r="D469" t="str">
            <v>ENTEL CHILE - 1600001787</v>
          </cell>
          <cell r="E469">
            <v>3589313</v>
          </cell>
          <cell r="F469">
            <v>8075901</v>
          </cell>
          <cell r="G469">
            <v>2608621</v>
          </cell>
          <cell r="H469">
            <v>37706</v>
          </cell>
          <cell r="I469">
            <v>0.5</v>
          </cell>
          <cell r="K469" t="str">
            <v xml:space="preserve">1.4 </v>
          </cell>
          <cell r="M469" t="str">
            <v>CAB-ACI</v>
          </cell>
          <cell r="N469" t="str">
            <v>Power Cord-Italian</v>
          </cell>
          <cell r="O469">
            <v>0</v>
          </cell>
          <cell r="P469">
            <v>0</v>
          </cell>
          <cell r="Q469">
            <v>1</v>
          </cell>
          <cell r="R469">
            <v>0</v>
          </cell>
          <cell r="S469">
            <v>37725</v>
          </cell>
          <cell r="Z469" t="str">
            <v>2030000203</v>
          </cell>
          <cell r="AA469">
            <v>0</v>
          </cell>
          <cell r="AB469">
            <v>37726</v>
          </cell>
          <cell r="AF469" t="str">
            <v>-</v>
          </cell>
          <cell r="AG469">
            <v>0</v>
          </cell>
          <cell r="AH469">
            <v>2</v>
          </cell>
          <cell r="AI469">
            <v>0</v>
          </cell>
          <cell r="AJ469">
            <v>0</v>
          </cell>
        </row>
        <row r="470">
          <cell r="A470">
            <v>168980</v>
          </cell>
          <cell r="B470">
            <v>37725</v>
          </cell>
          <cell r="D470" t="str">
            <v>ENTEL CHILE - 1600001801</v>
          </cell>
          <cell r="E470">
            <v>3660635</v>
          </cell>
          <cell r="F470">
            <v>8088705</v>
          </cell>
          <cell r="G470">
            <v>2609480</v>
          </cell>
          <cell r="H470">
            <v>37729</v>
          </cell>
          <cell r="I470">
            <v>0.54</v>
          </cell>
          <cell r="J470">
            <v>1</v>
          </cell>
          <cell r="K470" t="str">
            <v xml:space="preserve">1.0 </v>
          </cell>
          <cell r="M470" t="str">
            <v>NM-1E2W=</v>
          </cell>
          <cell r="N470" t="str">
            <v>NM-1E2W= 1 Ethernet 2 WAN Card Slot Network Module /</v>
          </cell>
          <cell r="O470">
            <v>1500</v>
          </cell>
          <cell r="P470">
            <v>690</v>
          </cell>
          <cell r="Q470">
            <v>4</v>
          </cell>
          <cell r="R470">
            <v>2760</v>
          </cell>
          <cell r="S470">
            <v>37773</v>
          </cell>
          <cell r="AF470" t="str">
            <v>C</v>
          </cell>
          <cell r="AG470">
            <v>207</v>
          </cell>
          <cell r="AH470">
            <v>5</v>
          </cell>
          <cell r="AI470">
            <v>780</v>
          </cell>
          <cell r="AJ470">
            <v>3120</v>
          </cell>
        </row>
        <row r="471">
          <cell r="A471">
            <v>168980</v>
          </cell>
          <cell r="B471">
            <v>37725</v>
          </cell>
          <cell r="D471" t="str">
            <v>ENTEL CHILE - 1600001801</v>
          </cell>
          <cell r="E471">
            <v>3660635</v>
          </cell>
          <cell r="F471">
            <v>8088705</v>
          </cell>
          <cell r="G471">
            <v>2609480</v>
          </cell>
          <cell r="H471">
            <v>37729</v>
          </cell>
          <cell r="I471">
            <v>0.54</v>
          </cell>
          <cell r="J471">
            <v>1</v>
          </cell>
          <cell r="K471" t="str">
            <v xml:space="preserve">2.0 </v>
          </cell>
          <cell r="M471" t="str">
            <v>WIC-1T=</v>
          </cell>
          <cell r="N471" t="str">
            <v>WIC-1T= 1-Port Serial WAN Interface Card /</v>
          </cell>
          <cell r="O471">
            <v>400</v>
          </cell>
          <cell r="P471">
            <v>184</v>
          </cell>
          <cell r="Q471">
            <v>15</v>
          </cell>
          <cell r="R471">
            <v>2760</v>
          </cell>
          <cell r="S471">
            <v>37742</v>
          </cell>
          <cell r="AF471" t="str">
            <v>D</v>
          </cell>
          <cell r="AG471">
            <v>55.2</v>
          </cell>
          <cell r="AH471">
            <v>12</v>
          </cell>
          <cell r="AI471">
            <v>208</v>
          </cell>
          <cell r="AJ471">
            <v>3120</v>
          </cell>
        </row>
        <row r="472">
          <cell r="A472">
            <v>168980</v>
          </cell>
          <cell r="B472">
            <v>37725</v>
          </cell>
          <cell r="D472" t="str">
            <v>ENTEL CHILE - 1600001801</v>
          </cell>
          <cell r="E472">
            <v>3660635</v>
          </cell>
          <cell r="F472">
            <v>8088705</v>
          </cell>
          <cell r="G472">
            <v>2609480</v>
          </cell>
          <cell r="H472">
            <v>37729</v>
          </cell>
          <cell r="I472">
            <v>0.54</v>
          </cell>
          <cell r="J472">
            <v>1</v>
          </cell>
          <cell r="K472" t="str">
            <v xml:space="preserve">3.0 </v>
          </cell>
          <cell r="M472" t="str">
            <v>WIC-1ENET=</v>
          </cell>
          <cell r="N472" t="str">
            <v>WIC-1ENET= Single-Port Ethernet WAN Interface Card /</v>
          </cell>
          <cell r="O472">
            <v>300</v>
          </cell>
          <cell r="P472">
            <v>138</v>
          </cell>
          <cell r="Q472">
            <v>15</v>
          </cell>
          <cell r="R472">
            <v>2070</v>
          </cell>
          <cell r="S472">
            <v>37742</v>
          </cell>
          <cell r="AF472" t="str">
            <v>D</v>
          </cell>
          <cell r="AG472">
            <v>41.4</v>
          </cell>
          <cell r="AH472">
            <v>13</v>
          </cell>
          <cell r="AI472">
            <v>156</v>
          </cell>
          <cell r="AJ472">
            <v>2340</v>
          </cell>
        </row>
        <row r="473">
          <cell r="A473">
            <v>168980</v>
          </cell>
          <cell r="B473">
            <v>37725</v>
          </cell>
          <cell r="D473" t="str">
            <v>ENTEL CHILE - 1600001801</v>
          </cell>
          <cell r="E473">
            <v>3660635</v>
          </cell>
          <cell r="F473">
            <v>8088705</v>
          </cell>
          <cell r="G473">
            <v>2609480</v>
          </cell>
          <cell r="H473">
            <v>37729</v>
          </cell>
          <cell r="I473">
            <v>0.54</v>
          </cell>
          <cell r="J473">
            <v>1</v>
          </cell>
          <cell r="K473" t="str">
            <v xml:space="preserve">4.0 </v>
          </cell>
          <cell r="M473" t="str">
            <v>CISCO1721</v>
          </cell>
          <cell r="N473" t="str">
            <v>CISCO1721 10/100BaseT Modular Router w/2 WAN slots, 16M Flash/32M DRAM /</v>
          </cell>
          <cell r="O473">
            <v>1195</v>
          </cell>
          <cell r="P473">
            <v>549.69999999999993</v>
          </cell>
          <cell r="Q473">
            <v>25</v>
          </cell>
          <cell r="R473">
            <v>13742.499999999998</v>
          </cell>
          <cell r="S473">
            <v>37742</v>
          </cell>
          <cell r="AF473" t="str">
            <v>D</v>
          </cell>
          <cell r="AG473">
            <v>274.84999999999997</v>
          </cell>
          <cell r="AH473">
            <v>15</v>
          </cell>
          <cell r="AI473">
            <v>621</v>
          </cell>
          <cell r="AJ473">
            <v>15525</v>
          </cell>
        </row>
        <row r="474">
          <cell r="A474">
            <v>168980</v>
          </cell>
          <cell r="B474">
            <v>37725</v>
          </cell>
          <cell r="D474" t="str">
            <v>ENTEL CHILE - 1600001801</v>
          </cell>
          <cell r="E474">
            <v>3660635</v>
          </cell>
          <cell r="F474">
            <v>8088705</v>
          </cell>
          <cell r="G474">
            <v>2609480</v>
          </cell>
          <cell r="H474">
            <v>37729</v>
          </cell>
          <cell r="I474">
            <v>0.54</v>
          </cell>
          <cell r="J474">
            <v>1</v>
          </cell>
          <cell r="K474" t="str">
            <v xml:space="preserve">4.1 </v>
          </cell>
          <cell r="M474" t="str">
            <v>CAB-ACI</v>
          </cell>
          <cell r="N474" t="str">
            <v>CAB-ACI Power Cord-Italian</v>
          </cell>
          <cell r="O474">
            <v>0</v>
          </cell>
          <cell r="P474">
            <v>0</v>
          </cell>
          <cell r="Q474">
            <v>25</v>
          </cell>
          <cell r="R474">
            <v>0</v>
          </cell>
          <cell r="S474">
            <v>37742</v>
          </cell>
          <cell r="AF474" t="str">
            <v>-</v>
          </cell>
          <cell r="AG474">
            <v>0</v>
          </cell>
          <cell r="AH474">
            <v>15</v>
          </cell>
          <cell r="AI474">
            <v>0</v>
          </cell>
          <cell r="AJ474">
            <v>0</v>
          </cell>
        </row>
        <row r="475">
          <cell r="A475">
            <v>168980</v>
          </cell>
          <cell r="B475">
            <v>37725</v>
          </cell>
          <cell r="D475" t="str">
            <v>ENTEL CHILE - 1600001801</v>
          </cell>
          <cell r="E475">
            <v>3660635</v>
          </cell>
          <cell r="F475">
            <v>8088705</v>
          </cell>
          <cell r="G475">
            <v>2609480</v>
          </cell>
          <cell r="H475">
            <v>37729</v>
          </cell>
          <cell r="I475">
            <v>0.54</v>
          </cell>
          <cell r="J475">
            <v>1</v>
          </cell>
          <cell r="K475" t="str">
            <v xml:space="preserve">4.2 </v>
          </cell>
          <cell r="M475" t="str">
            <v>S17C-12204YA</v>
          </cell>
          <cell r="N475" t="str">
            <v>S17C-12204YA Cisco 1700 IOS IP</v>
          </cell>
          <cell r="O475">
            <v>0</v>
          </cell>
          <cell r="P475">
            <v>0</v>
          </cell>
          <cell r="Q475">
            <v>25</v>
          </cell>
          <cell r="R475">
            <v>0</v>
          </cell>
          <cell r="S475">
            <v>37742</v>
          </cell>
          <cell r="AF475" t="str">
            <v>D</v>
          </cell>
          <cell r="AG475">
            <v>0</v>
          </cell>
          <cell r="AH475">
            <v>15</v>
          </cell>
          <cell r="AI475">
            <v>0</v>
          </cell>
          <cell r="AJ475">
            <v>0</v>
          </cell>
        </row>
        <row r="476">
          <cell r="A476">
            <v>168980</v>
          </cell>
          <cell r="B476">
            <v>37725</v>
          </cell>
          <cell r="D476" t="str">
            <v>ENTEL CHILE - 1600001801</v>
          </cell>
          <cell r="E476">
            <v>3660635</v>
          </cell>
          <cell r="F476">
            <v>8088705</v>
          </cell>
          <cell r="G476">
            <v>2609480</v>
          </cell>
          <cell r="H476">
            <v>37729</v>
          </cell>
          <cell r="I476">
            <v>0.54</v>
          </cell>
          <cell r="J476">
            <v>1</v>
          </cell>
          <cell r="K476" t="str">
            <v xml:space="preserve">5.0 </v>
          </cell>
          <cell r="M476" t="str">
            <v>CISCO3640A</v>
          </cell>
          <cell r="N476" t="str">
            <v>CISCO3640A Cisco 3600 4-slot Modular router-AC with IP Software /</v>
          </cell>
          <cell r="O476">
            <v>6500</v>
          </cell>
          <cell r="P476">
            <v>2989.9999999999995</v>
          </cell>
          <cell r="Q476">
            <v>2</v>
          </cell>
          <cell r="R476">
            <v>5979.9999999999991</v>
          </cell>
          <cell r="S476">
            <v>37742</v>
          </cell>
          <cell r="AF476" t="str">
            <v>C</v>
          </cell>
          <cell r="AG476">
            <v>448.49999999999994</v>
          </cell>
          <cell r="AH476">
            <v>2</v>
          </cell>
          <cell r="AI476">
            <v>3380</v>
          </cell>
          <cell r="AJ476">
            <v>6760</v>
          </cell>
        </row>
        <row r="477">
          <cell r="A477">
            <v>168980</v>
          </cell>
          <cell r="B477">
            <v>37725</v>
          </cell>
          <cell r="D477" t="str">
            <v>ENTEL CHILE - 1600001801</v>
          </cell>
          <cell r="E477">
            <v>3660635</v>
          </cell>
          <cell r="F477">
            <v>8088705</v>
          </cell>
          <cell r="G477">
            <v>2609480</v>
          </cell>
          <cell r="H477">
            <v>37729</v>
          </cell>
          <cell r="I477">
            <v>0.54</v>
          </cell>
          <cell r="J477">
            <v>1</v>
          </cell>
          <cell r="K477" t="str">
            <v xml:space="preserve">5.1 </v>
          </cell>
          <cell r="M477" t="str">
            <v>CAB-ACI</v>
          </cell>
          <cell r="N477" t="str">
            <v>CAB-ACI Power Cord-Italian</v>
          </cell>
          <cell r="O477">
            <v>0</v>
          </cell>
          <cell r="P477">
            <v>0</v>
          </cell>
          <cell r="Q477">
            <v>2</v>
          </cell>
          <cell r="R477">
            <v>0</v>
          </cell>
          <cell r="S477">
            <v>37742</v>
          </cell>
          <cell r="AF477" t="str">
            <v>-</v>
          </cell>
          <cell r="AG477">
            <v>0</v>
          </cell>
          <cell r="AH477">
            <v>2</v>
          </cell>
          <cell r="AI477">
            <v>0</v>
          </cell>
          <cell r="AJ477">
            <v>0</v>
          </cell>
        </row>
        <row r="478">
          <cell r="A478">
            <v>168980</v>
          </cell>
          <cell r="B478">
            <v>37725</v>
          </cell>
          <cell r="D478" t="str">
            <v>ENTEL CHILE - 1600001801</v>
          </cell>
          <cell r="E478">
            <v>3660635</v>
          </cell>
          <cell r="F478">
            <v>8088705</v>
          </cell>
          <cell r="G478">
            <v>2609480</v>
          </cell>
          <cell r="H478">
            <v>37729</v>
          </cell>
          <cell r="I478">
            <v>0.54</v>
          </cell>
          <cell r="J478">
            <v>1</v>
          </cell>
          <cell r="K478" t="str">
            <v xml:space="preserve">5.2 </v>
          </cell>
          <cell r="M478" t="str">
            <v>S364C-12212</v>
          </cell>
          <cell r="N478" t="str">
            <v>S364C-12212 Cisco 3640 Series IOS IP</v>
          </cell>
          <cell r="O478">
            <v>0</v>
          </cell>
          <cell r="P478">
            <v>0</v>
          </cell>
          <cell r="Q478">
            <v>2</v>
          </cell>
          <cell r="R478">
            <v>0</v>
          </cell>
          <cell r="S478">
            <v>37742</v>
          </cell>
          <cell r="AF478" t="str">
            <v>C</v>
          </cell>
          <cell r="AG478">
            <v>0</v>
          </cell>
          <cell r="AH478">
            <v>2</v>
          </cell>
          <cell r="AI478">
            <v>0</v>
          </cell>
          <cell r="AJ478">
            <v>0</v>
          </cell>
        </row>
        <row r="479">
          <cell r="A479">
            <v>168980</v>
          </cell>
          <cell r="B479">
            <v>37725</v>
          </cell>
          <cell r="D479" t="str">
            <v>ENTEL CHILE - 1600001801</v>
          </cell>
          <cell r="E479">
            <v>3660635</v>
          </cell>
          <cell r="F479">
            <v>8088705</v>
          </cell>
          <cell r="G479">
            <v>2609480</v>
          </cell>
          <cell r="H479">
            <v>37729</v>
          </cell>
          <cell r="I479">
            <v>0.54</v>
          </cell>
          <cell r="J479">
            <v>1</v>
          </cell>
          <cell r="K479" t="str">
            <v xml:space="preserve">6.0 </v>
          </cell>
          <cell r="M479" t="str">
            <v>CISCO2610XM</v>
          </cell>
          <cell r="N479" t="str">
            <v>CISCO2610XM 10/100 Ethernet Router w/ Cisco IOS IP /</v>
          </cell>
          <cell r="O479">
            <v>1995</v>
          </cell>
          <cell r="P479">
            <v>917.69999999999993</v>
          </cell>
          <cell r="Q479">
            <v>15</v>
          </cell>
          <cell r="R479">
            <v>13765.499999999998</v>
          </cell>
          <cell r="S479">
            <v>37742</v>
          </cell>
          <cell r="AF479" t="str">
            <v>C</v>
          </cell>
          <cell r="AG479">
            <v>1032.4124999999999</v>
          </cell>
          <cell r="AH479">
            <v>14</v>
          </cell>
          <cell r="AI479">
            <v>1037</v>
          </cell>
          <cell r="AJ479">
            <v>15555</v>
          </cell>
        </row>
        <row r="480">
          <cell r="A480">
            <v>168980</v>
          </cell>
          <cell r="B480">
            <v>37725</v>
          </cell>
          <cell r="D480" t="str">
            <v>ENTEL CHILE - 1600001801</v>
          </cell>
          <cell r="E480">
            <v>3660635</v>
          </cell>
          <cell r="F480">
            <v>8088705</v>
          </cell>
          <cell r="G480">
            <v>2609480</v>
          </cell>
          <cell r="H480">
            <v>37729</v>
          </cell>
          <cell r="I480">
            <v>0.54</v>
          </cell>
          <cell r="J480">
            <v>1</v>
          </cell>
          <cell r="K480" t="str">
            <v xml:space="preserve">6.1 </v>
          </cell>
          <cell r="M480" t="str">
            <v>CAB-AC</v>
          </cell>
          <cell r="N480" t="str">
            <v>CAB-AC Power Cord,110V</v>
          </cell>
          <cell r="O480">
            <v>0</v>
          </cell>
          <cell r="P480">
            <v>0</v>
          </cell>
          <cell r="Q480">
            <v>15</v>
          </cell>
          <cell r="R480">
            <v>0</v>
          </cell>
          <cell r="S480">
            <v>37742</v>
          </cell>
          <cell r="AF480" t="str">
            <v>-</v>
          </cell>
          <cell r="AG480">
            <v>0</v>
          </cell>
          <cell r="AH480">
            <v>14</v>
          </cell>
          <cell r="AI480">
            <v>0</v>
          </cell>
          <cell r="AJ480">
            <v>0</v>
          </cell>
        </row>
        <row r="481">
          <cell r="A481">
            <v>168980</v>
          </cell>
          <cell r="B481">
            <v>37725</v>
          </cell>
          <cell r="D481" t="str">
            <v>ENTEL CHILE - 1600001801</v>
          </cell>
          <cell r="E481">
            <v>3660635</v>
          </cell>
          <cell r="F481">
            <v>8088705</v>
          </cell>
          <cell r="G481">
            <v>2609480</v>
          </cell>
          <cell r="H481">
            <v>37729</v>
          </cell>
          <cell r="I481">
            <v>0.54</v>
          </cell>
          <cell r="J481">
            <v>1</v>
          </cell>
          <cell r="K481" t="str">
            <v xml:space="preserve">6.2 </v>
          </cell>
          <cell r="M481" t="str">
            <v>S26C-12208T</v>
          </cell>
          <cell r="N481" t="str">
            <v>S26C-12208T Cisco 2600 Series IOS IP</v>
          </cell>
          <cell r="O481">
            <v>0</v>
          </cell>
          <cell r="P481">
            <v>0</v>
          </cell>
          <cell r="Q481">
            <v>15</v>
          </cell>
          <cell r="R481">
            <v>0</v>
          </cell>
          <cell r="S481">
            <v>37742</v>
          </cell>
          <cell r="AF481" t="str">
            <v>C</v>
          </cell>
          <cell r="AG481">
            <v>0</v>
          </cell>
          <cell r="AH481">
            <v>14</v>
          </cell>
          <cell r="AI481">
            <v>0</v>
          </cell>
          <cell r="AJ481">
            <v>0</v>
          </cell>
        </row>
        <row r="482">
          <cell r="A482">
            <v>168980</v>
          </cell>
          <cell r="B482">
            <v>37725</v>
          </cell>
          <cell r="D482" t="str">
            <v>ENTEL CHILE - 1600001801</v>
          </cell>
          <cell r="E482">
            <v>3660635</v>
          </cell>
          <cell r="F482">
            <v>8088705</v>
          </cell>
          <cell r="G482">
            <v>2609480</v>
          </cell>
          <cell r="H482">
            <v>37729</v>
          </cell>
          <cell r="I482">
            <v>0.54</v>
          </cell>
          <cell r="J482">
            <v>1</v>
          </cell>
          <cell r="K482" t="str">
            <v xml:space="preserve">6.3 </v>
          </cell>
          <cell r="M482" t="str">
            <v>MEM2600XM-32D-INC</v>
          </cell>
          <cell r="N482" t="str">
            <v>MEM2600XM-32D-INC 32MB DRAM Memory factory default for the Cisco 261x/2xXM</v>
          </cell>
          <cell r="O482">
            <v>0</v>
          </cell>
          <cell r="P482">
            <v>0</v>
          </cell>
          <cell r="Q482">
            <v>15</v>
          </cell>
          <cell r="R482">
            <v>0</v>
          </cell>
          <cell r="S482">
            <v>37742</v>
          </cell>
          <cell r="AF482" t="str">
            <v>-</v>
          </cell>
          <cell r="AG482">
            <v>0</v>
          </cell>
          <cell r="AH482">
            <v>14</v>
          </cell>
          <cell r="AI482">
            <v>0</v>
          </cell>
          <cell r="AJ482">
            <v>0</v>
          </cell>
        </row>
        <row r="483">
          <cell r="A483">
            <v>168980</v>
          </cell>
          <cell r="B483">
            <v>37725</v>
          </cell>
          <cell r="D483" t="str">
            <v>ENTEL CHILE - 1600001801</v>
          </cell>
          <cell r="E483">
            <v>3660635</v>
          </cell>
          <cell r="F483">
            <v>8088705</v>
          </cell>
          <cell r="G483">
            <v>2609480</v>
          </cell>
          <cell r="H483">
            <v>37729</v>
          </cell>
          <cell r="I483">
            <v>0.54</v>
          </cell>
          <cell r="J483">
            <v>1</v>
          </cell>
          <cell r="K483" t="str">
            <v xml:space="preserve">6.4 </v>
          </cell>
          <cell r="M483" t="str">
            <v>MEM2600XM-16FS-INC</v>
          </cell>
          <cell r="N483" t="str">
            <v>MEM2600XM-16FS-INC 16MB Flash factory default for the Cisco 2600XM</v>
          </cell>
          <cell r="O483">
            <v>0</v>
          </cell>
          <cell r="P483">
            <v>0</v>
          </cell>
          <cell r="Q483">
            <v>15</v>
          </cell>
          <cell r="R483">
            <v>0</v>
          </cell>
          <cell r="S483">
            <v>37742</v>
          </cell>
          <cell r="AF483" t="str">
            <v>-</v>
          </cell>
          <cell r="AG483">
            <v>0</v>
          </cell>
          <cell r="AH483">
            <v>14</v>
          </cell>
          <cell r="AI483">
            <v>0</v>
          </cell>
          <cell r="AJ483">
            <v>0</v>
          </cell>
        </row>
        <row r="484">
          <cell r="A484">
            <v>168980</v>
          </cell>
          <cell r="B484">
            <v>37725</v>
          </cell>
          <cell r="D484" t="str">
            <v>ENTEL CHILE - 1600001801</v>
          </cell>
          <cell r="E484">
            <v>3660635</v>
          </cell>
          <cell r="F484">
            <v>8088705</v>
          </cell>
          <cell r="G484">
            <v>2609480</v>
          </cell>
          <cell r="H484">
            <v>37729</v>
          </cell>
          <cell r="I484">
            <v>0.54</v>
          </cell>
          <cell r="J484">
            <v>1</v>
          </cell>
          <cell r="K484" t="str">
            <v xml:space="preserve">7.0 </v>
          </cell>
          <cell r="M484" t="str">
            <v>CISCO805</v>
          </cell>
          <cell r="N484" t="str">
            <v>CISCO805 Cisco 805 Ethernet/Serial Router /</v>
          </cell>
          <cell r="O484">
            <v>999</v>
          </cell>
          <cell r="P484">
            <v>459.53999999999996</v>
          </cell>
          <cell r="Q484">
            <v>20</v>
          </cell>
          <cell r="R484">
            <v>9190.7999999999993</v>
          </cell>
          <cell r="S484">
            <v>37742</v>
          </cell>
          <cell r="AF484" t="str">
            <v>D</v>
          </cell>
          <cell r="AG484">
            <v>183.816</v>
          </cell>
          <cell r="AH484">
            <v>3</v>
          </cell>
          <cell r="AI484">
            <v>519</v>
          </cell>
          <cell r="AJ484">
            <v>10380</v>
          </cell>
        </row>
        <row r="485">
          <cell r="A485">
            <v>168980</v>
          </cell>
          <cell r="B485">
            <v>37725</v>
          </cell>
          <cell r="D485" t="str">
            <v>ENTEL CHILE - 1600001801</v>
          </cell>
          <cell r="E485">
            <v>3660635</v>
          </cell>
          <cell r="F485">
            <v>8088705</v>
          </cell>
          <cell r="G485">
            <v>2609480</v>
          </cell>
          <cell r="H485">
            <v>37729</v>
          </cell>
          <cell r="I485">
            <v>0.54</v>
          </cell>
          <cell r="J485">
            <v>1</v>
          </cell>
          <cell r="K485" t="str">
            <v xml:space="preserve">7.1 </v>
          </cell>
          <cell r="M485" t="str">
            <v>CAB-ACI</v>
          </cell>
          <cell r="N485" t="str">
            <v>CAB-ACI Power Cord-Italian</v>
          </cell>
          <cell r="O485">
            <v>0</v>
          </cell>
          <cell r="P485">
            <v>0</v>
          </cell>
          <cell r="Q485">
            <v>20</v>
          </cell>
          <cell r="R485">
            <v>0</v>
          </cell>
          <cell r="S485">
            <v>37742</v>
          </cell>
          <cell r="AF485" t="str">
            <v>-</v>
          </cell>
          <cell r="AG485">
            <v>0</v>
          </cell>
          <cell r="AH485">
            <v>3</v>
          </cell>
          <cell r="AI485">
            <v>0</v>
          </cell>
          <cell r="AJ485">
            <v>0</v>
          </cell>
        </row>
        <row r="486">
          <cell r="A486">
            <v>168980</v>
          </cell>
          <cell r="B486">
            <v>37725</v>
          </cell>
          <cell r="D486" t="str">
            <v>ENTEL CHILE - 1600001801</v>
          </cell>
          <cell r="E486">
            <v>3660635</v>
          </cell>
          <cell r="F486">
            <v>8088705</v>
          </cell>
          <cell r="G486">
            <v>2609480</v>
          </cell>
          <cell r="H486">
            <v>37729</v>
          </cell>
          <cell r="I486">
            <v>0.54</v>
          </cell>
          <cell r="J486">
            <v>1</v>
          </cell>
          <cell r="K486" t="str">
            <v xml:space="preserve">7.2 </v>
          </cell>
          <cell r="M486" t="str">
            <v>S805C-12208T</v>
          </cell>
          <cell r="N486" t="str">
            <v>S805C-12208T Cisco 805 Series IOS IP</v>
          </cell>
          <cell r="O486">
            <v>0</v>
          </cell>
          <cell r="P486">
            <v>0</v>
          </cell>
          <cell r="Q486">
            <v>20</v>
          </cell>
          <cell r="R486">
            <v>0</v>
          </cell>
          <cell r="S486">
            <v>37742</v>
          </cell>
          <cell r="AF486" t="str">
            <v>D</v>
          </cell>
          <cell r="AG486">
            <v>0</v>
          </cell>
          <cell r="AH486">
            <v>3</v>
          </cell>
          <cell r="AI486">
            <v>0</v>
          </cell>
          <cell r="AJ486">
            <v>0</v>
          </cell>
        </row>
        <row r="487">
          <cell r="A487">
            <v>168980</v>
          </cell>
          <cell r="B487">
            <v>37725</v>
          </cell>
          <cell r="D487" t="str">
            <v>ENTEL CHILE - 1600001801</v>
          </cell>
          <cell r="E487">
            <v>3660635</v>
          </cell>
          <cell r="F487">
            <v>8088705</v>
          </cell>
          <cell r="G487">
            <v>2609480</v>
          </cell>
          <cell r="H487">
            <v>37729</v>
          </cell>
          <cell r="I487">
            <v>0.54</v>
          </cell>
          <cell r="J487">
            <v>1</v>
          </cell>
          <cell r="K487" t="str">
            <v xml:space="preserve">8.0 </v>
          </cell>
          <cell r="M487" t="str">
            <v>CISCO827</v>
          </cell>
          <cell r="N487" t="str">
            <v>CISCO827 Cisco 827 ADSL router 1E, 1ADSL /</v>
          </cell>
          <cell r="O487">
            <v>649</v>
          </cell>
          <cell r="P487">
            <v>298.53999999999996</v>
          </cell>
          <cell r="Q487">
            <v>15</v>
          </cell>
          <cell r="R487">
            <v>4478.0999999999995</v>
          </cell>
          <cell r="S487">
            <v>37742</v>
          </cell>
          <cell r="AF487" t="str">
            <v>D</v>
          </cell>
          <cell r="AG487">
            <v>89.561999999999998</v>
          </cell>
          <cell r="AH487">
            <v>9</v>
          </cell>
          <cell r="AI487">
            <v>337</v>
          </cell>
          <cell r="AJ487">
            <v>5055</v>
          </cell>
        </row>
        <row r="488">
          <cell r="A488">
            <v>168980</v>
          </cell>
          <cell r="B488">
            <v>37725</v>
          </cell>
          <cell r="D488" t="str">
            <v>ENTEL CHILE - 1600001801</v>
          </cell>
          <cell r="E488">
            <v>3660635</v>
          </cell>
          <cell r="F488">
            <v>8088705</v>
          </cell>
          <cell r="G488">
            <v>2609480</v>
          </cell>
          <cell r="H488">
            <v>37729</v>
          </cell>
          <cell r="I488">
            <v>0.54</v>
          </cell>
          <cell r="J488">
            <v>1</v>
          </cell>
          <cell r="K488" t="str">
            <v xml:space="preserve">8.1 </v>
          </cell>
          <cell r="M488" t="str">
            <v>CAB-ACI</v>
          </cell>
          <cell r="N488" t="str">
            <v>CAB-ACI Power Cord-Italian</v>
          </cell>
          <cell r="O488">
            <v>0</v>
          </cell>
          <cell r="P488">
            <v>0</v>
          </cell>
          <cell r="Q488">
            <v>15</v>
          </cell>
          <cell r="R488">
            <v>0</v>
          </cell>
          <cell r="S488">
            <v>37742</v>
          </cell>
          <cell r="AF488" t="str">
            <v>-</v>
          </cell>
          <cell r="AG488">
            <v>0</v>
          </cell>
          <cell r="AH488">
            <v>9</v>
          </cell>
          <cell r="AI488">
            <v>0</v>
          </cell>
          <cell r="AJ488">
            <v>0</v>
          </cell>
        </row>
        <row r="489">
          <cell r="A489">
            <v>168980</v>
          </cell>
          <cell r="B489">
            <v>37725</v>
          </cell>
          <cell r="D489" t="str">
            <v>ENTEL CHILE - 1600001801</v>
          </cell>
          <cell r="E489">
            <v>3660635</v>
          </cell>
          <cell r="F489">
            <v>8088705</v>
          </cell>
          <cell r="G489">
            <v>2609480</v>
          </cell>
          <cell r="H489">
            <v>37729</v>
          </cell>
          <cell r="I489">
            <v>0.54</v>
          </cell>
          <cell r="J489">
            <v>1</v>
          </cell>
          <cell r="K489" t="str">
            <v xml:space="preserve">8.2 </v>
          </cell>
          <cell r="M489" t="str">
            <v>MEM820-16U32D</v>
          </cell>
          <cell r="N489" t="str">
            <v>MEM820-16U32D Cisco 820/806 DRAM upgrade 16Mbyte-32Mbyte</v>
          </cell>
          <cell r="O489">
            <v>0</v>
          </cell>
          <cell r="P489">
            <v>0</v>
          </cell>
          <cell r="Q489">
            <v>15</v>
          </cell>
          <cell r="R489">
            <v>0</v>
          </cell>
          <cell r="S489">
            <v>37742</v>
          </cell>
          <cell r="AF489" t="str">
            <v>D</v>
          </cell>
          <cell r="AG489">
            <v>0</v>
          </cell>
          <cell r="AH489">
            <v>9</v>
          </cell>
          <cell r="AI489">
            <v>0</v>
          </cell>
          <cell r="AJ489">
            <v>0</v>
          </cell>
        </row>
        <row r="490">
          <cell r="A490">
            <v>168980</v>
          </cell>
          <cell r="B490">
            <v>37725</v>
          </cell>
          <cell r="D490" t="str">
            <v>ENTEL CHILE - 1600001801</v>
          </cell>
          <cell r="E490">
            <v>3660635</v>
          </cell>
          <cell r="F490">
            <v>8088705</v>
          </cell>
          <cell r="G490">
            <v>2609480</v>
          </cell>
          <cell r="H490">
            <v>37729</v>
          </cell>
          <cell r="I490">
            <v>0.54</v>
          </cell>
          <cell r="J490">
            <v>1</v>
          </cell>
          <cell r="K490" t="str">
            <v xml:space="preserve">8.3 </v>
          </cell>
          <cell r="M490" t="str">
            <v>S820C-12204YA</v>
          </cell>
          <cell r="N490" t="str">
            <v>S820C-12204YA Cisco 820 Ser IOS IP</v>
          </cell>
          <cell r="O490">
            <v>0</v>
          </cell>
          <cell r="P490">
            <v>0</v>
          </cell>
          <cell r="Q490">
            <v>15</v>
          </cell>
          <cell r="R490">
            <v>0</v>
          </cell>
          <cell r="S490">
            <v>37742</v>
          </cell>
          <cell r="AF490" t="str">
            <v>D</v>
          </cell>
          <cell r="AG490">
            <v>0</v>
          </cell>
          <cell r="AH490">
            <v>9</v>
          </cell>
          <cell r="AI490">
            <v>0</v>
          </cell>
          <cell r="AJ490">
            <v>0</v>
          </cell>
        </row>
        <row r="491">
          <cell r="A491">
            <v>168980</v>
          </cell>
          <cell r="B491">
            <v>37725</v>
          </cell>
          <cell r="D491" t="str">
            <v>ENTEL CHILE - 1600001801</v>
          </cell>
          <cell r="E491">
            <v>3660635</v>
          </cell>
          <cell r="F491">
            <v>8088705</v>
          </cell>
          <cell r="G491">
            <v>2609480</v>
          </cell>
          <cell r="H491">
            <v>37729</v>
          </cell>
          <cell r="I491">
            <v>0.54</v>
          </cell>
          <cell r="J491">
            <v>1</v>
          </cell>
          <cell r="K491" t="str">
            <v xml:space="preserve">8.4 </v>
          </cell>
          <cell r="M491" t="str">
            <v>CAB-ADSL-RJ11</v>
          </cell>
          <cell r="N491" t="str">
            <v>CAB-ADSL-RJ11 Lavender Cable for xDSL, Straight-through, RJ-11, 6 feet</v>
          </cell>
          <cell r="O491">
            <v>0</v>
          </cell>
          <cell r="P491">
            <v>0</v>
          </cell>
          <cell r="Q491">
            <v>15</v>
          </cell>
          <cell r="R491">
            <v>0</v>
          </cell>
          <cell r="S491">
            <v>37742</v>
          </cell>
          <cell r="AF491" t="str">
            <v>-</v>
          </cell>
          <cell r="AG491">
            <v>0</v>
          </cell>
          <cell r="AH491">
            <v>9</v>
          </cell>
          <cell r="AI491">
            <v>0</v>
          </cell>
          <cell r="AJ491">
            <v>0</v>
          </cell>
        </row>
        <row r="492">
          <cell r="A492">
            <v>168980</v>
          </cell>
          <cell r="B492">
            <v>37725</v>
          </cell>
          <cell r="D492" t="str">
            <v>ENTEL CHILE - 1600001801</v>
          </cell>
          <cell r="E492">
            <v>3660635</v>
          </cell>
          <cell r="F492">
            <v>8088705</v>
          </cell>
          <cell r="G492">
            <v>2609480</v>
          </cell>
          <cell r="H492">
            <v>37729</v>
          </cell>
          <cell r="I492">
            <v>0.54</v>
          </cell>
          <cell r="J492">
            <v>1</v>
          </cell>
          <cell r="K492" t="str">
            <v xml:space="preserve">9.0 </v>
          </cell>
          <cell r="M492" t="str">
            <v>CISCO1751-V</v>
          </cell>
          <cell r="N492" t="str">
            <v>CISCO1751-V 10/100 Modular Router w/Voice,32F/64D /</v>
          </cell>
          <cell r="O492">
            <v>2495</v>
          </cell>
          <cell r="P492">
            <v>1147.6999999999998</v>
          </cell>
          <cell r="Q492">
            <v>15</v>
          </cell>
          <cell r="R492">
            <v>17215.499999999996</v>
          </cell>
          <cell r="S492">
            <v>37773</v>
          </cell>
          <cell r="AF492" t="str">
            <v>D</v>
          </cell>
          <cell r="AG492">
            <v>344.30999999999995</v>
          </cell>
          <cell r="AH492">
            <v>10</v>
          </cell>
          <cell r="AI492">
            <v>1297</v>
          </cell>
          <cell r="AJ492">
            <v>19455</v>
          </cell>
        </row>
        <row r="493">
          <cell r="A493">
            <v>168980</v>
          </cell>
          <cell r="B493">
            <v>37725</v>
          </cell>
          <cell r="D493" t="str">
            <v>ENTEL CHILE - 1600001801</v>
          </cell>
          <cell r="E493">
            <v>3660635</v>
          </cell>
          <cell r="F493">
            <v>8088705</v>
          </cell>
          <cell r="G493">
            <v>2609480</v>
          </cell>
          <cell r="H493">
            <v>37729</v>
          </cell>
          <cell r="I493">
            <v>0.54</v>
          </cell>
          <cell r="J493">
            <v>1</v>
          </cell>
          <cell r="K493" t="str">
            <v xml:space="preserve">9.1 </v>
          </cell>
          <cell r="M493" t="str">
            <v>CAB-ACI</v>
          </cell>
          <cell r="N493" t="str">
            <v>CAB-ACI Power Cord-Italian</v>
          </cell>
          <cell r="O493">
            <v>0</v>
          </cell>
          <cell r="P493">
            <v>0</v>
          </cell>
          <cell r="Q493">
            <v>15</v>
          </cell>
          <cell r="R493">
            <v>0</v>
          </cell>
          <cell r="S493">
            <v>37742</v>
          </cell>
          <cell r="AF493" t="str">
            <v>-</v>
          </cell>
          <cell r="AG493">
            <v>0</v>
          </cell>
          <cell r="AH493">
            <v>10</v>
          </cell>
          <cell r="AI493">
            <v>0</v>
          </cell>
          <cell r="AJ493">
            <v>0</v>
          </cell>
        </row>
        <row r="494">
          <cell r="A494">
            <v>168980</v>
          </cell>
          <cell r="B494">
            <v>37725</v>
          </cell>
          <cell r="D494" t="str">
            <v>ENTEL CHILE - 1600001801</v>
          </cell>
          <cell r="E494">
            <v>3660635</v>
          </cell>
          <cell r="F494">
            <v>8088705</v>
          </cell>
          <cell r="G494">
            <v>2609480</v>
          </cell>
          <cell r="H494">
            <v>37729</v>
          </cell>
          <cell r="I494">
            <v>0.54</v>
          </cell>
          <cell r="J494">
            <v>1</v>
          </cell>
          <cell r="K494" t="str">
            <v xml:space="preserve">9.2 </v>
          </cell>
          <cell r="M494" t="str">
            <v>S17CV8P-12211T</v>
          </cell>
          <cell r="N494" t="str">
            <v>S17CV8P-12211T Cisco 1700 IOS IP/VOX PLUS</v>
          </cell>
          <cell r="O494">
            <v>0</v>
          </cell>
          <cell r="P494">
            <v>0</v>
          </cell>
          <cell r="Q494">
            <v>15</v>
          </cell>
          <cell r="R494">
            <v>0</v>
          </cell>
          <cell r="S494">
            <v>37742</v>
          </cell>
          <cell r="AF494" t="str">
            <v>D</v>
          </cell>
          <cell r="AG494">
            <v>0</v>
          </cell>
          <cell r="AH494">
            <v>10</v>
          </cell>
          <cell r="AI494">
            <v>0</v>
          </cell>
          <cell r="AJ494">
            <v>0</v>
          </cell>
        </row>
        <row r="495">
          <cell r="A495">
            <v>168980</v>
          </cell>
          <cell r="B495">
            <v>37725</v>
          </cell>
          <cell r="D495" t="str">
            <v>ENTEL CHILE - 1600001801</v>
          </cell>
          <cell r="E495">
            <v>3660635</v>
          </cell>
          <cell r="F495">
            <v>8088705</v>
          </cell>
          <cell r="G495">
            <v>2609480</v>
          </cell>
          <cell r="H495">
            <v>37729</v>
          </cell>
          <cell r="I495">
            <v>0.54</v>
          </cell>
          <cell r="J495">
            <v>1</v>
          </cell>
          <cell r="K495" t="str">
            <v xml:space="preserve">9.3 </v>
          </cell>
          <cell r="M495" t="str">
            <v>PVDM-256K-4</v>
          </cell>
          <cell r="N495" t="str">
            <v>PVDM-256K-4 4-Channel Packet Voice/Fax DSP Module</v>
          </cell>
          <cell r="O495">
            <v>0</v>
          </cell>
          <cell r="P495">
            <v>0</v>
          </cell>
          <cell r="Q495">
            <v>15</v>
          </cell>
          <cell r="R495">
            <v>0</v>
          </cell>
          <cell r="S495">
            <v>37742</v>
          </cell>
          <cell r="AF495" t="str">
            <v>D</v>
          </cell>
          <cell r="AG495">
            <v>0</v>
          </cell>
          <cell r="AH495">
            <v>10</v>
          </cell>
          <cell r="AI495">
            <v>0</v>
          </cell>
          <cell r="AJ495">
            <v>0</v>
          </cell>
        </row>
        <row r="496">
          <cell r="A496">
            <v>168980</v>
          </cell>
          <cell r="B496">
            <v>37725</v>
          </cell>
          <cell r="D496" t="str">
            <v>ENTEL CHILE - 1600001801</v>
          </cell>
          <cell r="E496">
            <v>3660635</v>
          </cell>
          <cell r="F496">
            <v>8088705</v>
          </cell>
          <cell r="G496">
            <v>2609480</v>
          </cell>
          <cell r="H496">
            <v>37729</v>
          </cell>
          <cell r="I496">
            <v>0.54</v>
          </cell>
          <cell r="J496">
            <v>1</v>
          </cell>
          <cell r="K496" t="str">
            <v xml:space="preserve">10.0 </v>
          </cell>
          <cell r="M496" t="str">
            <v>CISCO827-4V</v>
          </cell>
          <cell r="N496" t="str">
            <v>CISCO827-4V Cisco 827-4V ADSL router 1E, 1ADSL, 4 Voice /</v>
          </cell>
          <cell r="O496">
            <v>999</v>
          </cell>
          <cell r="P496">
            <v>459.53999999999996</v>
          </cell>
          <cell r="Q496">
            <v>20</v>
          </cell>
          <cell r="R496">
            <v>9190.7999999999993</v>
          </cell>
          <cell r="S496">
            <v>37742</v>
          </cell>
          <cell r="AF496" t="str">
            <v>D</v>
          </cell>
          <cell r="AG496">
            <v>183.816</v>
          </cell>
          <cell r="AH496">
            <v>11</v>
          </cell>
          <cell r="AI496">
            <v>519</v>
          </cell>
          <cell r="AJ496">
            <v>10380</v>
          </cell>
        </row>
        <row r="497">
          <cell r="A497">
            <v>168980</v>
          </cell>
          <cell r="B497">
            <v>37725</v>
          </cell>
          <cell r="D497" t="str">
            <v>ENTEL CHILE - 1600001801</v>
          </cell>
          <cell r="E497">
            <v>3660635</v>
          </cell>
          <cell r="F497">
            <v>8088705</v>
          </cell>
          <cell r="G497">
            <v>2609480</v>
          </cell>
          <cell r="H497">
            <v>37729</v>
          </cell>
          <cell r="I497">
            <v>0.54</v>
          </cell>
          <cell r="J497">
            <v>1</v>
          </cell>
          <cell r="K497" t="str">
            <v xml:space="preserve">10.1 </v>
          </cell>
          <cell r="M497" t="str">
            <v>CAB-ACI</v>
          </cell>
          <cell r="N497" t="str">
            <v>CAB-ACI Power Cord-Italian</v>
          </cell>
          <cell r="O497">
            <v>0</v>
          </cell>
          <cell r="P497">
            <v>0</v>
          </cell>
          <cell r="Q497">
            <v>20</v>
          </cell>
          <cell r="R497">
            <v>0</v>
          </cell>
          <cell r="S497">
            <v>37742</v>
          </cell>
          <cell r="AF497" t="str">
            <v>-</v>
          </cell>
          <cell r="AG497">
            <v>0</v>
          </cell>
          <cell r="AH497">
            <v>11</v>
          </cell>
          <cell r="AI497">
            <v>0</v>
          </cell>
          <cell r="AJ497">
            <v>0</v>
          </cell>
        </row>
        <row r="498">
          <cell r="A498">
            <v>168980</v>
          </cell>
          <cell r="B498">
            <v>37725</v>
          </cell>
          <cell r="D498" t="str">
            <v>ENTEL CHILE - 1600001801</v>
          </cell>
          <cell r="E498">
            <v>3660635</v>
          </cell>
          <cell r="F498">
            <v>8088705</v>
          </cell>
          <cell r="G498">
            <v>2609480</v>
          </cell>
          <cell r="H498">
            <v>37729</v>
          </cell>
          <cell r="I498">
            <v>0.54</v>
          </cell>
          <cell r="J498">
            <v>1</v>
          </cell>
          <cell r="K498" t="str">
            <v xml:space="preserve">10.2 </v>
          </cell>
          <cell r="M498" t="str">
            <v>MEM820-24U32D</v>
          </cell>
          <cell r="N498" t="str">
            <v>MEM820-24U32D Cisco 820 DRAM 24Mbyte upgrade to 32 Mbytes</v>
          </cell>
          <cell r="O498">
            <v>0</v>
          </cell>
          <cell r="P498">
            <v>0</v>
          </cell>
          <cell r="Q498">
            <v>20</v>
          </cell>
          <cell r="R498">
            <v>0</v>
          </cell>
          <cell r="S498">
            <v>37742</v>
          </cell>
          <cell r="AF498" t="str">
            <v>D</v>
          </cell>
          <cell r="AG498">
            <v>0</v>
          </cell>
          <cell r="AH498">
            <v>11</v>
          </cell>
          <cell r="AI498">
            <v>0</v>
          </cell>
          <cell r="AJ498">
            <v>0</v>
          </cell>
        </row>
        <row r="499">
          <cell r="A499">
            <v>168980</v>
          </cell>
          <cell r="B499">
            <v>37725</v>
          </cell>
          <cell r="D499" t="str">
            <v>ENTEL CHILE - 1600001801</v>
          </cell>
          <cell r="E499">
            <v>3660635</v>
          </cell>
          <cell r="F499">
            <v>8088705</v>
          </cell>
          <cell r="G499">
            <v>2609480</v>
          </cell>
          <cell r="H499">
            <v>37729</v>
          </cell>
          <cell r="I499">
            <v>0.54</v>
          </cell>
          <cell r="J499">
            <v>1</v>
          </cell>
          <cell r="K499" t="str">
            <v xml:space="preserve">10.3 </v>
          </cell>
          <cell r="M499" t="str">
            <v>S820CHV-12208YN</v>
          </cell>
          <cell r="N499" t="str">
            <v>S820CHV-12208YN Cisco 820 Ser IOS IP/FW/VOICE</v>
          </cell>
          <cell r="O499">
            <v>0</v>
          </cell>
          <cell r="P499">
            <v>0</v>
          </cell>
          <cell r="Q499">
            <v>20</v>
          </cell>
          <cell r="R499">
            <v>0</v>
          </cell>
          <cell r="S499">
            <v>37742</v>
          </cell>
          <cell r="AF499" t="str">
            <v>D</v>
          </cell>
          <cell r="AG499">
            <v>0</v>
          </cell>
          <cell r="AH499">
            <v>11</v>
          </cell>
          <cell r="AI499">
            <v>0</v>
          </cell>
          <cell r="AJ499">
            <v>0</v>
          </cell>
        </row>
        <row r="500">
          <cell r="A500">
            <v>168980</v>
          </cell>
          <cell r="B500">
            <v>37725</v>
          </cell>
          <cell r="D500" t="str">
            <v>ENTEL CHILE - 1600001801</v>
          </cell>
          <cell r="E500">
            <v>3660635</v>
          </cell>
          <cell r="F500">
            <v>8088705</v>
          </cell>
          <cell r="G500">
            <v>2609480</v>
          </cell>
          <cell r="H500">
            <v>37729</v>
          </cell>
          <cell r="I500">
            <v>0.54</v>
          </cell>
          <cell r="J500">
            <v>1</v>
          </cell>
          <cell r="K500" t="str">
            <v xml:space="preserve">10.4 </v>
          </cell>
          <cell r="M500" t="str">
            <v>CAB-ADSL-RJ11</v>
          </cell>
          <cell r="N500" t="str">
            <v>CAB-ADSL-RJ11 Lavender Cable for xDSL, Straight-through, RJ-11, 6 feet</v>
          </cell>
          <cell r="O500">
            <v>0</v>
          </cell>
          <cell r="P500">
            <v>0</v>
          </cell>
          <cell r="Q500">
            <v>20</v>
          </cell>
          <cell r="R500">
            <v>0</v>
          </cell>
          <cell r="S500">
            <v>37742</v>
          </cell>
          <cell r="AF500" t="str">
            <v>-</v>
          </cell>
          <cell r="AG500">
            <v>0</v>
          </cell>
          <cell r="AH500">
            <v>11</v>
          </cell>
          <cell r="AI500">
            <v>0</v>
          </cell>
          <cell r="AJ500">
            <v>0</v>
          </cell>
        </row>
        <row r="501">
          <cell r="A501">
            <v>168980</v>
          </cell>
          <cell r="B501">
            <v>37725</v>
          </cell>
          <cell r="D501" t="str">
            <v>ENTEL CHILE - 1600001801</v>
          </cell>
          <cell r="E501">
            <v>3660635</v>
          </cell>
          <cell r="F501">
            <v>8088705</v>
          </cell>
          <cell r="G501">
            <v>2609480</v>
          </cell>
          <cell r="H501">
            <v>37729</v>
          </cell>
          <cell r="I501">
            <v>0.54</v>
          </cell>
          <cell r="J501">
            <v>1</v>
          </cell>
          <cell r="K501" t="str">
            <v xml:space="preserve">11.0 </v>
          </cell>
          <cell r="M501" t="str">
            <v>CISCO828</v>
          </cell>
          <cell r="N501" t="str">
            <v>CISCO828 Cisco 828 G.SHDSL Router 1E, 1G.SHDSL /</v>
          </cell>
          <cell r="O501">
            <v>749</v>
          </cell>
          <cell r="P501">
            <v>344.53999999999996</v>
          </cell>
          <cell r="Q501">
            <v>5</v>
          </cell>
          <cell r="R501">
            <v>1722.6999999999998</v>
          </cell>
          <cell r="S501">
            <v>37742</v>
          </cell>
          <cell r="AF501" t="str">
            <v>D</v>
          </cell>
          <cell r="AG501">
            <v>34.454000000000001</v>
          </cell>
          <cell r="AH501">
            <v>7</v>
          </cell>
          <cell r="AI501">
            <v>389</v>
          </cell>
          <cell r="AJ501">
            <v>1945</v>
          </cell>
        </row>
        <row r="502">
          <cell r="A502">
            <v>168980</v>
          </cell>
          <cell r="B502">
            <v>37725</v>
          </cell>
          <cell r="D502" t="str">
            <v>ENTEL CHILE - 1600001801</v>
          </cell>
          <cell r="E502">
            <v>3660635</v>
          </cell>
          <cell r="F502">
            <v>8088705</v>
          </cell>
          <cell r="G502">
            <v>2609480</v>
          </cell>
          <cell r="H502">
            <v>37729</v>
          </cell>
          <cell r="I502">
            <v>0.54</v>
          </cell>
          <cell r="J502">
            <v>1</v>
          </cell>
          <cell r="K502" t="str">
            <v xml:space="preserve">11.1 </v>
          </cell>
          <cell r="M502" t="str">
            <v>CAB-ACI</v>
          </cell>
          <cell r="N502" t="str">
            <v>CAB-ACI Power Cord-Italian</v>
          </cell>
          <cell r="O502">
            <v>0</v>
          </cell>
          <cell r="P502">
            <v>0</v>
          </cell>
          <cell r="Q502">
            <v>5</v>
          </cell>
          <cell r="R502">
            <v>0</v>
          </cell>
          <cell r="S502">
            <v>37742</v>
          </cell>
          <cell r="AF502" t="str">
            <v>-</v>
          </cell>
          <cell r="AG502">
            <v>0</v>
          </cell>
          <cell r="AH502">
            <v>7</v>
          </cell>
          <cell r="AI502">
            <v>0</v>
          </cell>
          <cell r="AJ502">
            <v>0</v>
          </cell>
        </row>
        <row r="503">
          <cell r="A503">
            <v>168980</v>
          </cell>
          <cell r="B503">
            <v>37725</v>
          </cell>
          <cell r="D503" t="str">
            <v>ENTEL CHILE - 1600001801</v>
          </cell>
          <cell r="E503">
            <v>3660635</v>
          </cell>
          <cell r="F503">
            <v>8088705</v>
          </cell>
          <cell r="G503">
            <v>2609480</v>
          </cell>
          <cell r="H503">
            <v>37729</v>
          </cell>
          <cell r="I503">
            <v>0.54</v>
          </cell>
          <cell r="J503">
            <v>1</v>
          </cell>
          <cell r="K503" t="str">
            <v xml:space="preserve">11.2 </v>
          </cell>
          <cell r="M503" t="str">
            <v>MEM820-16U32D</v>
          </cell>
          <cell r="N503" t="str">
            <v>MEM820-16U32D Cisco 820/806 DRAM upgrade 16Mbyte-32Mbyte</v>
          </cell>
          <cell r="O503">
            <v>0</v>
          </cell>
          <cell r="P503">
            <v>0</v>
          </cell>
          <cell r="Q503">
            <v>5</v>
          </cell>
          <cell r="R503">
            <v>0</v>
          </cell>
          <cell r="S503">
            <v>37742</v>
          </cell>
          <cell r="AF503" t="str">
            <v>D</v>
          </cell>
          <cell r="AG503">
            <v>0</v>
          </cell>
          <cell r="AH503">
            <v>7</v>
          </cell>
          <cell r="AI503">
            <v>0</v>
          </cell>
          <cell r="AJ503">
            <v>0</v>
          </cell>
        </row>
        <row r="504">
          <cell r="A504">
            <v>168980</v>
          </cell>
          <cell r="B504">
            <v>37725</v>
          </cell>
          <cell r="D504" t="str">
            <v>ENTEL CHILE - 1600001801</v>
          </cell>
          <cell r="E504">
            <v>3660635</v>
          </cell>
          <cell r="F504">
            <v>8088705</v>
          </cell>
          <cell r="G504">
            <v>2609480</v>
          </cell>
          <cell r="H504">
            <v>37729</v>
          </cell>
          <cell r="I504">
            <v>0.54</v>
          </cell>
          <cell r="J504">
            <v>1</v>
          </cell>
          <cell r="K504" t="str">
            <v xml:space="preserve">11.3 </v>
          </cell>
          <cell r="M504" t="str">
            <v>S828CH-12208YM</v>
          </cell>
          <cell r="N504" t="str">
            <v>S828CH-12208YM Cisco 828 Series IOS IP/FW</v>
          </cell>
          <cell r="O504">
            <v>0</v>
          </cell>
          <cell r="P504">
            <v>0</v>
          </cell>
          <cell r="Q504">
            <v>5</v>
          </cell>
          <cell r="R504">
            <v>0</v>
          </cell>
          <cell r="S504">
            <v>37742</v>
          </cell>
          <cell r="AF504" t="str">
            <v>D</v>
          </cell>
          <cell r="AG504">
            <v>0</v>
          </cell>
          <cell r="AH504">
            <v>7</v>
          </cell>
          <cell r="AI504">
            <v>0</v>
          </cell>
          <cell r="AJ504">
            <v>0</v>
          </cell>
        </row>
        <row r="505">
          <cell r="A505">
            <v>168980</v>
          </cell>
          <cell r="B505">
            <v>37725</v>
          </cell>
          <cell r="D505" t="str">
            <v>ENTEL CHILE - 1600001801</v>
          </cell>
          <cell r="E505">
            <v>3660635</v>
          </cell>
          <cell r="F505">
            <v>8088705</v>
          </cell>
          <cell r="G505">
            <v>2609480</v>
          </cell>
          <cell r="H505">
            <v>37729</v>
          </cell>
          <cell r="I505">
            <v>0.54</v>
          </cell>
          <cell r="J505">
            <v>2</v>
          </cell>
          <cell r="K505" t="str">
            <v xml:space="preserve">12.0 </v>
          </cell>
          <cell r="M505" t="str">
            <v>CISCO1760-V</v>
          </cell>
          <cell r="N505" t="str">
            <v>CISCO1760-V 10/100 Modular Router w/Voice,19 inch Chassis /</v>
          </cell>
          <cell r="O505">
            <v>2595</v>
          </cell>
          <cell r="P505">
            <v>1193.6999999999998</v>
          </cell>
          <cell r="Q505">
            <v>10</v>
          </cell>
          <cell r="R505">
            <v>11936.999999999998</v>
          </cell>
          <cell r="S505">
            <v>37742</v>
          </cell>
          <cell r="AF505" t="str">
            <v>D</v>
          </cell>
          <cell r="AG505">
            <v>238.73999999999998</v>
          </cell>
          <cell r="AH505">
            <v>1</v>
          </cell>
          <cell r="AI505">
            <v>1349</v>
          </cell>
          <cell r="AJ505">
            <v>13490</v>
          </cell>
        </row>
        <row r="506">
          <cell r="A506">
            <v>168980</v>
          </cell>
          <cell r="B506">
            <v>37725</v>
          </cell>
          <cell r="D506" t="str">
            <v>ENTEL CHILE - 1600001801</v>
          </cell>
          <cell r="E506">
            <v>3660635</v>
          </cell>
          <cell r="F506">
            <v>8088705</v>
          </cell>
          <cell r="G506">
            <v>2609480</v>
          </cell>
          <cell r="H506">
            <v>37729</v>
          </cell>
          <cell r="I506">
            <v>0.54</v>
          </cell>
          <cell r="J506">
            <v>2</v>
          </cell>
          <cell r="K506" t="str">
            <v xml:space="preserve">12.1 </v>
          </cell>
          <cell r="M506" t="str">
            <v>PVDM-256K-4</v>
          </cell>
          <cell r="N506" t="str">
            <v>PVDM-256K-4 4-Channel Packet Voice/Fax DSP Module</v>
          </cell>
          <cell r="O506">
            <v>400</v>
          </cell>
          <cell r="P506">
            <v>184</v>
          </cell>
          <cell r="Q506">
            <v>10</v>
          </cell>
          <cell r="R506">
            <v>1840</v>
          </cell>
          <cell r="S506">
            <v>37742</v>
          </cell>
          <cell r="AF506" t="str">
            <v>D</v>
          </cell>
          <cell r="AG506">
            <v>36.800000000000004</v>
          </cell>
          <cell r="AH506">
            <v>8</v>
          </cell>
          <cell r="AI506">
            <v>208</v>
          </cell>
          <cell r="AJ506">
            <v>2080</v>
          </cell>
        </row>
        <row r="507">
          <cell r="A507">
            <v>168980</v>
          </cell>
          <cell r="B507">
            <v>37725</v>
          </cell>
          <cell r="D507" t="str">
            <v>ENTEL CHILE - 1600001801</v>
          </cell>
          <cell r="E507">
            <v>3660635</v>
          </cell>
          <cell r="F507">
            <v>8088705</v>
          </cell>
          <cell r="G507">
            <v>2609480</v>
          </cell>
          <cell r="H507">
            <v>37729</v>
          </cell>
          <cell r="I507">
            <v>0.54</v>
          </cell>
          <cell r="J507">
            <v>2</v>
          </cell>
          <cell r="K507" t="str">
            <v xml:space="preserve">12.2 </v>
          </cell>
          <cell r="M507" t="str">
            <v>CAB-ACI</v>
          </cell>
          <cell r="N507" t="str">
            <v>CAB-ACI Power Cord-Italian</v>
          </cell>
          <cell r="O507">
            <v>0</v>
          </cell>
          <cell r="P507">
            <v>0</v>
          </cell>
          <cell r="Q507">
            <v>10</v>
          </cell>
          <cell r="R507">
            <v>0</v>
          </cell>
          <cell r="S507">
            <v>37742</v>
          </cell>
          <cell r="AF507" t="str">
            <v>-</v>
          </cell>
          <cell r="AG507">
            <v>0</v>
          </cell>
          <cell r="AH507">
            <v>1</v>
          </cell>
          <cell r="AI507">
            <v>0</v>
          </cell>
          <cell r="AJ507">
            <v>0</v>
          </cell>
        </row>
        <row r="508">
          <cell r="A508">
            <v>168980</v>
          </cell>
          <cell r="B508">
            <v>37725</v>
          </cell>
          <cell r="D508" t="str">
            <v>ENTEL CHILE - 1600001801</v>
          </cell>
          <cell r="E508">
            <v>3660635</v>
          </cell>
          <cell r="F508">
            <v>8088705</v>
          </cell>
          <cell r="G508">
            <v>2609480</v>
          </cell>
          <cell r="H508">
            <v>37729</v>
          </cell>
          <cell r="I508">
            <v>0.54</v>
          </cell>
          <cell r="J508">
            <v>2</v>
          </cell>
          <cell r="K508" t="str">
            <v xml:space="preserve">12.3 </v>
          </cell>
          <cell r="M508" t="str">
            <v>S17CV8P-12208YJ</v>
          </cell>
          <cell r="N508" t="str">
            <v>S17CV8P-12208YJ Cisco 1700 IOS IP/VOX PLUS</v>
          </cell>
          <cell r="O508">
            <v>0</v>
          </cell>
          <cell r="P508">
            <v>0</v>
          </cell>
          <cell r="Q508">
            <v>10</v>
          </cell>
          <cell r="R508">
            <v>0</v>
          </cell>
          <cell r="S508">
            <v>37742</v>
          </cell>
          <cell r="AF508" t="str">
            <v>D</v>
          </cell>
          <cell r="AG508">
            <v>0</v>
          </cell>
          <cell r="AH508">
            <v>1</v>
          </cell>
          <cell r="AI508">
            <v>0</v>
          </cell>
          <cell r="AJ508">
            <v>0</v>
          </cell>
        </row>
        <row r="509">
          <cell r="A509">
            <v>168980</v>
          </cell>
          <cell r="B509">
            <v>37725</v>
          </cell>
          <cell r="D509" t="str">
            <v>ENTEL CHILE - 1600001801</v>
          </cell>
          <cell r="E509">
            <v>3660635</v>
          </cell>
          <cell r="F509">
            <v>8088705</v>
          </cell>
          <cell r="G509">
            <v>2609480</v>
          </cell>
          <cell r="H509">
            <v>37729</v>
          </cell>
          <cell r="I509">
            <v>0.54</v>
          </cell>
          <cell r="J509">
            <v>2</v>
          </cell>
          <cell r="K509" t="str">
            <v xml:space="preserve">12.4 </v>
          </cell>
          <cell r="M509" t="str">
            <v>MEM1700-16U32MFS</v>
          </cell>
          <cell r="N509" t="str">
            <v>MEM1700-16U32MFS Cisco 1700 16MB to 32MB Flash SIMM Factory Upgrade</v>
          </cell>
          <cell r="O509">
            <v>0</v>
          </cell>
          <cell r="P509">
            <v>0</v>
          </cell>
          <cell r="Q509">
            <v>10</v>
          </cell>
          <cell r="R509">
            <v>0</v>
          </cell>
          <cell r="S509">
            <v>37742</v>
          </cell>
          <cell r="AF509" t="str">
            <v>D</v>
          </cell>
          <cell r="AG509">
            <v>0</v>
          </cell>
          <cell r="AH509">
            <v>1</v>
          </cell>
          <cell r="AI509">
            <v>0</v>
          </cell>
          <cell r="AJ509">
            <v>0</v>
          </cell>
        </row>
        <row r="510">
          <cell r="A510">
            <v>168980</v>
          </cell>
          <cell r="B510">
            <v>37725</v>
          </cell>
          <cell r="D510" t="str">
            <v>ENTEL CHILE - 1600001801</v>
          </cell>
          <cell r="E510">
            <v>3660635</v>
          </cell>
          <cell r="F510">
            <v>8088705</v>
          </cell>
          <cell r="G510">
            <v>2609480</v>
          </cell>
          <cell r="H510">
            <v>37729</v>
          </cell>
          <cell r="I510">
            <v>0.54</v>
          </cell>
          <cell r="J510">
            <v>2</v>
          </cell>
          <cell r="K510" t="str">
            <v xml:space="preserve">12.5 </v>
          </cell>
          <cell r="M510" t="str">
            <v>MEM1700-32U64D</v>
          </cell>
          <cell r="N510" t="str">
            <v>MEM1700-32U64D Cisco 1700 32MB to 64MB DRAM Factory Upgrade</v>
          </cell>
          <cell r="O510">
            <v>0</v>
          </cell>
          <cell r="P510">
            <v>0</v>
          </cell>
          <cell r="Q510">
            <v>10</v>
          </cell>
          <cell r="R510">
            <v>0</v>
          </cell>
          <cell r="S510">
            <v>37742</v>
          </cell>
          <cell r="AF510" t="str">
            <v>D</v>
          </cell>
          <cell r="AG510">
            <v>0</v>
          </cell>
          <cell r="AH510">
            <v>1</v>
          </cell>
          <cell r="AI510">
            <v>0</v>
          </cell>
          <cell r="AJ510">
            <v>0</v>
          </cell>
        </row>
        <row r="511">
          <cell r="A511">
            <v>168980</v>
          </cell>
          <cell r="B511">
            <v>37725</v>
          </cell>
          <cell r="D511" t="str">
            <v>ENTEL CHILE - 1600001801</v>
          </cell>
          <cell r="E511">
            <v>3660635</v>
          </cell>
          <cell r="F511">
            <v>8088705</v>
          </cell>
          <cell r="G511">
            <v>2609480</v>
          </cell>
          <cell r="H511">
            <v>37729</v>
          </cell>
          <cell r="I511">
            <v>0.54</v>
          </cell>
          <cell r="J511">
            <v>1</v>
          </cell>
          <cell r="K511" t="str">
            <v xml:space="preserve">12.6 </v>
          </cell>
          <cell r="M511" t="str">
            <v>PVDM-256K-4</v>
          </cell>
          <cell r="N511" t="str">
            <v>PVDM-256K-4 4-Channel Packet Voice/Fax DSP Module</v>
          </cell>
          <cell r="O511">
            <v>0</v>
          </cell>
          <cell r="P511">
            <v>0</v>
          </cell>
          <cell r="Q511">
            <v>10</v>
          </cell>
          <cell r="R511">
            <v>0</v>
          </cell>
          <cell r="S511">
            <v>37742</v>
          </cell>
          <cell r="AF511" t="str">
            <v>D</v>
          </cell>
          <cell r="AG511">
            <v>0</v>
          </cell>
          <cell r="AH511">
            <v>1</v>
          </cell>
          <cell r="AI511">
            <v>0</v>
          </cell>
          <cell r="AJ511">
            <v>0</v>
          </cell>
        </row>
        <row r="512">
          <cell r="A512">
            <v>168980</v>
          </cell>
          <cell r="B512">
            <v>37725</v>
          </cell>
          <cell r="D512" t="str">
            <v>ENTEL CHILE - 1600001801</v>
          </cell>
          <cell r="E512">
            <v>3660635</v>
          </cell>
          <cell r="F512">
            <v>8088705</v>
          </cell>
          <cell r="G512">
            <v>2609480</v>
          </cell>
          <cell r="H512">
            <v>37729</v>
          </cell>
          <cell r="I512">
            <v>0.54</v>
          </cell>
          <cell r="J512">
            <v>2</v>
          </cell>
          <cell r="K512" t="str">
            <v xml:space="preserve">13.0 </v>
          </cell>
          <cell r="M512" t="str">
            <v>WIC-1SHDSL=</v>
          </cell>
          <cell r="N512" t="str">
            <v>WIC-1SHDSL= 1-Port G.SHDSL WIC /</v>
          </cell>
          <cell r="O512">
            <v>950</v>
          </cell>
          <cell r="P512">
            <v>436.99999999999994</v>
          </cell>
          <cell r="Q512">
            <v>10</v>
          </cell>
          <cell r="R512">
            <v>4369.9999999999991</v>
          </cell>
          <cell r="S512">
            <v>37773</v>
          </cell>
          <cell r="AF512" t="str">
            <v>C</v>
          </cell>
          <cell r="AG512">
            <v>327.74999999999994</v>
          </cell>
          <cell r="AH512">
            <v>6</v>
          </cell>
          <cell r="AI512">
            <v>494</v>
          </cell>
          <cell r="AJ512">
            <v>4940</v>
          </cell>
        </row>
        <row r="513">
          <cell r="A513">
            <v>168980</v>
          </cell>
          <cell r="B513">
            <v>37725</v>
          </cell>
          <cell r="D513" t="str">
            <v>ENTEL CHILE - 1600001801</v>
          </cell>
          <cell r="E513">
            <v>3660635</v>
          </cell>
          <cell r="F513">
            <v>8088705</v>
          </cell>
          <cell r="G513">
            <v>2609480</v>
          </cell>
          <cell r="H513">
            <v>37729</v>
          </cell>
          <cell r="I513">
            <v>0.54</v>
          </cell>
          <cell r="J513">
            <v>1</v>
          </cell>
          <cell r="K513" t="str">
            <v xml:space="preserve">14.0 </v>
          </cell>
          <cell r="M513" t="str">
            <v>WIC-1ADSL=</v>
          </cell>
          <cell r="N513" t="str">
            <v>WIC-1ADSL= 1-port ADSL WAN Interface Card /</v>
          </cell>
          <cell r="O513">
            <v>750</v>
          </cell>
          <cell r="P513">
            <v>345</v>
          </cell>
          <cell r="Q513">
            <v>15</v>
          </cell>
          <cell r="R513">
            <v>5175</v>
          </cell>
          <cell r="S513">
            <v>37742</v>
          </cell>
          <cell r="AF513" t="str">
            <v>D</v>
          </cell>
          <cell r="AG513">
            <v>103.5</v>
          </cell>
          <cell r="AH513">
            <v>4</v>
          </cell>
          <cell r="AI513">
            <v>390</v>
          </cell>
          <cell r="AJ513">
            <v>5850</v>
          </cell>
        </row>
        <row r="514">
          <cell r="A514">
            <v>168981</v>
          </cell>
          <cell r="B514">
            <v>37725</v>
          </cell>
          <cell r="D514" t="str">
            <v>ENTEL CHILE - 1600001800</v>
          </cell>
          <cell r="E514">
            <v>3661120</v>
          </cell>
          <cell r="F514">
            <v>8088697</v>
          </cell>
          <cell r="G514">
            <v>2609478</v>
          </cell>
          <cell r="H514">
            <v>37729</v>
          </cell>
          <cell r="I514">
            <v>0.54</v>
          </cell>
          <cell r="J514">
            <v>1</v>
          </cell>
          <cell r="K514" t="str">
            <v xml:space="preserve">1.0 </v>
          </cell>
          <cell r="M514" t="str">
            <v>NM-1E=</v>
          </cell>
          <cell r="N514" t="str">
            <v>NM-1E= 1-Port Ethernet Network Module /</v>
          </cell>
          <cell r="O514">
            <v>1000</v>
          </cell>
          <cell r="P514">
            <v>459.99999999999994</v>
          </cell>
          <cell r="Q514">
            <v>5</v>
          </cell>
          <cell r="R514">
            <v>2299.9999999999995</v>
          </cell>
          <cell r="AF514" t="str">
            <v>C</v>
          </cell>
          <cell r="AG514">
            <v>172.49999999999997</v>
          </cell>
          <cell r="AH514">
            <v>11</v>
          </cell>
          <cell r="AI514">
            <v>520</v>
          </cell>
          <cell r="AJ514">
            <v>2600</v>
          </cell>
        </row>
        <row r="515">
          <cell r="A515">
            <v>168981</v>
          </cell>
          <cell r="B515">
            <v>37725</v>
          </cell>
          <cell r="D515" t="str">
            <v>ENTEL CHILE - 1600001800</v>
          </cell>
          <cell r="E515">
            <v>3661120</v>
          </cell>
          <cell r="F515">
            <v>8088697</v>
          </cell>
          <cell r="G515">
            <v>2609478</v>
          </cell>
          <cell r="H515">
            <v>37729</v>
          </cell>
          <cell r="I515">
            <v>0.54</v>
          </cell>
          <cell r="J515">
            <v>1</v>
          </cell>
          <cell r="K515" t="str">
            <v xml:space="preserve">2.0 </v>
          </cell>
          <cell r="M515" t="str">
            <v>NM-1FE2W=</v>
          </cell>
          <cell r="N515" t="str">
            <v>NM-1FE2W= 1 10/100 Ethernet 2 WAN Card Slot Network Module /</v>
          </cell>
          <cell r="O515">
            <v>2300</v>
          </cell>
          <cell r="P515">
            <v>1058</v>
          </cell>
          <cell r="Q515">
            <v>8</v>
          </cell>
          <cell r="R515">
            <v>8464</v>
          </cell>
          <cell r="AF515" t="str">
            <v>C</v>
          </cell>
          <cell r="AG515">
            <v>634.79999999999995</v>
          </cell>
          <cell r="AH515">
            <v>9</v>
          </cell>
          <cell r="AI515">
            <v>1196</v>
          </cell>
          <cell r="AJ515">
            <v>9568</v>
          </cell>
        </row>
        <row r="516">
          <cell r="A516">
            <v>168981</v>
          </cell>
          <cell r="B516">
            <v>37725</v>
          </cell>
          <cell r="D516" t="str">
            <v>ENTEL CHILE - 1600001800</v>
          </cell>
          <cell r="E516">
            <v>3661120</v>
          </cell>
          <cell r="F516">
            <v>8088697</v>
          </cell>
          <cell r="G516">
            <v>2609478</v>
          </cell>
          <cell r="H516">
            <v>37729</v>
          </cell>
          <cell r="I516">
            <v>0.54</v>
          </cell>
          <cell r="J516">
            <v>1</v>
          </cell>
          <cell r="K516" t="str">
            <v xml:space="preserve">3.0 </v>
          </cell>
          <cell r="M516" t="str">
            <v>NM-2FE2W=</v>
          </cell>
          <cell r="N516" t="str">
            <v>NM-2FE2W= 2 10/100 Ethernet 2 WAN Card Slot Network Module /</v>
          </cell>
          <cell r="O516">
            <v>3200</v>
          </cell>
          <cell r="P516">
            <v>1472</v>
          </cell>
          <cell r="Q516">
            <v>4</v>
          </cell>
          <cell r="R516">
            <v>5888</v>
          </cell>
          <cell r="AF516" t="str">
            <v>C</v>
          </cell>
          <cell r="AG516">
            <v>441.59999999999997</v>
          </cell>
          <cell r="AH516">
            <v>10</v>
          </cell>
          <cell r="AI516">
            <v>1664</v>
          </cell>
          <cell r="AJ516">
            <v>6656</v>
          </cell>
        </row>
        <row r="517">
          <cell r="A517">
            <v>168981</v>
          </cell>
          <cell r="B517">
            <v>37725</v>
          </cell>
          <cell r="D517" t="str">
            <v>ENTEL CHILE - 1600001800</v>
          </cell>
          <cell r="E517">
            <v>3661120</v>
          </cell>
          <cell r="F517">
            <v>8088697</v>
          </cell>
          <cell r="G517">
            <v>2609478</v>
          </cell>
          <cell r="H517">
            <v>37729</v>
          </cell>
          <cell r="I517">
            <v>0.54</v>
          </cell>
          <cell r="J517">
            <v>1</v>
          </cell>
          <cell r="K517" t="str">
            <v xml:space="preserve">4.0 </v>
          </cell>
          <cell r="M517" t="str">
            <v>WIC-1T=</v>
          </cell>
          <cell r="N517" t="str">
            <v>WIC-1T= 1-Port Serial WAN Interface Card /</v>
          </cell>
          <cell r="O517">
            <v>400</v>
          </cell>
          <cell r="P517">
            <v>184</v>
          </cell>
          <cell r="Q517">
            <v>84</v>
          </cell>
          <cell r="R517">
            <v>15456</v>
          </cell>
          <cell r="AF517" t="str">
            <v>D</v>
          </cell>
          <cell r="AG517">
            <v>309.12</v>
          </cell>
          <cell r="AH517">
            <v>3</v>
          </cell>
          <cell r="AI517">
            <v>208</v>
          </cell>
          <cell r="AJ517">
            <v>17472</v>
          </cell>
        </row>
        <row r="518">
          <cell r="A518">
            <v>168981</v>
          </cell>
          <cell r="B518">
            <v>37725</v>
          </cell>
          <cell r="D518" t="str">
            <v>ENTEL CHILE - 1600001800</v>
          </cell>
          <cell r="E518">
            <v>3661120</v>
          </cell>
          <cell r="F518">
            <v>8088697</v>
          </cell>
          <cell r="G518">
            <v>2609478</v>
          </cell>
          <cell r="H518">
            <v>37729</v>
          </cell>
          <cell r="I518">
            <v>0.54</v>
          </cell>
          <cell r="J518">
            <v>2</v>
          </cell>
          <cell r="K518" t="str">
            <v xml:space="preserve">5.0 </v>
          </cell>
          <cell r="M518" t="str">
            <v>WS-C2924M-XL-EN</v>
          </cell>
          <cell r="N518" t="str">
            <v>WS-C2924M-XL-EN 24-port 10/100 Switch w/Two Module Slots (Enterprise Edition /</v>
          </cell>
          <cell r="O518">
            <v>2495</v>
          </cell>
          <cell r="P518">
            <v>1147.6999999999998</v>
          </cell>
          <cell r="Q518">
            <v>5</v>
          </cell>
          <cell r="R518">
            <v>5738.4999999999991</v>
          </cell>
          <cell r="AF518" t="str">
            <v>D</v>
          </cell>
          <cell r="AG518">
            <v>114.76999999999998</v>
          </cell>
          <cell r="AH518">
            <v>6</v>
          </cell>
          <cell r="AI518">
            <v>1297</v>
          </cell>
          <cell r="AJ518">
            <v>6485</v>
          </cell>
        </row>
        <row r="519">
          <cell r="A519">
            <v>168981</v>
          </cell>
          <cell r="B519">
            <v>37725</v>
          </cell>
          <cell r="D519" t="str">
            <v>ENTEL CHILE - 1600001800</v>
          </cell>
          <cell r="E519">
            <v>3661120</v>
          </cell>
          <cell r="F519">
            <v>8088697</v>
          </cell>
          <cell r="G519">
            <v>2609478</v>
          </cell>
          <cell r="H519">
            <v>37729</v>
          </cell>
          <cell r="I519">
            <v>0.54</v>
          </cell>
          <cell r="J519">
            <v>2</v>
          </cell>
          <cell r="K519" t="str">
            <v xml:space="preserve">5.1 </v>
          </cell>
          <cell r="M519" t="str">
            <v>CAB-ACI</v>
          </cell>
          <cell r="N519" t="str">
            <v>CAB-ACI Power Cord-Italian</v>
          </cell>
          <cell r="O519">
            <v>0</v>
          </cell>
          <cell r="P519">
            <v>0</v>
          </cell>
          <cell r="Q519">
            <v>5</v>
          </cell>
          <cell r="R519">
            <v>0</v>
          </cell>
          <cell r="AF519" t="str">
            <v>-</v>
          </cell>
          <cell r="AG519">
            <v>0</v>
          </cell>
          <cell r="AH519">
            <v>6</v>
          </cell>
          <cell r="AI519">
            <v>0</v>
          </cell>
          <cell r="AJ519">
            <v>0</v>
          </cell>
        </row>
        <row r="520">
          <cell r="A520">
            <v>168981</v>
          </cell>
          <cell r="B520">
            <v>37725</v>
          </cell>
          <cell r="D520" t="str">
            <v>ENTEL CHILE - 1600001800</v>
          </cell>
          <cell r="E520">
            <v>3661120</v>
          </cell>
          <cell r="F520">
            <v>8088697</v>
          </cell>
          <cell r="G520">
            <v>2609478</v>
          </cell>
          <cell r="H520">
            <v>37729</v>
          </cell>
          <cell r="I520">
            <v>0.54</v>
          </cell>
          <cell r="J520">
            <v>1</v>
          </cell>
          <cell r="K520" t="str">
            <v xml:space="preserve">6.0 </v>
          </cell>
          <cell r="M520" t="str">
            <v>CISCO1721</v>
          </cell>
          <cell r="N520" t="str">
            <v>CISCO1721 10/100BaseT Modular Router w/2 WAN slots, 16M Flash/32M DRAM /</v>
          </cell>
          <cell r="O520">
            <v>1195</v>
          </cell>
          <cell r="P520">
            <v>549.69999999999993</v>
          </cell>
          <cell r="Q520">
            <v>18</v>
          </cell>
          <cell r="R520">
            <v>9894.5999999999985</v>
          </cell>
          <cell r="AF520" t="str">
            <v>D</v>
          </cell>
          <cell r="AG520">
            <v>197.89199999999997</v>
          </cell>
          <cell r="AH520">
            <v>8</v>
          </cell>
          <cell r="AI520">
            <v>621</v>
          </cell>
          <cell r="AJ520">
            <v>11178</v>
          </cell>
        </row>
        <row r="521">
          <cell r="A521">
            <v>168981</v>
          </cell>
          <cell r="B521">
            <v>37725</v>
          </cell>
          <cell r="D521" t="str">
            <v>ENTEL CHILE - 1600001800</v>
          </cell>
          <cell r="E521">
            <v>3661120</v>
          </cell>
          <cell r="F521">
            <v>8088697</v>
          </cell>
          <cell r="G521">
            <v>2609478</v>
          </cell>
          <cell r="H521">
            <v>37729</v>
          </cell>
          <cell r="I521">
            <v>0.54</v>
          </cell>
          <cell r="J521">
            <v>1</v>
          </cell>
          <cell r="K521" t="str">
            <v xml:space="preserve">6.1 </v>
          </cell>
          <cell r="M521" t="str">
            <v>CAB-ACI</v>
          </cell>
          <cell r="N521" t="str">
            <v>CAB-ACI Power Cord-Italian</v>
          </cell>
          <cell r="O521">
            <v>0</v>
          </cell>
          <cell r="P521">
            <v>0</v>
          </cell>
          <cell r="Q521">
            <v>18</v>
          </cell>
          <cell r="R521">
            <v>0</v>
          </cell>
          <cell r="AF521" t="str">
            <v>-</v>
          </cell>
          <cell r="AG521">
            <v>0</v>
          </cell>
          <cell r="AH521">
            <v>8</v>
          </cell>
          <cell r="AI521">
            <v>0</v>
          </cell>
          <cell r="AJ521">
            <v>0</v>
          </cell>
        </row>
        <row r="522">
          <cell r="A522">
            <v>168981</v>
          </cell>
          <cell r="B522">
            <v>37725</v>
          </cell>
          <cell r="D522" t="str">
            <v>ENTEL CHILE - 1600001800</v>
          </cell>
          <cell r="E522">
            <v>3661120</v>
          </cell>
          <cell r="F522">
            <v>8088697</v>
          </cell>
          <cell r="G522">
            <v>2609478</v>
          </cell>
          <cell r="H522">
            <v>37729</v>
          </cell>
          <cell r="I522">
            <v>0.54</v>
          </cell>
          <cell r="J522">
            <v>1</v>
          </cell>
          <cell r="K522" t="str">
            <v xml:space="preserve">6.2 </v>
          </cell>
          <cell r="M522" t="str">
            <v>S17C-12204YA</v>
          </cell>
          <cell r="N522" t="str">
            <v>S17C-12204YA Cisco 1700 IOS IP</v>
          </cell>
          <cell r="O522">
            <v>0</v>
          </cell>
          <cell r="P522">
            <v>0</v>
          </cell>
          <cell r="Q522">
            <v>18</v>
          </cell>
          <cell r="R522">
            <v>0</v>
          </cell>
          <cell r="AF522" t="str">
            <v>D</v>
          </cell>
          <cell r="AG522">
            <v>0</v>
          </cell>
          <cell r="AH522">
            <v>8</v>
          </cell>
          <cell r="AI522">
            <v>0</v>
          </cell>
          <cell r="AJ522">
            <v>0</v>
          </cell>
        </row>
        <row r="523">
          <cell r="A523">
            <v>168981</v>
          </cell>
          <cell r="B523">
            <v>37725</v>
          </cell>
          <cell r="D523" t="str">
            <v>ENTEL CHILE - 1600001800</v>
          </cell>
          <cell r="E523">
            <v>3661120</v>
          </cell>
          <cell r="F523">
            <v>8088697</v>
          </cell>
          <cell r="G523">
            <v>2609478</v>
          </cell>
          <cell r="H523">
            <v>37729</v>
          </cell>
          <cell r="I523">
            <v>0.54</v>
          </cell>
          <cell r="J523">
            <v>1</v>
          </cell>
          <cell r="K523" t="str">
            <v xml:space="preserve">7.0 </v>
          </cell>
          <cell r="M523" t="str">
            <v>WIC-1ENET=</v>
          </cell>
          <cell r="N523" t="str">
            <v>WIC-1ENET= Single-Port Ethernet WAN Interface Card /</v>
          </cell>
          <cell r="O523">
            <v>300</v>
          </cell>
          <cell r="P523">
            <v>138</v>
          </cell>
          <cell r="Q523">
            <v>10</v>
          </cell>
          <cell r="R523">
            <v>1380</v>
          </cell>
          <cell r="AF523" t="str">
            <v>D</v>
          </cell>
          <cell r="AG523">
            <v>27.6</v>
          </cell>
          <cell r="AH523">
            <v>1</v>
          </cell>
          <cell r="AI523">
            <v>156</v>
          </cell>
          <cell r="AJ523">
            <v>1560</v>
          </cell>
        </row>
        <row r="524">
          <cell r="A524">
            <v>168981</v>
          </cell>
          <cell r="B524">
            <v>37725</v>
          </cell>
          <cell r="D524" t="str">
            <v>ENTEL CHILE - 1600001800</v>
          </cell>
          <cell r="E524">
            <v>3661120</v>
          </cell>
          <cell r="F524">
            <v>8088697</v>
          </cell>
          <cell r="G524">
            <v>2609478</v>
          </cell>
          <cell r="H524">
            <v>37729</v>
          </cell>
          <cell r="I524">
            <v>0.54</v>
          </cell>
          <cell r="J524">
            <v>1</v>
          </cell>
          <cell r="K524" t="str">
            <v xml:space="preserve">8.0 </v>
          </cell>
          <cell r="M524" t="str">
            <v>CISCO2610XM</v>
          </cell>
          <cell r="N524" t="str">
            <v>CISCO2610XM 10/100 Ethernet Router w/ Cisco IOS IP /</v>
          </cell>
          <cell r="O524">
            <v>1995</v>
          </cell>
          <cell r="P524">
            <v>917.69999999999993</v>
          </cell>
          <cell r="Q524">
            <v>3</v>
          </cell>
          <cell r="R524">
            <v>2753.1</v>
          </cell>
          <cell r="AF524" t="str">
            <v>C</v>
          </cell>
          <cell r="AG524">
            <v>206.48249999999999</v>
          </cell>
          <cell r="AH524">
            <v>12</v>
          </cell>
          <cell r="AI524">
            <v>1037</v>
          </cell>
          <cell r="AJ524">
            <v>3111</v>
          </cell>
        </row>
        <row r="525">
          <cell r="A525">
            <v>168981</v>
          </cell>
          <cell r="B525">
            <v>37725</v>
          </cell>
          <cell r="D525" t="str">
            <v>ENTEL CHILE - 1600001800</v>
          </cell>
          <cell r="E525">
            <v>3661120</v>
          </cell>
          <cell r="F525">
            <v>8088697</v>
          </cell>
          <cell r="G525">
            <v>2609478</v>
          </cell>
          <cell r="H525">
            <v>37729</v>
          </cell>
          <cell r="I525">
            <v>0.54</v>
          </cell>
          <cell r="J525">
            <v>1</v>
          </cell>
          <cell r="K525" t="str">
            <v xml:space="preserve">8.1 </v>
          </cell>
          <cell r="M525" t="str">
            <v>CAB-ACI</v>
          </cell>
          <cell r="N525" t="str">
            <v>CAB-ACI Power Cord-Italian</v>
          </cell>
          <cell r="O525">
            <v>0</v>
          </cell>
          <cell r="P525">
            <v>0</v>
          </cell>
          <cell r="Q525">
            <v>3</v>
          </cell>
          <cell r="R525">
            <v>0</v>
          </cell>
          <cell r="AF525" t="str">
            <v>-</v>
          </cell>
          <cell r="AG525">
            <v>0</v>
          </cell>
          <cell r="AH525">
            <v>12</v>
          </cell>
          <cell r="AI525">
            <v>0</v>
          </cell>
          <cell r="AJ525">
            <v>0</v>
          </cell>
        </row>
        <row r="526">
          <cell r="A526">
            <v>168981</v>
          </cell>
          <cell r="B526">
            <v>37725</v>
          </cell>
          <cell r="D526" t="str">
            <v>ENTEL CHILE - 1600001800</v>
          </cell>
          <cell r="E526">
            <v>3661120</v>
          </cell>
          <cell r="F526">
            <v>8088697</v>
          </cell>
          <cell r="G526">
            <v>2609478</v>
          </cell>
          <cell r="H526">
            <v>37729</v>
          </cell>
          <cell r="I526">
            <v>0.54</v>
          </cell>
          <cell r="J526">
            <v>1</v>
          </cell>
          <cell r="K526" t="str">
            <v xml:space="preserve">8.2 </v>
          </cell>
          <cell r="M526" t="str">
            <v>S26C-12208T</v>
          </cell>
          <cell r="N526" t="str">
            <v>S26C-12208T Cisco 2600 Series IOS IP</v>
          </cell>
          <cell r="O526">
            <v>0</v>
          </cell>
          <cell r="P526">
            <v>0</v>
          </cell>
          <cell r="Q526">
            <v>3</v>
          </cell>
          <cell r="R526">
            <v>0</v>
          </cell>
          <cell r="AF526" t="str">
            <v>C</v>
          </cell>
          <cell r="AG526">
            <v>0</v>
          </cell>
          <cell r="AH526">
            <v>12</v>
          </cell>
          <cell r="AI526">
            <v>0</v>
          </cell>
          <cell r="AJ526">
            <v>0</v>
          </cell>
        </row>
        <row r="527">
          <cell r="A527">
            <v>168981</v>
          </cell>
          <cell r="B527">
            <v>37725</v>
          </cell>
          <cell r="D527" t="str">
            <v>ENTEL CHILE - 1600001800</v>
          </cell>
          <cell r="E527">
            <v>3661120</v>
          </cell>
          <cell r="F527">
            <v>8088697</v>
          </cell>
          <cell r="G527">
            <v>2609478</v>
          </cell>
          <cell r="H527">
            <v>37729</v>
          </cell>
          <cell r="I527">
            <v>0.54</v>
          </cell>
          <cell r="J527">
            <v>1</v>
          </cell>
          <cell r="K527" t="str">
            <v xml:space="preserve">8.3 </v>
          </cell>
          <cell r="M527" t="str">
            <v>MEM2600XM-32D-INC</v>
          </cell>
          <cell r="N527" t="str">
            <v>MEM2600XM-32D-INC 32MB DRAM Memory factory default for the Cisco 261x/2xXM</v>
          </cell>
          <cell r="O527">
            <v>0</v>
          </cell>
          <cell r="P527">
            <v>0</v>
          </cell>
          <cell r="Q527">
            <v>3</v>
          </cell>
          <cell r="R527">
            <v>0</v>
          </cell>
          <cell r="AF527" t="str">
            <v>-</v>
          </cell>
          <cell r="AG527">
            <v>0</v>
          </cell>
          <cell r="AH527">
            <v>12</v>
          </cell>
          <cell r="AI527">
            <v>0</v>
          </cell>
          <cell r="AJ527">
            <v>0</v>
          </cell>
        </row>
        <row r="528">
          <cell r="A528">
            <v>168981</v>
          </cell>
          <cell r="B528">
            <v>37725</v>
          </cell>
          <cell r="D528" t="str">
            <v>ENTEL CHILE - 1600001800</v>
          </cell>
          <cell r="E528">
            <v>3661120</v>
          </cell>
          <cell r="F528">
            <v>8088697</v>
          </cell>
          <cell r="G528">
            <v>2609478</v>
          </cell>
          <cell r="H528">
            <v>37729</v>
          </cell>
          <cell r="I528">
            <v>0.54</v>
          </cell>
          <cell r="J528">
            <v>1</v>
          </cell>
          <cell r="K528" t="str">
            <v xml:space="preserve">8.4 </v>
          </cell>
          <cell r="M528" t="str">
            <v>MEM2600XM-16FS-INC</v>
          </cell>
          <cell r="N528" t="str">
            <v>MEM2600XM-16FS-INC 16MB Flash factory default for the Cisco 2600XM</v>
          </cell>
          <cell r="O528">
            <v>0</v>
          </cell>
          <cell r="P528">
            <v>0</v>
          </cell>
          <cell r="Q528">
            <v>3</v>
          </cell>
          <cell r="R528">
            <v>0</v>
          </cell>
          <cell r="AF528" t="str">
            <v>-</v>
          </cell>
          <cell r="AG528">
            <v>0</v>
          </cell>
          <cell r="AH528">
            <v>12</v>
          </cell>
          <cell r="AI528">
            <v>0</v>
          </cell>
          <cell r="AJ528">
            <v>0</v>
          </cell>
        </row>
        <row r="529">
          <cell r="A529">
            <v>168981</v>
          </cell>
          <cell r="B529">
            <v>37725</v>
          </cell>
          <cell r="D529" t="str">
            <v>ENTEL CHILE - 1600001800</v>
          </cell>
          <cell r="E529">
            <v>3661120</v>
          </cell>
          <cell r="F529">
            <v>8088697</v>
          </cell>
          <cell r="G529">
            <v>2609478</v>
          </cell>
          <cell r="H529">
            <v>37729</v>
          </cell>
          <cell r="I529">
            <v>0.54</v>
          </cell>
          <cell r="J529">
            <v>1</v>
          </cell>
          <cell r="K529" t="str">
            <v xml:space="preserve">9.0 </v>
          </cell>
          <cell r="M529" t="str">
            <v>CISCO3640A</v>
          </cell>
          <cell r="N529" t="str">
            <v>CISCO3640A Cisco 3600 4-slot Modular router-AC with IP Software /</v>
          </cell>
          <cell r="O529">
            <v>6500</v>
          </cell>
          <cell r="P529">
            <v>2989.9999999999995</v>
          </cell>
          <cell r="Q529">
            <v>5</v>
          </cell>
          <cell r="R529">
            <v>14949.999999999998</v>
          </cell>
          <cell r="AF529" t="str">
            <v>C</v>
          </cell>
          <cell r="AG529">
            <v>1121.2499999999998</v>
          </cell>
          <cell r="AH529">
            <v>5</v>
          </cell>
          <cell r="AI529">
            <v>3380</v>
          </cell>
          <cell r="AJ529">
            <v>16900</v>
          </cell>
        </row>
        <row r="530">
          <cell r="A530">
            <v>168981</v>
          </cell>
          <cell r="B530">
            <v>37725</v>
          </cell>
          <cell r="D530" t="str">
            <v>ENTEL CHILE - 1600001800</v>
          </cell>
          <cell r="E530">
            <v>3661120</v>
          </cell>
          <cell r="F530">
            <v>8088697</v>
          </cell>
          <cell r="G530">
            <v>2609478</v>
          </cell>
          <cell r="H530">
            <v>37729</v>
          </cell>
          <cell r="I530">
            <v>0.54</v>
          </cell>
          <cell r="J530">
            <v>1</v>
          </cell>
          <cell r="K530" t="str">
            <v xml:space="preserve">9.1 </v>
          </cell>
          <cell r="M530" t="str">
            <v>CAB-ACI</v>
          </cell>
          <cell r="N530" t="str">
            <v>CAB-ACI Power Cord-Italian</v>
          </cell>
          <cell r="O530">
            <v>0</v>
          </cell>
          <cell r="P530">
            <v>0</v>
          </cell>
          <cell r="Q530">
            <v>5</v>
          </cell>
          <cell r="R530">
            <v>0</v>
          </cell>
          <cell r="AF530" t="str">
            <v>-</v>
          </cell>
          <cell r="AG530">
            <v>0</v>
          </cell>
          <cell r="AH530">
            <v>5</v>
          </cell>
          <cell r="AI530">
            <v>0</v>
          </cell>
          <cell r="AJ530">
            <v>0</v>
          </cell>
        </row>
        <row r="531">
          <cell r="A531">
            <v>168981</v>
          </cell>
          <cell r="B531">
            <v>37725</v>
          </cell>
          <cell r="D531" t="str">
            <v>ENTEL CHILE - 1600001800</v>
          </cell>
          <cell r="E531">
            <v>3661120</v>
          </cell>
          <cell r="F531">
            <v>8088697</v>
          </cell>
          <cell r="G531">
            <v>2609478</v>
          </cell>
          <cell r="H531">
            <v>37729</v>
          </cell>
          <cell r="I531">
            <v>0.54</v>
          </cell>
          <cell r="J531">
            <v>1</v>
          </cell>
          <cell r="K531" t="str">
            <v xml:space="preserve">9.2 </v>
          </cell>
          <cell r="M531" t="str">
            <v>S364C-12212</v>
          </cell>
          <cell r="N531" t="str">
            <v>S364C-12212 Cisco 3640 Series IOS IP</v>
          </cell>
          <cell r="O531">
            <v>0</v>
          </cell>
          <cell r="P531">
            <v>0</v>
          </cell>
          <cell r="Q531">
            <v>5</v>
          </cell>
          <cell r="R531">
            <v>0</v>
          </cell>
          <cell r="AF531" t="str">
            <v>C</v>
          </cell>
          <cell r="AG531">
            <v>0</v>
          </cell>
          <cell r="AH531">
            <v>5</v>
          </cell>
          <cell r="AI531">
            <v>0</v>
          </cell>
          <cell r="AJ531">
            <v>0</v>
          </cell>
        </row>
        <row r="532">
          <cell r="A532">
            <v>168981</v>
          </cell>
          <cell r="B532">
            <v>37725</v>
          </cell>
          <cell r="D532" t="str">
            <v>ENTEL CHILE - 1600001800</v>
          </cell>
          <cell r="E532">
            <v>3661120</v>
          </cell>
          <cell r="F532">
            <v>8088697</v>
          </cell>
          <cell r="G532">
            <v>2609478</v>
          </cell>
          <cell r="H532">
            <v>37729</v>
          </cell>
          <cell r="I532">
            <v>0.54</v>
          </cell>
          <cell r="J532">
            <v>1</v>
          </cell>
          <cell r="K532" t="str">
            <v xml:space="preserve">10.0 </v>
          </cell>
          <cell r="M532" t="str">
            <v>CISCO2611XM</v>
          </cell>
          <cell r="N532" t="str">
            <v>CISCO2611XM Dual 10/100 Ethernet Router w/ Cisco IOS IP /</v>
          </cell>
          <cell r="O532">
            <v>2495</v>
          </cell>
          <cell r="P532">
            <v>1147.6999999999998</v>
          </cell>
          <cell r="Q532">
            <v>9</v>
          </cell>
          <cell r="R532">
            <v>10329.299999999999</v>
          </cell>
          <cell r="AF532" t="str">
            <v>C</v>
          </cell>
          <cell r="AG532">
            <v>774.69749999999988</v>
          </cell>
          <cell r="AH532">
            <v>2</v>
          </cell>
          <cell r="AI532">
            <v>1297</v>
          </cell>
          <cell r="AJ532">
            <v>11673</v>
          </cell>
        </row>
        <row r="533">
          <cell r="A533">
            <v>168981</v>
          </cell>
          <cell r="B533">
            <v>37725</v>
          </cell>
          <cell r="D533" t="str">
            <v>ENTEL CHILE - 1600001800</v>
          </cell>
          <cell r="E533">
            <v>3661120</v>
          </cell>
          <cell r="F533">
            <v>8088697</v>
          </cell>
          <cell r="G533">
            <v>2609478</v>
          </cell>
          <cell r="H533">
            <v>37729</v>
          </cell>
          <cell r="I533">
            <v>0.54</v>
          </cell>
          <cell r="J533">
            <v>1</v>
          </cell>
          <cell r="K533" t="str">
            <v xml:space="preserve">10.1 </v>
          </cell>
          <cell r="M533" t="str">
            <v>CAB-ACI</v>
          </cell>
          <cell r="N533" t="str">
            <v>CAB-ACI Power Cord-Italian</v>
          </cell>
          <cell r="O533">
            <v>0</v>
          </cell>
          <cell r="P533">
            <v>0</v>
          </cell>
          <cell r="Q533">
            <v>9</v>
          </cell>
          <cell r="R533">
            <v>0</v>
          </cell>
          <cell r="AF533" t="str">
            <v>-</v>
          </cell>
          <cell r="AG533">
            <v>0</v>
          </cell>
          <cell r="AH533">
            <v>2</v>
          </cell>
          <cell r="AI533">
            <v>0</v>
          </cell>
          <cell r="AJ533">
            <v>0</v>
          </cell>
        </row>
        <row r="534">
          <cell r="A534">
            <v>168981</v>
          </cell>
          <cell r="B534">
            <v>37725</v>
          </cell>
          <cell r="D534" t="str">
            <v>ENTEL CHILE - 1600001800</v>
          </cell>
          <cell r="E534">
            <v>3661120</v>
          </cell>
          <cell r="F534">
            <v>8088697</v>
          </cell>
          <cell r="G534">
            <v>2609478</v>
          </cell>
          <cell r="H534">
            <v>37729</v>
          </cell>
          <cell r="I534">
            <v>0.54</v>
          </cell>
          <cell r="J534">
            <v>1</v>
          </cell>
          <cell r="K534" t="str">
            <v xml:space="preserve">10.2 </v>
          </cell>
          <cell r="M534" t="str">
            <v>S26C-12208T</v>
          </cell>
          <cell r="N534" t="str">
            <v>S26C-12208T Cisco 2600 Series IOS IP</v>
          </cell>
          <cell r="O534">
            <v>0</v>
          </cell>
          <cell r="P534">
            <v>0</v>
          </cell>
          <cell r="Q534">
            <v>9</v>
          </cell>
          <cell r="R534">
            <v>0</v>
          </cell>
          <cell r="AF534" t="str">
            <v>C</v>
          </cell>
          <cell r="AG534">
            <v>0</v>
          </cell>
          <cell r="AH534">
            <v>2</v>
          </cell>
          <cell r="AI534">
            <v>0</v>
          </cell>
          <cell r="AJ534">
            <v>0</v>
          </cell>
        </row>
        <row r="535">
          <cell r="A535">
            <v>168981</v>
          </cell>
          <cell r="B535">
            <v>37725</v>
          </cell>
          <cell r="D535" t="str">
            <v>ENTEL CHILE - 1600001800</v>
          </cell>
          <cell r="E535">
            <v>3661120</v>
          </cell>
          <cell r="F535">
            <v>8088697</v>
          </cell>
          <cell r="G535">
            <v>2609478</v>
          </cell>
          <cell r="H535">
            <v>37729</v>
          </cell>
          <cell r="I535">
            <v>0.54</v>
          </cell>
          <cell r="J535">
            <v>1</v>
          </cell>
          <cell r="K535" t="str">
            <v xml:space="preserve">10.3 </v>
          </cell>
          <cell r="M535" t="str">
            <v>MEM2600XM-32D-INC</v>
          </cell>
          <cell r="N535" t="str">
            <v>MEM2600XM-32D-INC 32MB DRAM Memory factory default for the Cisco 261x/2xXM</v>
          </cell>
          <cell r="O535">
            <v>0</v>
          </cell>
          <cell r="P535">
            <v>0</v>
          </cell>
          <cell r="Q535">
            <v>9</v>
          </cell>
          <cell r="R535">
            <v>0</v>
          </cell>
          <cell r="AF535" t="str">
            <v>-</v>
          </cell>
          <cell r="AG535">
            <v>0</v>
          </cell>
          <cell r="AH535">
            <v>2</v>
          </cell>
          <cell r="AI535">
            <v>0</v>
          </cell>
          <cell r="AJ535">
            <v>0</v>
          </cell>
        </row>
        <row r="536">
          <cell r="A536">
            <v>168981</v>
          </cell>
          <cell r="B536">
            <v>37725</v>
          </cell>
          <cell r="D536" t="str">
            <v>ENTEL CHILE - 1600001800</v>
          </cell>
          <cell r="E536">
            <v>3661120</v>
          </cell>
          <cell r="F536">
            <v>8088697</v>
          </cell>
          <cell r="G536">
            <v>2609478</v>
          </cell>
          <cell r="H536">
            <v>37729</v>
          </cell>
          <cell r="I536">
            <v>0.54</v>
          </cell>
          <cell r="J536">
            <v>1</v>
          </cell>
          <cell r="K536" t="str">
            <v xml:space="preserve">10.4 </v>
          </cell>
          <cell r="M536" t="str">
            <v>MEM2600XM-16FS-INC</v>
          </cell>
          <cell r="N536" t="str">
            <v>MEM2600XM-16FS-INC 16MB Flash factory default for the Cisco 2600XM</v>
          </cell>
          <cell r="O536">
            <v>0</v>
          </cell>
          <cell r="P536">
            <v>0</v>
          </cell>
          <cell r="Q536">
            <v>9</v>
          </cell>
          <cell r="R536">
            <v>0</v>
          </cell>
          <cell r="AF536" t="str">
            <v>-</v>
          </cell>
          <cell r="AG536">
            <v>0</v>
          </cell>
          <cell r="AH536">
            <v>2</v>
          </cell>
          <cell r="AI536">
            <v>0</v>
          </cell>
          <cell r="AJ536">
            <v>0</v>
          </cell>
        </row>
        <row r="537">
          <cell r="A537">
            <v>168981</v>
          </cell>
          <cell r="B537">
            <v>37725</v>
          </cell>
          <cell r="D537" t="str">
            <v>ENTEL CHILE - 1600001800</v>
          </cell>
          <cell r="E537">
            <v>3661120</v>
          </cell>
          <cell r="F537">
            <v>8088697</v>
          </cell>
          <cell r="G537">
            <v>2609478</v>
          </cell>
          <cell r="H537">
            <v>37729</v>
          </cell>
          <cell r="I537">
            <v>0.54</v>
          </cell>
          <cell r="J537">
            <v>1</v>
          </cell>
          <cell r="K537" t="str">
            <v xml:space="preserve">11.0 </v>
          </cell>
          <cell r="M537" t="str">
            <v>NM-1A-OC3SMI=</v>
          </cell>
          <cell r="N537" t="str">
            <v>NM-1A-OC3SMI= One-port ATM OC-3 Singlemode Inter Reach NM 2691,3600,3725 /</v>
          </cell>
          <cell r="O537">
            <v>8000</v>
          </cell>
          <cell r="P537">
            <v>3679.9999999999995</v>
          </cell>
          <cell r="Q537">
            <v>1</v>
          </cell>
          <cell r="R537">
            <v>3679.9999999999995</v>
          </cell>
          <cell r="AF537" t="str">
            <v>C</v>
          </cell>
          <cell r="AG537">
            <v>275.99999999999994</v>
          </cell>
          <cell r="AH537">
            <v>4</v>
          </cell>
          <cell r="AI537">
            <v>4160</v>
          </cell>
          <cell r="AJ537">
            <v>4160</v>
          </cell>
        </row>
        <row r="538">
          <cell r="A538">
            <v>168981</v>
          </cell>
          <cell r="B538">
            <v>37725</v>
          </cell>
          <cell r="D538" t="str">
            <v>ENTEL CHILE - 1600001800</v>
          </cell>
          <cell r="E538">
            <v>3661120</v>
          </cell>
          <cell r="F538">
            <v>8088697</v>
          </cell>
          <cell r="G538">
            <v>2609478</v>
          </cell>
          <cell r="H538">
            <v>37729</v>
          </cell>
          <cell r="I538">
            <v>0.54</v>
          </cell>
          <cell r="J538">
            <v>1</v>
          </cell>
          <cell r="K538" t="str">
            <v xml:space="preserve">12.0 </v>
          </cell>
          <cell r="M538" t="str">
            <v>VIC-2FXS=</v>
          </cell>
          <cell r="N538" t="str">
            <v>VIC-2FXS= Two-port Voice Interface Card - FXS-Spare /</v>
          </cell>
          <cell r="O538">
            <v>400</v>
          </cell>
          <cell r="P538">
            <v>184</v>
          </cell>
          <cell r="Q538">
            <v>20</v>
          </cell>
          <cell r="R538">
            <v>3680</v>
          </cell>
          <cell r="AF538" t="str">
            <v>C</v>
          </cell>
          <cell r="AG538">
            <v>276</v>
          </cell>
          <cell r="AH538">
            <v>13</v>
          </cell>
          <cell r="AI538">
            <v>208</v>
          </cell>
          <cell r="AJ538">
            <v>4160</v>
          </cell>
        </row>
        <row r="539">
          <cell r="A539">
            <v>168981</v>
          </cell>
          <cell r="B539">
            <v>37725</v>
          </cell>
          <cell r="D539" t="str">
            <v>ENTEL CHILE - 1600001800</v>
          </cell>
          <cell r="E539">
            <v>3661120</v>
          </cell>
          <cell r="F539">
            <v>8088697</v>
          </cell>
          <cell r="G539">
            <v>2609478</v>
          </cell>
          <cell r="H539">
            <v>37729</v>
          </cell>
          <cell r="I539">
            <v>0.54</v>
          </cell>
          <cell r="J539">
            <v>1</v>
          </cell>
          <cell r="K539" t="str">
            <v xml:space="preserve">13.0 </v>
          </cell>
          <cell r="M539" t="str">
            <v>NM-2V=</v>
          </cell>
          <cell r="N539" t="str">
            <v>NM-2V= Two-Slot Voice/fax Network Module-Spare /</v>
          </cell>
          <cell r="O539">
            <v>1000</v>
          </cell>
          <cell r="P539">
            <v>459.99999999999994</v>
          </cell>
          <cell r="Q539">
            <v>5</v>
          </cell>
          <cell r="R539">
            <v>2299.9999999999995</v>
          </cell>
          <cell r="AF539" t="str">
            <v>C</v>
          </cell>
          <cell r="AG539">
            <v>172.49999999999997</v>
          </cell>
          <cell r="AH539">
            <v>7</v>
          </cell>
          <cell r="AI539">
            <v>520</v>
          </cell>
          <cell r="AJ539">
            <v>2600</v>
          </cell>
        </row>
        <row r="540">
          <cell r="A540">
            <v>168982</v>
          </cell>
          <cell r="B540">
            <v>37726</v>
          </cell>
          <cell r="D540" t="str">
            <v>ENTEL CHILE - 1600001804</v>
          </cell>
          <cell r="E540">
            <v>3663799</v>
          </cell>
          <cell r="F540">
            <v>8088827</v>
          </cell>
          <cell r="G540">
            <v>2612008</v>
          </cell>
          <cell r="H540">
            <v>37729</v>
          </cell>
          <cell r="I540">
            <v>0.54</v>
          </cell>
          <cell r="J540">
            <v>6</v>
          </cell>
          <cell r="K540">
            <v>1</v>
          </cell>
          <cell r="M540" t="str">
            <v>CISCO1751-V</v>
          </cell>
          <cell r="N540" t="str">
            <v>10/100 Modular Router w/Voice,32F/64D</v>
          </cell>
          <cell r="O540">
            <v>2495</v>
          </cell>
          <cell r="P540">
            <v>1147.6999999999998</v>
          </cell>
          <cell r="Q540">
            <v>5</v>
          </cell>
          <cell r="R540">
            <v>5738.4999999999991</v>
          </cell>
          <cell r="AF540" t="str">
            <v>D</v>
          </cell>
          <cell r="AG540">
            <v>114.76999999999998</v>
          </cell>
          <cell r="AH540">
            <v>2</v>
          </cell>
          <cell r="AI540">
            <v>1297</v>
          </cell>
          <cell r="AJ540">
            <v>6485</v>
          </cell>
        </row>
        <row r="541">
          <cell r="A541">
            <v>168982</v>
          </cell>
          <cell r="B541">
            <v>37726</v>
          </cell>
          <cell r="D541" t="str">
            <v>ENTEL CHILE - 1600001804</v>
          </cell>
          <cell r="E541">
            <v>3663799</v>
          </cell>
          <cell r="F541">
            <v>8088827</v>
          </cell>
          <cell r="G541">
            <v>2612008</v>
          </cell>
          <cell r="H541">
            <v>37729</v>
          </cell>
          <cell r="I541">
            <v>0.54</v>
          </cell>
          <cell r="J541">
            <v>6</v>
          </cell>
          <cell r="K541">
            <v>1.1000000000000001</v>
          </cell>
          <cell r="M541" t="str">
            <v>CAB-ACI</v>
          </cell>
          <cell r="N541" t="str">
            <v>Power Cord-Italian</v>
          </cell>
          <cell r="O541">
            <v>0</v>
          </cell>
          <cell r="P541">
            <v>0</v>
          </cell>
          <cell r="Q541">
            <v>5</v>
          </cell>
          <cell r="R541">
            <v>0</v>
          </cell>
          <cell r="AF541" t="str">
            <v>-</v>
          </cell>
          <cell r="AG541">
            <v>0</v>
          </cell>
          <cell r="AH541">
            <v>2</v>
          </cell>
          <cell r="AI541">
            <v>0</v>
          </cell>
          <cell r="AJ541">
            <v>0</v>
          </cell>
        </row>
        <row r="542">
          <cell r="A542">
            <v>168982</v>
          </cell>
          <cell r="B542">
            <v>37726</v>
          </cell>
          <cell r="D542" t="str">
            <v>ENTEL CHILE - 1600001804</v>
          </cell>
          <cell r="E542">
            <v>3663799</v>
          </cell>
          <cell r="F542">
            <v>8088827</v>
          </cell>
          <cell r="G542">
            <v>2612008</v>
          </cell>
          <cell r="H542">
            <v>37729</v>
          </cell>
          <cell r="I542">
            <v>0.54</v>
          </cell>
          <cell r="J542">
            <v>6</v>
          </cell>
          <cell r="K542">
            <v>1.2</v>
          </cell>
          <cell r="M542" t="str">
            <v>S17CV8P-12211T</v>
          </cell>
          <cell r="N542" t="str">
            <v>Cisco 1700 IOS IP/VOX PLUS</v>
          </cell>
          <cell r="O542">
            <v>0</v>
          </cell>
          <cell r="P542">
            <v>0</v>
          </cell>
          <cell r="Q542">
            <v>5</v>
          </cell>
          <cell r="R542">
            <v>0</v>
          </cell>
          <cell r="AF542" t="str">
            <v>D</v>
          </cell>
          <cell r="AG542">
            <v>0</v>
          </cell>
          <cell r="AH542">
            <v>2</v>
          </cell>
          <cell r="AI542">
            <v>0</v>
          </cell>
          <cell r="AJ542">
            <v>0</v>
          </cell>
        </row>
        <row r="543">
          <cell r="A543">
            <v>168982</v>
          </cell>
          <cell r="B543">
            <v>37726</v>
          </cell>
          <cell r="D543" t="str">
            <v>ENTEL CHILE - 1600001804</v>
          </cell>
          <cell r="E543">
            <v>3663799</v>
          </cell>
          <cell r="F543">
            <v>8088827</v>
          </cell>
          <cell r="G543">
            <v>2612008</v>
          </cell>
          <cell r="H543">
            <v>37729</v>
          </cell>
          <cell r="I543">
            <v>0.54</v>
          </cell>
          <cell r="J543">
            <v>6</v>
          </cell>
          <cell r="K543">
            <v>1.3</v>
          </cell>
          <cell r="M543" t="str">
            <v>PVDM-256K-4</v>
          </cell>
          <cell r="N543" t="str">
            <v>4-Channel Packet Voice/Fax DSP Module</v>
          </cell>
          <cell r="O543">
            <v>0</v>
          </cell>
          <cell r="P543">
            <v>0</v>
          </cell>
          <cell r="Q543">
            <v>5</v>
          </cell>
          <cell r="R543">
            <v>0</v>
          </cell>
          <cell r="AF543" t="str">
            <v>D</v>
          </cell>
          <cell r="AG543">
            <v>0</v>
          </cell>
          <cell r="AH543">
            <v>2</v>
          </cell>
          <cell r="AI543">
            <v>0</v>
          </cell>
          <cell r="AJ543">
            <v>0</v>
          </cell>
        </row>
        <row r="544">
          <cell r="A544">
            <v>168982</v>
          </cell>
          <cell r="B544">
            <v>37726</v>
          </cell>
          <cell r="D544" t="str">
            <v>ENTEL CHILE - 1600001804</v>
          </cell>
          <cell r="E544">
            <v>3663799</v>
          </cell>
          <cell r="F544">
            <v>8088827</v>
          </cell>
          <cell r="G544">
            <v>2612008</v>
          </cell>
          <cell r="H544">
            <v>37729</v>
          </cell>
          <cell r="I544">
            <v>0.54</v>
          </cell>
          <cell r="J544">
            <v>1</v>
          </cell>
          <cell r="K544">
            <v>2</v>
          </cell>
          <cell r="M544" t="str">
            <v>CISCO3620</v>
          </cell>
          <cell r="N544" t="str">
            <v>Cisco 3600 2-slot Modular Router-AC with IP Software</v>
          </cell>
          <cell r="O544">
            <v>2900</v>
          </cell>
          <cell r="P544">
            <v>1334</v>
          </cell>
          <cell r="Q544">
            <v>1</v>
          </cell>
          <cell r="R544">
            <v>1334</v>
          </cell>
          <cell r="AF544" t="str">
            <v>C</v>
          </cell>
          <cell r="AG544">
            <v>100.05</v>
          </cell>
          <cell r="AH544">
            <v>22</v>
          </cell>
          <cell r="AI544">
            <v>1508</v>
          </cell>
          <cell r="AJ544">
            <v>1508</v>
          </cell>
        </row>
        <row r="545">
          <cell r="A545">
            <v>168982</v>
          </cell>
          <cell r="B545">
            <v>37726</v>
          </cell>
          <cell r="D545" t="str">
            <v>ENTEL CHILE - 1600001804</v>
          </cell>
          <cell r="E545">
            <v>3663799</v>
          </cell>
          <cell r="F545">
            <v>8088827</v>
          </cell>
          <cell r="G545">
            <v>2612008</v>
          </cell>
          <cell r="H545">
            <v>37729</v>
          </cell>
          <cell r="I545">
            <v>0.54</v>
          </cell>
          <cell r="J545">
            <v>1</v>
          </cell>
          <cell r="K545">
            <v>2.1</v>
          </cell>
          <cell r="M545" t="str">
            <v>CAB-ACI</v>
          </cell>
          <cell r="N545" t="str">
            <v>Power Cord-Italian</v>
          </cell>
          <cell r="O545">
            <v>0</v>
          </cell>
          <cell r="P545">
            <v>0</v>
          </cell>
          <cell r="Q545">
            <v>1</v>
          </cell>
          <cell r="R545">
            <v>0</v>
          </cell>
          <cell r="AF545" t="str">
            <v>-</v>
          </cell>
          <cell r="AG545">
            <v>0</v>
          </cell>
          <cell r="AH545">
            <v>22</v>
          </cell>
          <cell r="AI545">
            <v>0</v>
          </cell>
          <cell r="AJ545">
            <v>0</v>
          </cell>
        </row>
        <row r="546">
          <cell r="A546">
            <v>168982</v>
          </cell>
          <cell r="B546">
            <v>37726</v>
          </cell>
          <cell r="D546" t="str">
            <v>ENTEL CHILE - 1600001804</v>
          </cell>
          <cell r="E546">
            <v>3663799</v>
          </cell>
          <cell r="F546">
            <v>8088827</v>
          </cell>
          <cell r="G546">
            <v>2612008</v>
          </cell>
          <cell r="H546">
            <v>37729</v>
          </cell>
          <cell r="I546">
            <v>0.54</v>
          </cell>
          <cell r="J546">
            <v>1</v>
          </cell>
          <cell r="K546">
            <v>2.2000000000000002</v>
          </cell>
          <cell r="M546" t="str">
            <v>S362C-12205</v>
          </cell>
          <cell r="N546" t="str">
            <v>Cisco 3620 Series IOS IP</v>
          </cell>
          <cell r="O546">
            <v>0</v>
          </cell>
          <cell r="P546">
            <v>0</v>
          </cell>
          <cell r="Q546">
            <v>1</v>
          </cell>
          <cell r="R546">
            <v>0</v>
          </cell>
          <cell r="AF546" t="str">
            <v>C</v>
          </cell>
          <cell r="AG546">
            <v>0</v>
          </cell>
          <cell r="AH546">
            <v>22</v>
          </cell>
          <cell r="AI546">
            <v>0</v>
          </cell>
          <cell r="AJ546">
            <v>0</v>
          </cell>
        </row>
        <row r="547">
          <cell r="A547">
            <v>168982</v>
          </cell>
          <cell r="B547">
            <v>37726</v>
          </cell>
          <cell r="D547" t="str">
            <v>ENTEL CHILE - 1600001804</v>
          </cell>
          <cell r="E547">
            <v>3663799</v>
          </cell>
          <cell r="F547">
            <v>8088827</v>
          </cell>
          <cell r="G547">
            <v>2612008</v>
          </cell>
          <cell r="H547">
            <v>37729</v>
          </cell>
          <cell r="I547">
            <v>0.54</v>
          </cell>
          <cell r="J547">
            <v>1</v>
          </cell>
          <cell r="K547">
            <v>3</v>
          </cell>
          <cell r="M547" t="str">
            <v>WIC-1B-S/T</v>
          </cell>
          <cell r="N547" t="str">
            <v>1-Port ISDN WAN Interface Card(dial and leased line)</v>
          </cell>
          <cell r="O547">
            <v>500</v>
          </cell>
          <cell r="P547">
            <v>229.99999999999997</v>
          </cell>
          <cell r="Q547">
            <v>10</v>
          </cell>
          <cell r="R547">
            <v>2299.9999999999995</v>
          </cell>
          <cell r="AF547" t="str">
            <v>C</v>
          </cell>
          <cell r="AG547">
            <v>172.49999999999997</v>
          </cell>
          <cell r="AH547">
            <v>14</v>
          </cell>
          <cell r="AI547">
            <v>260</v>
          </cell>
          <cell r="AJ547">
            <v>2600</v>
          </cell>
        </row>
        <row r="548">
          <cell r="A548">
            <v>168982</v>
          </cell>
          <cell r="B548">
            <v>37726</v>
          </cell>
          <cell r="D548" t="str">
            <v>ENTEL CHILE - 1600001804</v>
          </cell>
          <cell r="E548">
            <v>3663799</v>
          </cell>
          <cell r="F548">
            <v>8088827</v>
          </cell>
          <cell r="G548">
            <v>2612008</v>
          </cell>
          <cell r="H548">
            <v>37729</v>
          </cell>
          <cell r="I548">
            <v>0.54</v>
          </cell>
          <cell r="J548">
            <v>1</v>
          </cell>
          <cell r="K548">
            <v>4</v>
          </cell>
          <cell r="M548" t="str">
            <v>VIC-2FXO</v>
          </cell>
          <cell r="N548" t="str">
            <v>Two-port Voice Interface Card - FXO</v>
          </cell>
          <cell r="O548">
            <v>400</v>
          </cell>
          <cell r="P548">
            <v>184</v>
          </cell>
          <cell r="Q548">
            <v>5</v>
          </cell>
          <cell r="R548">
            <v>920</v>
          </cell>
          <cell r="AF548" t="str">
            <v>C</v>
          </cell>
          <cell r="AG548">
            <v>69</v>
          </cell>
          <cell r="AH548">
            <v>11</v>
          </cell>
          <cell r="AI548">
            <v>208</v>
          </cell>
          <cell r="AJ548">
            <v>1040</v>
          </cell>
        </row>
        <row r="549">
          <cell r="A549">
            <v>168982</v>
          </cell>
          <cell r="B549">
            <v>37726</v>
          </cell>
          <cell r="D549" t="str">
            <v>ENTEL CHILE - 1600001804</v>
          </cell>
          <cell r="E549">
            <v>3663799</v>
          </cell>
          <cell r="F549">
            <v>8088827</v>
          </cell>
          <cell r="G549">
            <v>2612008</v>
          </cell>
          <cell r="H549">
            <v>37729</v>
          </cell>
          <cell r="I549">
            <v>0.54</v>
          </cell>
          <cell r="J549">
            <v>1</v>
          </cell>
          <cell r="K549">
            <v>5</v>
          </cell>
          <cell r="M549" t="str">
            <v>NM-2V</v>
          </cell>
          <cell r="N549" t="str">
            <v>Two-Slot Voice/fax Network Module</v>
          </cell>
          <cell r="O549">
            <v>1000</v>
          </cell>
          <cell r="P549">
            <v>459.99999999999994</v>
          </cell>
          <cell r="Q549">
            <v>3</v>
          </cell>
          <cell r="R549">
            <v>1379.9999999999998</v>
          </cell>
          <cell r="AF549" t="str">
            <v>C</v>
          </cell>
          <cell r="AG549">
            <v>103.49999999999999</v>
          </cell>
          <cell r="AH549">
            <v>12</v>
          </cell>
          <cell r="AI549">
            <v>520</v>
          </cell>
          <cell r="AJ549">
            <v>1560</v>
          </cell>
        </row>
        <row r="550">
          <cell r="A550">
            <v>168982</v>
          </cell>
          <cell r="B550">
            <v>37726</v>
          </cell>
          <cell r="D550" t="str">
            <v>ENTEL CHILE - 1600001804</v>
          </cell>
          <cell r="E550">
            <v>3663799</v>
          </cell>
          <cell r="F550">
            <v>8088827</v>
          </cell>
          <cell r="G550">
            <v>2612008</v>
          </cell>
          <cell r="H550">
            <v>37729</v>
          </cell>
          <cell r="I550">
            <v>0.54</v>
          </cell>
          <cell r="J550">
            <v>1</v>
          </cell>
          <cell r="K550">
            <v>6</v>
          </cell>
          <cell r="M550" t="str">
            <v>NM-1E</v>
          </cell>
          <cell r="N550" t="str">
            <v>1-Port Ethernet Network Module</v>
          </cell>
          <cell r="O550">
            <v>1000</v>
          </cell>
          <cell r="P550">
            <v>459.99999999999994</v>
          </cell>
          <cell r="Q550">
            <v>3</v>
          </cell>
          <cell r="R550">
            <v>1379.9999999999998</v>
          </cell>
          <cell r="AF550" t="str">
            <v>C</v>
          </cell>
          <cell r="AG550">
            <v>103.49999999999999</v>
          </cell>
          <cell r="AH550">
            <v>8</v>
          </cell>
          <cell r="AI550">
            <v>520</v>
          </cell>
          <cell r="AJ550">
            <v>1560</v>
          </cell>
        </row>
        <row r="551">
          <cell r="A551">
            <v>168982</v>
          </cell>
          <cell r="B551">
            <v>37726</v>
          </cell>
          <cell r="D551" t="str">
            <v>ENTEL CHILE - 1600001804</v>
          </cell>
          <cell r="E551">
            <v>3663799</v>
          </cell>
          <cell r="F551">
            <v>8088827</v>
          </cell>
          <cell r="G551">
            <v>2612008</v>
          </cell>
          <cell r="H551">
            <v>37729</v>
          </cell>
          <cell r="I551">
            <v>0.54</v>
          </cell>
          <cell r="J551">
            <v>4</v>
          </cell>
          <cell r="K551">
            <v>7</v>
          </cell>
          <cell r="M551" t="str">
            <v>WS-C2924M-XL-EN</v>
          </cell>
          <cell r="N551" t="str">
            <v>24-port 10/100 Switch w/Two Module Slots (Enterprise Edition</v>
          </cell>
          <cell r="O551">
            <v>2495</v>
          </cell>
          <cell r="P551">
            <v>1147.6999999999998</v>
          </cell>
          <cell r="Q551">
            <v>1</v>
          </cell>
          <cell r="R551">
            <v>1147.6999999999998</v>
          </cell>
          <cell r="AF551" t="str">
            <v>D</v>
          </cell>
          <cell r="AG551">
            <v>22.953999999999997</v>
          </cell>
          <cell r="AH551">
            <v>24</v>
          </cell>
          <cell r="AI551">
            <v>1297</v>
          </cell>
          <cell r="AJ551">
            <v>1297</v>
          </cell>
        </row>
        <row r="552">
          <cell r="A552">
            <v>168982</v>
          </cell>
          <cell r="B552">
            <v>37726</v>
          </cell>
          <cell r="D552" t="str">
            <v>ENTEL CHILE - 1600001804</v>
          </cell>
          <cell r="E552">
            <v>3663799</v>
          </cell>
          <cell r="F552">
            <v>8088827</v>
          </cell>
          <cell r="G552">
            <v>2612008</v>
          </cell>
          <cell r="H552">
            <v>37729</v>
          </cell>
          <cell r="I552">
            <v>0.54</v>
          </cell>
          <cell r="J552">
            <v>4</v>
          </cell>
          <cell r="K552">
            <v>7.1</v>
          </cell>
          <cell r="M552" t="str">
            <v>CAB-ACI</v>
          </cell>
          <cell r="N552" t="str">
            <v>Power Cord-Italian</v>
          </cell>
          <cell r="O552">
            <v>0</v>
          </cell>
          <cell r="P552">
            <v>0</v>
          </cell>
          <cell r="Q552">
            <v>1</v>
          </cell>
          <cell r="R552">
            <v>0</v>
          </cell>
          <cell r="AF552" t="str">
            <v>-</v>
          </cell>
          <cell r="AG552">
            <v>0</v>
          </cell>
          <cell r="AH552">
            <v>24</v>
          </cell>
          <cell r="AI552">
            <v>0</v>
          </cell>
          <cell r="AJ552">
            <v>0</v>
          </cell>
        </row>
        <row r="553">
          <cell r="A553">
            <v>168982</v>
          </cell>
          <cell r="B553">
            <v>37726</v>
          </cell>
          <cell r="D553" t="str">
            <v>ENTEL CHILE - 1600001804</v>
          </cell>
          <cell r="E553">
            <v>3663799</v>
          </cell>
          <cell r="F553">
            <v>8088827</v>
          </cell>
          <cell r="G553">
            <v>2612008</v>
          </cell>
          <cell r="H553">
            <v>37729</v>
          </cell>
          <cell r="I553">
            <v>0.54</v>
          </cell>
          <cell r="J553">
            <v>1</v>
          </cell>
          <cell r="K553">
            <v>8</v>
          </cell>
          <cell r="M553" t="str">
            <v>CISCO3640A</v>
          </cell>
          <cell r="N553" t="str">
            <v>Cisco 3600 4-slot Modular router-AC with IP Software</v>
          </cell>
          <cell r="O553">
            <v>6500</v>
          </cell>
          <cell r="P553">
            <v>2989.9999999999995</v>
          </cell>
          <cell r="Q553">
            <v>3</v>
          </cell>
          <cell r="R553">
            <v>8969.9999999999982</v>
          </cell>
          <cell r="AF553" t="str">
            <v>C</v>
          </cell>
          <cell r="AG553">
            <v>672.74999999999989</v>
          </cell>
          <cell r="AH553">
            <v>28</v>
          </cell>
          <cell r="AI553">
            <v>3380</v>
          </cell>
          <cell r="AJ553">
            <v>10140</v>
          </cell>
        </row>
        <row r="554">
          <cell r="A554">
            <v>168982</v>
          </cell>
          <cell r="B554">
            <v>37726</v>
          </cell>
          <cell r="D554" t="str">
            <v>ENTEL CHILE - 1600001804</v>
          </cell>
          <cell r="E554">
            <v>3663799</v>
          </cell>
          <cell r="F554">
            <v>8088827</v>
          </cell>
          <cell r="G554">
            <v>2612008</v>
          </cell>
          <cell r="H554">
            <v>37729</v>
          </cell>
          <cell r="I554">
            <v>0.54</v>
          </cell>
          <cell r="J554">
            <v>1</v>
          </cell>
          <cell r="K554">
            <v>8.1</v>
          </cell>
          <cell r="M554" t="str">
            <v>CAB-ACI</v>
          </cell>
          <cell r="N554" t="str">
            <v>Power Cord-Italian</v>
          </cell>
          <cell r="O554">
            <v>0</v>
          </cell>
          <cell r="P554">
            <v>0</v>
          </cell>
          <cell r="Q554">
            <v>3</v>
          </cell>
          <cell r="R554">
            <v>0</v>
          </cell>
          <cell r="AF554" t="str">
            <v>-</v>
          </cell>
          <cell r="AG554">
            <v>0</v>
          </cell>
          <cell r="AH554">
            <v>28</v>
          </cell>
          <cell r="AI554">
            <v>0</v>
          </cell>
          <cell r="AJ554">
            <v>0</v>
          </cell>
        </row>
        <row r="555">
          <cell r="A555">
            <v>168982</v>
          </cell>
          <cell r="B555">
            <v>37726</v>
          </cell>
          <cell r="D555" t="str">
            <v>ENTEL CHILE - 1600001804</v>
          </cell>
          <cell r="E555">
            <v>3663799</v>
          </cell>
          <cell r="F555">
            <v>8088827</v>
          </cell>
          <cell r="G555">
            <v>2612008</v>
          </cell>
          <cell r="H555">
            <v>37729</v>
          </cell>
          <cell r="I555">
            <v>0.54</v>
          </cell>
          <cell r="J555">
            <v>1</v>
          </cell>
          <cell r="K555">
            <v>8.1999999999999993</v>
          </cell>
          <cell r="M555" t="str">
            <v>S364C-12212</v>
          </cell>
          <cell r="N555" t="str">
            <v>Cisco 3640 Series IOS IP</v>
          </cell>
          <cell r="O555">
            <v>0</v>
          </cell>
          <cell r="P555">
            <v>0</v>
          </cell>
          <cell r="Q555">
            <v>3</v>
          </cell>
          <cell r="R555">
            <v>0</v>
          </cell>
          <cell r="AF555" t="str">
            <v>C</v>
          </cell>
          <cell r="AG555">
            <v>0</v>
          </cell>
          <cell r="AH555">
            <v>28</v>
          </cell>
          <cell r="AI555">
            <v>0</v>
          </cell>
          <cell r="AJ555">
            <v>0</v>
          </cell>
        </row>
        <row r="556">
          <cell r="A556">
            <v>168982</v>
          </cell>
          <cell r="B556">
            <v>37726</v>
          </cell>
          <cell r="D556" t="str">
            <v>ENTEL CHILE - 1600001804</v>
          </cell>
          <cell r="E556">
            <v>3663799</v>
          </cell>
          <cell r="F556">
            <v>8088827</v>
          </cell>
          <cell r="G556">
            <v>2612008</v>
          </cell>
          <cell r="H556">
            <v>37729</v>
          </cell>
          <cell r="I556">
            <v>0.54</v>
          </cell>
          <cell r="J556">
            <v>1</v>
          </cell>
          <cell r="K556">
            <v>9</v>
          </cell>
          <cell r="M556" t="str">
            <v>NM-2E2W</v>
          </cell>
          <cell r="N556" t="str">
            <v>2 Ethernet 2 WAN Card Slot Network Module</v>
          </cell>
          <cell r="O556">
            <v>2500</v>
          </cell>
          <cell r="P556">
            <v>1150</v>
          </cell>
          <cell r="Q556">
            <v>1</v>
          </cell>
          <cell r="R556">
            <v>1150</v>
          </cell>
          <cell r="AF556" t="str">
            <v>C</v>
          </cell>
          <cell r="AG556">
            <v>86.25</v>
          </cell>
          <cell r="AH556">
            <v>10</v>
          </cell>
          <cell r="AI556">
            <v>1300</v>
          </cell>
          <cell r="AJ556">
            <v>1300</v>
          </cell>
        </row>
        <row r="557">
          <cell r="A557">
            <v>168982</v>
          </cell>
          <cell r="B557">
            <v>37726</v>
          </cell>
          <cell r="D557" t="str">
            <v>ENTEL CHILE - 1600001804</v>
          </cell>
          <cell r="E557">
            <v>3663799</v>
          </cell>
          <cell r="F557">
            <v>8088827</v>
          </cell>
          <cell r="G557">
            <v>2612008</v>
          </cell>
          <cell r="H557">
            <v>37729</v>
          </cell>
          <cell r="I557">
            <v>0.54</v>
          </cell>
          <cell r="J557">
            <v>1</v>
          </cell>
          <cell r="K557">
            <v>10</v>
          </cell>
          <cell r="M557" t="str">
            <v>NM-1FE2W</v>
          </cell>
          <cell r="N557" t="str">
            <v>1 10/100 Ethernet 2 WAN Card Slot Network Module</v>
          </cell>
          <cell r="O557">
            <v>2300</v>
          </cell>
          <cell r="P557">
            <v>1058</v>
          </cell>
          <cell r="Q557">
            <v>5</v>
          </cell>
          <cell r="R557">
            <v>5290</v>
          </cell>
          <cell r="AF557" t="str">
            <v>C</v>
          </cell>
          <cell r="AG557">
            <v>396.75</v>
          </cell>
          <cell r="AH557">
            <v>16</v>
          </cell>
          <cell r="AI557">
            <v>1196</v>
          </cell>
          <cell r="AJ557">
            <v>5980</v>
          </cell>
        </row>
        <row r="558">
          <cell r="A558">
            <v>168982</v>
          </cell>
          <cell r="B558">
            <v>37726</v>
          </cell>
          <cell r="D558" t="str">
            <v>ENTEL CHILE - 1600001804</v>
          </cell>
          <cell r="E558">
            <v>3663799</v>
          </cell>
          <cell r="F558">
            <v>8088827</v>
          </cell>
          <cell r="G558">
            <v>2612008</v>
          </cell>
          <cell r="H558">
            <v>37729</v>
          </cell>
          <cell r="I558">
            <v>0.54</v>
          </cell>
          <cell r="J558">
            <v>1</v>
          </cell>
          <cell r="K558">
            <v>11</v>
          </cell>
          <cell r="M558" t="str">
            <v>NM-1A-OC3SMI</v>
          </cell>
          <cell r="N558" t="str">
            <v>One-port ATM OC-3 Singlemode Inter Reach NM 2691,3600,3725</v>
          </cell>
          <cell r="O558">
            <v>8000</v>
          </cell>
          <cell r="P558">
            <v>3679.9999999999995</v>
          </cell>
          <cell r="Q558">
            <v>1</v>
          </cell>
          <cell r="R558">
            <v>3679.9999999999995</v>
          </cell>
          <cell r="AF558" t="str">
            <v>C</v>
          </cell>
          <cell r="AG558">
            <v>275.99999999999994</v>
          </cell>
          <cell r="AH558">
            <v>6</v>
          </cell>
          <cell r="AI558">
            <v>4160</v>
          </cell>
          <cell r="AJ558">
            <v>4160</v>
          </cell>
        </row>
        <row r="559">
          <cell r="A559">
            <v>168982</v>
          </cell>
          <cell r="B559">
            <v>37726</v>
          </cell>
          <cell r="D559" t="str">
            <v>ENTEL CHILE - 1600001804</v>
          </cell>
          <cell r="E559">
            <v>3663799</v>
          </cell>
          <cell r="F559">
            <v>8088827</v>
          </cell>
          <cell r="G559">
            <v>2612008</v>
          </cell>
          <cell r="H559">
            <v>37729</v>
          </cell>
          <cell r="I559">
            <v>0.54</v>
          </cell>
          <cell r="J559">
            <v>1</v>
          </cell>
          <cell r="K559">
            <v>12</v>
          </cell>
          <cell r="M559" t="str">
            <v>WIC-2T</v>
          </cell>
          <cell r="N559" t="str">
            <v>2-Port Serial WAN Interface Card</v>
          </cell>
          <cell r="O559">
            <v>700</v>
          </cell>
          <cell r="P559">
            <v>322</v>
          </cell>
          <cell r="Q559">
            <v>19</v>
          </cell>
          <cell r="R559">
            <v>6118</v>
          </cell>
          <cell r="AF559" t="str">
            <v>C</v>
          </cell>
          <cell r="AG559">
            <v>458.84999999999997</v>
          </cell>
          <cell r="AH559">
            <v>4</v>
          </cell>
          <cell r="AI559">
            <v>364</v>
          </cell>
          <cell r="AJ559">
            <v>6916</v>
          </cell>
        </row>
        <row r="560">
          <cell r="A560">
            <v>168982</v>
          </cell>
          <cell r="B560">
            <v>37726</v>
          </cell>
          <cell r="D560" t="str">
            <v>ENTEL CHILE - 1600001804</v>
          </cell>
          <cell r="E560">
            <v>3663799</v>
          </cell>
          <cell r="F560">
            <v>8088827</v>
          </cell>
          <cell r="G560">
            <v>2612008</v>
          </cell>
          <cell r="H560">
            <v>37729</v>
          </cell>
          <cell r="I560">
            <v>0.54</v>
          </cell>
          <cell r="J560">
            <v>1</v>
          </cell>
          <cell r="K560">
            <v>13</v>
          </cell>
          <cell r="M560" t="str">
            <v>VIC-2E/M</v>
          </cell>
          <cell r="N560" t="str">
            <v>Two-port Voice Interface Card - EandM</v>
          </cell>
          <cell r="O560">
            <v>400</v>
          </cell>
          <cell r="P560">
            <v>184</v>
          </cell>
          <cell r="Q560">
            <v>1</v>
          </cell>
          <cell r="R560">
            <v>184</v>
          </cell>
          <cell r="AF560" t="str">
            <v>C</v>
          </cell>
          <cell r="AG560">
            <v>13.799999999999999</v>
          </cell>
          <cell r="AH560">
            <v>27</v>
          </cell>
          <cell r="AI560">
            <v>208</v>
          </cell>
          <cell r="AJ560">
            <v>208</v>
          </cell>
        </row>
        <row r="561">
          <cell r="A561">
            <v>168982</v>
          </cell>
          <cell r="B561">
            <v>37726</v>
          </cell>
          <cell r="D561" t="str">
            <v>ENTEL CHILE - 1600001804</v>
          </cell>
          <cell r="E561">
            <v>3663799</v>
          </cell>
          <cell r="F561">
            <v>8088827</v>
          </cell>
          <cell r="G561">
            <v>2612008</v>
          </cell>
          <cell r="H561">
            <v>37729</v>
          </cell>
          <cell r="I561">
            <v>0.54</v>
          </cell>
          <cell r="J561">
            <v>1</v>
          </cell>
          <cell r="K561">
            <v>14</v>
          </cell>
          <cell r="M561" t="str">
            <v>CISCO3662-AC</v>
          </cell>
          <cell r="N561" t="str">
            <v>Dual 10/100 E Cisco 3660 6-slot Modular Router-AC with IP SW</v>
          </cell>
          <cell r="O561">
            <v>11700</v>
          </cell>
          <cell r="P561">
            <v>5382</v>
          </cell>
          <cell r="Q561">
            <v>2</v>
          </cell>
          <cell r="R561">
            <v>10764</v>
          </cell>
          <cell r="AF561" t="str">
            <v>C</v>
          </cell>
          <cell r="AG561">
            <v>807.3</v>
          </cell>
          <cell r="AH561">
            <v>20</v>
          </cell>
          <cell r="AI561">
            <v>6084</v>
          </cell>
          <cell r="AJ561">
            <v>12168</v>
          </cell>
        </row>
        <row r="562">
          <cell r="A562">
            <v>168982</v>
          </cell>
          <cell r="B562">
            <v>37726</v>
          </cell>
          <cell r="D562" t="str">
            <v>ENTEL CHILE - 1600001804</v>
          </cell>
          <cell r="E562">
            <v>3663799</v>
          </cell>
          <cell r="F562">
            <v>8088827</v>
          </cell>
          <cell r="G562">
            <v>2612008</v>
          </cell>
          <cell r="H562">
            <v>37729</v>
          </cell>
          <cell r="I562">
            <v>0.54</v>
          </cell>
          <cell r="J562">
            <v>1</v>
          </cell>
          <cell r="K562">
            <v>14.1</v>
          </cell>
          <cell r="M562" t="str">
            <v>CAB-ACI</v>
          </cell>
          <cell r="N562" t="str">
            <v>Power Cord-Italian</v>
          </cell>
          <cell r="O562">
            <v>0</v>
          </cell>
          <cell r="P562">
            <v>0</v>
          </cell>
          <cell r="Q562">
            <v>2</v>
          </cell>
          <cell r="R562">
            <v>0</v>
          </cell>
          <cell r="AF562" t="str">
            <v>-</v>
          </cell>
          <cell r="AG562">
            <v>0</v>
          </cell>
          <cell r="AH562">
            <v>20</v>
          </cell>
          <cell r="AI562">
            <v>0</v>
          </cell>
          <cell r="AJ562">
            <v>0</v>
          </cell>
        </row>
        <row r="563">
          <cell r="A563">
            <v>168982</v>
          </cell>
          <cell r="B563">
            <v>37726</v>
          </cell>
          <cell r="D563" t="str">
            <v>ENTEL CHILE - 1600001804</v>
          </cell>
          <cell r="E563">
            <v>3663799</v>
          </cell>
          <cell r="F563">
            <v>8088827</v>
          </cell>
          <cell r="G563">
            <v>2612008</v>
          </cell>
          <cell r="H563">
            <v>37729</v>
          </cell>
          <cell r="I563">
            <v>0.54</v>
          </cell>
          <cell r="J563">
            <v>1</v>
          </cell>
          <cell r="K563">
            <v>14.2</v>
          </cell>
          <cell r="M563" t="str">
            <v>S366C-12205</v>
          </cell>
          <cell r="N563" t="str">
            <v>Cisco 3660 Series IOS IP</v>
          </cell>
          <cell r="O563">
            <v>0</v>
          </cell>
          <cell r="P563">
            <v>0</v>
          </cell>
          <cell r="Q563">
            <v>2</v>
          </cell>
          <cell r="R563">
            <v>0</v>
          </cell>
          <cell r="AF563" t="str">
            <v>C</v>
          </cell>
          <cell r="AG563">
            <v>0</v>
          </cell>
          <cell r="AH563">
            <v>20</v>
          </cell>
          <cell r="AI563">
            <v>0</v>
          </cell>
          <cell r="AJ563">
            <v>0</v>
          </cell>
        </row>
        <row r="564">
          <cell r="A564">
            <v>168982</v>
          </cell>
          <cell r="B564">
            <v>37726</v>
          </cell>
          <cell r="D564" t="str">
            <v>ENTEL CHILE - 1600001804</v>
          </cell>
          <cell r="E564">
            <v>3663799</v>
          </cell>
          <cell r="F564">
            <v>8088827</v>
          </cell>
          <cell r="G564">
            <v>2612008</v>
          </cell>
          <cell r="H564">
            <v>37729</v>
          </cell>
          <cell r="I564">
            <v>0.54</v>
          </cell>
          <cell r="J564">
            <v>1</v>
          </cell>
          <cell r="K564">
            <v>14.3</v>
          </cell>
          <cell r="M564" t="str">
            <v>PWR-3660-AC</v>
          </cell>
          <cell r="N564" t="str">
            <v>AC Power Supply for Cisco 3660</v>
          </cell>
          <cell r="O564">
            <v>0</v>
          </cell>
          <cell r="P564">
            <v>0</v>
          </cell>
          <cell r="Q564">
            <v>2</v>
          </cell>
          <cell r="R564">
            <v>0</v>
          </cell>
          <cell r="AF564" t="str">
            <v>C</v>
          </cell>
          <cell r="AG564">
            <v>0</v>
          </cell>
          <cell r="AH564">
            <v>20</v>
          </cell>
          <cell r="AI564">
            <v>0</v>
          </cell>
          <cell r="AJ564">
            <v>0</v>
          </cell>
        </row>
        <row r="565">
          <cell r="A565">
            <v>168982</v>
          </cell>
          <cell r="B565">
            <v>37726</v>
          </cell>
          <cell r="D565" t="str">
            <v>ENTEL CHILE - 1600001804</v>
          </cell>
          <cell r="E565">
            <v>3663799</v>
          </cell>
          <cell r="F565">
            <v>8088827</v>
          </cell>
          <cell r="G565">
            <v>2612008</v>
          </cell>
          <cell r="H565">
            <v>37729</v>
          </cell>
          <cell r="I565">
            <v>0.54</v>
          </cell>
          <cell r="J565">
            <v>1</v>
          </cell>
          <cell r="K565">
            <v>15</v>
          </cell>
          <cell r="M565" t="str">
            <v>NM-2FE2W=</v>
          </cell>
          <cell r="N565" t="str">
            <v>2 10/100 Ethernet 2 WAN Card Slot Network Module</v>
          </cell>
          <cell r="O565">
            <v>3200</v>
          </cell>
          <cell r="P565">
            <v>1472</v>
          </cell>
          <cell r="Q565">
            <v>1</v>
          </cell>
          <cell r="R565">
            <v>1472</v>
          </cell>
          <cell r="AF565" t="str">
            <v>C</v>
          </cell>
          <cell r="AG565">
            <v>110.39999999999999</v>
          </cell>
          <cell r="AH565">
            <v>1</v>
          </cell>
          <cell r="AI565">
            <v>1664</v>
          </cell>
          <cell r="AJ565">
            <v>1664</v>
          </cell>
        </row>
        <row r="566">
          <cell r="A566">
            <v>168982</v>
          </cell>
          <cell r="B566">
            <v>37726</v>
          </cell>
          <cell r="D566" t="str">
            <v>ENTEL CHILE - 1600001804</v>
          </cell>
          <cell r="E566">
            <v>3663799</v>
          </cell>
          <cell r="F566">
            <v>8088827</v>
          </cell>
          <cell r="G566">
            <v>2612008</v>
          </cell>
          <cell r="H566">
            <v>37729</v>
          </cell>
          <cell r="I566">
            <v>0.54</v>
          </cell>
          <cell r="J566">
            <v>1</v>
          </cell>
          <cell r="K566">
            <v>16</v>
          </cell>
          <cell r="M566" t="str">
            <v>CISCO805</v>
          </cell>
          <cell r="N566" t="str">
            <v>Cisco 805 Ethernet/Serial Router</v>
          </cell>
          <cell r="O566">
            <v>999</v>
          </cell>
          <cell r="P566">
            <v>459.53999999999996</v>
          </cell>
          <cell r="Q566">
            <v>5</v>
          </cell>
          <cell r="R566">
            <v>2297.6999999999998</v>
          </cell>
          <cell r="AF566" t="str">
            <v>D</v>
          </cell>
          <cell r="AG566">
            <v>45.954000000000001</v>
          </cell>
          <cell r="AH566">
            <v>3</v>
          </cell>
          <cell r="AI566">
            <v>519</v>
          </cell>
          <cell r="AJ566">
            <v>2595</v>
          </cell>
        </row>
        <row r="567">
          <cell r="A567">
            <v>168982</v>
          </cell>
          <cell r="B567">
            <v>37726</v>
          </cell>
          <cell r="D567" t="str">
            <v>ENTEL CHILE - 1600001804</v>
          </cell>
          <cell r="E567">
            <v>3663799</v>
          </cell>
          <cell r="F567">
            <v>8088827</v>
          </cell>
          <cell r="G567">
            <v>2612008</v>
          </cell>
          <cell r="H567">
            <v>37729</v>
          </cell>
          <cell r="I567">
            <v>0.54</v>
          </cell>
          <cell r="J567">
            <v>1</v>
          </cell>
          <cell r="K567">
            <v>16.100000000000001</v>
          </cell>
          <cell r="M567" t="str">
            <v>CAB-ACI</v>
          </cell>
          <cell r="N567" t="str">
            <v>Power Cord-Italian</v>
          </cell>
          <cell r="O567">
            <v>0</v>
          </cell>
          <cell r="P567">
            <v>0</v>
          </cell>
          <cell r="Q567">
            <v>5</v>
          </cell>
          <cell r="R567">
            <v>0</v>
          </cell>
          <cell r="AF567" t="str">
            <v>-</v>
          </cell>
          <cell r="AG567">
            <v>0</v>
          </cell>
          <cell r="AH567">
            <v>3</v>
          </cell>
          <cell r="AI567">
            <v>0</v>
          </cell>
          <cell r="AJ567">
            <v>0</v>
          </cell>
        </row>
        <row r="568">
          <cell r="A568">
            <v>168982</v>
          </cell>
          <cell r="B568">
            <v>37726</v>
          </cell>
          <cell r="D568" t="str">
            <v>ENTEL CHILE - 1600001804</v>
          </cell>
          <cell r="E568">
            <v>3663799</v>
          </cell>
          <cell r="F568">
            <v>8088827</v>
          </cell>
          <cell r="G568">
            <v>2612008</v>
          </cell>
          <cell r="H568">
            <v>37729</v>
          </cell>
          <cell r="I568">
            <v>0.54</v>
          </cell>
          <cell r="J568">
            <v>1</v>
          </cell>
          <cell r="K568">
            <v>16.2</v>
          </cell>
          <cell r="M568" t="str">
            <v>S805C-12208T</v>
          </cell>
          <cell r="N568" t="str">
            <v>Cisco 805 Series IOS IP</v>
          </cell>
          <cell r="O568">
            <v>0</v>
          </cell>
          <cell r="P568">
            <v>0</v>
          </cell>
          <cell r="Q568">
            <v>5</v>
          </cell>
          <cell r="R568">
            <v>0</v>
          </cell>
          <cell r="AF568" t="str">
            <v>D</v>
          </cell>
          <cell r="AG568">
            <v>0</v>
          </cell>
          <cell r="AH568">
            <v>3</v>
          </cell>
          <cell r="AI568">
            <v>0</v>
          </cell>
          <cell r="AJ568">
            <v>0</v>
          </cell>
        </row>
        <row r="569">
          <cell r="A569">
            <v>168982</v>
          </cell>
          <cell r="B569">
            <v>37726</v>
          </cell>
          <cell r="D569" t="str">
            <v>ENTEL CHILE - 1600001804</v>
          </cell>
          <cell r="E569">
            <v>3663799</v>
          </cell>
          <cell r="F569">
            <v>8088827</v>
          </cell>
          <cell r="G569">
            <v>2612008</v>
          </cell>
          <cell r="H569">
            <v>37729</v>
          </cell>
          <cell r="I569">
            <v>0.54</v>
          </cell>
          <cell r="J569">
            <v>5</v>
          </cell>
          <cell r="K569">
            <v>17</v>
          </cell>
          <cell r="M569" t="str">
            <v>WS-C2950-24</v>
          </cell>
          <cell r="N569" t="str">
            <v>24 port, 10/100 Catalyst Switch, Standard Image only</v>
          </cell>
          <cell r="O569">
            <v>995</v>
          </cell>
          <cell r="P569">
            <v>457.7</v>
          </cell>
          <cell r="Q569">
            <v>12</v>
          </cell>
          <cell r="R569">
            <v>5492.4</v>
          </cell>
          <cell r="AF569" t="str">
            <v>D</v>
          </cell>
          <cell r="AG569">
            <v>109.848</v>
          </cell>
          <cell r="AH569">
            <v>17</v>
          </cell>
          <cell r="AI569">
            <v>517</v>
          </cell>
          <cell r="AJ569">
            <v>6204</v>
          </cell>
        </row>
        <row r="570">
          <cell r="A570">
            <v>168982</v>
          </cell>
          <cell r="B570">
            <v>37726</v>
          </cell>
          <cell r="D570" t="str">
            <v>ENTEL CHILE - 1600001804</v>
          </cell>
          <cell r="E570">
            <v>3663799</v>
          </cell>
          <cell r="F570">
            <v>8088827</v>
          </cell>
          <cell r="G570">
            <v>2612008</v>
          </cell>
          <cell r="H570">
            <v>37729</v>
          </cell>
          <cell r="I570">
            <v>0.54</v>
          </cell>
          <cell r="J570">
            <v>5</v>
          </cell>
          <cell r="K570">
            <v>17.100000000000001</v>
          </cell>
          <cell r="M570" t="str">
            <v>CAB-ACI</v>
          </cell>
          <cell r="N570" t="str">
            <v>Power Cord-Italian</v>
          </cell>
          <cell r="O570">
            <v>0</v>
          </cell>
          <cell r="P570">
            <v>0</v>
          </cell>
          <cell r="Q570">
            <v>12</v>
          </cell>
          <cell r="R570">
            <v>0</v>
          </cell>
          <cell r="AF570" t="str">
            <v>-</v>
          </cell>
          <cell r="AG570">
            <v>0</v>
          </cell>
          <cell r="AH570">
            <v>17</v>
          </cell>
          <cell r="AI570">
            <v>0</v>
          </cell>
          <cell r="AJ570">
            <v>0</v>
          </cell>
        </row>
        <row r="571">
          <cell r="A571">
            <v>168982</v>
          </cell>
          <cell r="B571">
            <v>37726</v>
          </cell>
          <cell r="D571" t="str">
            <v>ENTEL CHILE - 1600001804</v>
          </cell>
          <cell r="E571">
            <v>3663799</v>
          </cell>
          <cell r="F571">
            <v>8088827</v>
          </cell>
          <cell r="G571">
            <v>2612008</v>
          </cell>
          <cell r="H571">
            <v>37729</v>
          </cell>
          <cell r="I571">
            <v>0.54</v>
          </cell>
          <cell r="J571">
            <v>3</v>
          </cell>
          <cell r="K571">
            <v>18</v>
          </cell>
          <cell r="M571" t="str">
            <v>WS-C2950-12</v>
          </cell>
          <cell r="N571" t="str">
            <v>12 port, 10/100 Catalyst Switch, Standard Image only</v>
          </cell>
          <cell r="O571">
            <v>895</v>
          </cell>
          <cell r="P571">
            <v>411.7</v>
          </cell>
          <cell r="Q571">
            <v>8</v>
          </cell>
          <cell r="R571">
            <v>3293.6</v>
          </cell>
          <cell r="AF571" t="str">
            <v>D</v>
          </cell>
          <cell r="AG571">
            <v>65.872</v>
          </cell>
          <cell r="AH571">
            <v>7</v>
          </cell>
          <cell r="AI571">
            <v>465</v>
          </cell>
          <cell r="AJ571">
            <v>3720</v>
          </cell>
        </row>
        <row r="572">
          <cell r="A572">
            <v>168982</v>
          </cell>
          <cell r="B572">
            <v>37726</v>
          </cell>
          <cell r="D572" t="str">
            <v>ENTEL CHILE - 1600001804</v>
          </cell>
          <cell r="E572">
            <v>3663799</v>
          </cell>
          <cell r="F572">
            <v>8088827</v>
          </cell>
          <cell r="G572">
            <v>2612008</v>
          </cell>
          <cell r="H572">
            <v>37729</v>
          </cell>
          <cell r="I572">
            <v>0.54</v>
          </cell>
          <cell r="J572">
            <v>3</v>
          </cell>
          <cell r="K572">
            <v>18.100000000000001</v>
          </cell>
          <cell r="M572" t="str">
            <v>CAB-ACI</v>
          </cell>
          <cell r="N572" t="str">
            <v>Power Cord-Italian</v>
          </cell>
          <cell r="O572">
            <v>0</v>
          </cell>
          <cell r="P572">
            <v>0</v>
          </cell>
          <cell r="Q572">
            <v>8</v>
          </cell>
          <cell r="R572">
            <v>0</v>
          </cell>
          <cell r="AF572" t="str">
            <v>-</v>
          </cell>
          <cell r="AG572">
            <v>0</v>
          </cell>
          <cell r="AH572">
            <v>7</v>
          </cell>
          <cell r="AI572">
            <v>0</v>
          </cell>
          <cell r="AJ572">
            <v>0</v>
          </cell>
        </row>
        <row r="573">
          <cell r="A573">
            <v>168982</v>
          </cell>
          <cell r="B573">
            <v>37726</v>
          </cell>
          <cell r="D573" t="str">
            <v>ENTEL CHILE - 1600001804</v>
          </cell>
          <cell r="E573">
            <v>3663799</v>
          </cell>
          <cell r="F573">
            <v>8088827</v>
          </cell>
          <cell r="G573">
            <v>2612008</v>
          </cell>
          <cell r="H573">
            <v>37729</v>
          </cell>
          <cell r="I573">
            <v>0.54</v>
          </cell>
          <cell r="J573">
            <v>1</v>
          </cell>
          <cell r="K573">
            <v>19</v>
          </cell>
          <cell r="M573" t="str">
            <v>NM-HDV-1E1-30</v>
          </cell>
          <cell r="N573" t="str">
            <v>Single-Port 30 Channel E1 Voice/Fax Network Module</v>
          </cell>
          <cell r="O573">
            <v>7800</v>
          </cell>
          <cell r="P573">
            <v>3587.9999999999995</v>
          </cell>
          <cell r="Q573">
            <v>1</v>
          </cell>
          <cell r="R573">
            <v>3587.9999999999995</v>
          </cell>
          <cell r="AF573" t="str">
            <v>C</v>
          </cell>
          <cell r="AG573">
            <v>269.09999999999997</v>
          </cell>
          <cell r="AH573">
            <v>31</v>
          </cell>
          <cell r="AI573">
            <v>4056</v>
          </cell>
          <cell r="AJ573">
            <v>4056</v>
          </cell>
        </row>
        <row r="574">
          <cell r="A574">
            <v>168982</v>
          </cell>
          <cell r="B574">
            <v>37726</v>
          </cell>
          <cell r="D574" t="str">
            <v>ENTEL CHILE - 1600001804</v>
          </cell>
          <cell r="E574">
            <v>3663799</v>
          </cell>
          <cell r="F574">
            <v>8088827</v>
          </cell>
          <cell r="G574">
            <v>2612008</v>
          </cell>
          <cell r="H574">
            <v>37729</v>
          </cell>
          <cell r="I574">
            <v>0.54</v>
          </cell>
          <cell r="J574">
            <v>1</v>
          </cell>
          <cell r="K574">
            <v>20</v>
          </cell>
          <cell r="M574" t="str">
            <v>WIC-1ADSL</v>
          </cell>
          <cell r="N574" t="str">
            <v>1-port ADSL WAN Interface Card</v>
          </cell>
          <cell r="O574">
            <v>750</v>
          </cell>
          <cell r="P574">
            <v>345</v>
          </cell>
          <cell r="Q574">
            <v>5</v>
          </cell>
          <cell r="R574">
            <v>1725</v>
          </cell>
          <cell r="AF574" t="str">
            <v>D</v>
          </cell>
          <cell r="AG574">
            <v>34.5</v>
          </cell>
          <cell r="AH574">
            <v>13</v>
          </cell>
          <cell r="AI574">
            <v>390</v>
          </cell>
          <cell r="AJ574">
            <v>1950</v>
          </cell>
        </row>
        <row r="575">
          <cell r="A575">
            <v>168982</v>
          </cell>
          <cell r="B575">
            <v>37726</v>
          </cell>
          <cell r="D575" t="str">
            <v>ENTEL CHILE - 1600001804</v>
          </cell>
          <cell r="E575">
            <v>3663799</v>
          </cell>
          <cell r="F575">
            <v>8088827</v>
          </cell>
          <cell r="G575">
            <v>2612008</v>
          </cell>
          <cell r="H575">
            <v>37729</v>
          </cell>
          <cell r="I575">
            <v>0.54</v>
          </cell>
          <cell r="J575">
            <v>1</v>
          </cell>
          <cell r="K575">
            <v>21</v>
          </cell>
          <cell r="M575" t="str">
            <v>CISCO827-4V</v>
          </cell>
          <cell r="N575" t="str">
            <v>Cisco 827-4V ADSL router 1E, 1ADSL, 4 Voice</v>
          </cell>
          <cell r="O575">
            <v>999</v>
          </cell>
          <cell r="P575">
            <v>459.53999999999996</v>
          </cell>
          <cell r="Q575">
            <v>8</v>
          </cell>
          <cell r="R575">
            <v>3676.3199999999997</v>
          </cell>
          <cell r="AF575" t="str">
            <v>D</v>
          </cell>
          <cell r="AG575">
            <v>73.526399999999995</v>
          </cell>
          <cell r="AH575">
            <v>30</v>
          </cell>
          <cell r="AI575">
            <v>519</v>
          </cell>
          <cell r="AJ575">
            <v>4152</v>
          </cell>
        </row>
        <row r="576">
          <cell r="A576">
            <v>168982</v>
          </cell>
          <cell r="B576">
            <v>37726</v>
          </cell>
          <cell r="D576" t="str">
            <v>ENTEL CHILE - 1600001804</v>
          </cell>
          <cell r="E576">
            <v>3663799</v>
          </cell>
          <cell r="F576">
            <v>8088827</v>
          </cell>
          <cell r="G576">
            <v>2612008</v>
          </cell>
          <cell r="H576">
            <v>37729</v>
          </cell>
          <cell r="I576">
            <v>0.54</v>
          </cell>
          <cell r="J576">
            <v>1</v>
          </cell>
          <cell r="K576">
            <v>21.1</v>
          </cell>
          <cell r="M576" t="str">
            <v>CAB-ACI</v>
          </cell>
          <cell r="N576" t="str">
            <v>Power Cord-Italian</v>
          </cell>
          <cell r="O576">
            <v>0</v>
          </cell>
          <cell r="P576">
            <v>0</v>
          </cell>
          <cell r="Q576">
            <v>8</v>
          </cell>
          <cell r="R576">
            <v>0</v>
          </cell>
          <cell r="AF576" t="str">
            <v>-</v>
          </cell>
          <cell r="AG576">
            <v>0</v>
          </cell>
          <cell r="AH576">
            <v>30</v>
          </cell>
          <cell r="AI576">
            <v>0</v>
          </cell>
          <cell r="AJ576">
            <v>0</v>
          </cell>
        </row>
        <row r="577">
          <cell r="A577">
            <v>168982</v>
          </cell>
          <cell r="B577">
            <v>37726</v>
          </cell>
          <cell r="D577" t="str">
            <v>ENTEL CHILE - 1600001804</v>
          </cell>
          <cell r="E577">
            <v>3663799</v>
          </cell>
          <cell r="F577">
            <v>8088827</v>
          </cell>
          <cell r="G577">
            <v>2612008</v>
          </cell>
          <cell r="H577">
            <v>37729</v>
          </cell>
          <cell r="I577">
            <v>0.54</v>
          </cell>
          <cell r="J577">
            <v>1</v>
          </cell>
          <cell r="K577">
            <v>21.2</v>
          </cell>
          <cell r="M577" t="str">
            <v>MEM820-24U32D</v>
          </cell>
          <cell r="N577" t="str">
            <v xml:space="preserve">Cisco 820 DRAM 24Mbyte upgrade to 32 Mbytes </v>
          </cell>
          <cell r="O577">
            <v>0</v>
          </cell>
          <cell r="P577">
            <v>0</v>
          </cell>
          <cell r="Q577">
            <v>8</v>
          </cell>
          <cell r="R577">
            <v>0</v>
          </cell>
          <cell r="AF577" t="str">
            <v>D</v>
          </cell>
          <cell r="AG577">
            <v>0</v>
          </cell>
          <cell r="AH577">
            <v>30</v>
          </cell>
          <cell r="AI577">
            <v>0</v>
          </cell>
          <cell r="AJ577">
            <v>0</v>
          </cell>
        </row>
        <row r="578">
          <cell r="A578">
            <v>168982</v>
          </cell>
          <cell r="B578">
            <v>37726</v>
          </cell>
          <cell r="D578" t="str">
            <v>ENTEL CHILE - 1600001804</v>
          </cell>
          <cell r="E578">
            <v>3663799</v>
          </cell>
          <cell r="F578">
            <v>8088827</v>
          </cell>
          <cell r="G578">
            <v>2612008</v>
          </cell>
          <cell r="H578">
            <v>37729</v>
          </cell>
          <cell r="I578">
            <v>0.54</v>
          </cell>
          <cell r="J578">
            <v>1</v>
          </cell>
          <cell r="K578">
            <v>21.3</v>
          </cell>
          <cell r="M578" t="str">
            <v>820CHV-12208YN</v>
          </cell>
          <cell r="N578" t="str">
            <v>Cisco 820 Ser IOS IP/FW/VOICE</v>
          </cell>
          <cell r="O578">
            <v>0</v>
          </cell>
          <cell r="P578">
            <v>0</v>
          </cell>
          <cell r="Q578">
            <v>8</v>
          </cell>
          <cell r="R578">
            <v>0</v>
          </cell>
          <cell r="AF578" t="str">
            <v>-</v>
          </cell>
          <cell r="AG578">
            <v>0</v>
          </cell>
          <cell r="AH578">
            <v>30</v>
          </cell>
          <cell r="AI578">
            <v>0</v>
          </cell>
          <cell r="AJ578">
            <v>0</v>
          </cell>
        </row>
        <row r="579">
          <cell r="A579">
            <v>168982</v>
          </cell>
          <cell r="B579">
            <v>37726</v>
          </cell>
          <cell r="D579" t="str">
            <v>ENTEL CHILE - 1600001804</v>
          </cell>
          <cell r="E579">
            <v>3663799</v>
          </cell>
          <cell r="F579">
            <v>8088827</v>
          </cell>
          <cell r="G579">
            <v>2612008</v>
          </cell>
          <cell r="H579">
            <v>37729</v>
          </cell>
          <cell r="I579">
            <v>0.54</v>
          </cell>
          <cell r="J579">
            <v>1</v>
          </cell>
          <cell r="K579">
            <v>21.4</v>
          </cell>
          <cell r="M579" t="str">
            <v>CAB-ADSL-RJ11</v>
          </cell>
          <cell r="N579" t="str">
            <v>Lavender Cable for xDSL, Straight-through, RJ-11, 6 feet</v>
          </cell>
          <cell r="O579">
            <v>0</v>
          </cell>
          <cell r="P579">
            <v>0</v>
          </cell>
          <cell r="Q579">
            <v>8</v>
          </cell>
          <cell r="R579">
            <v>0</v>
          </cell>
          <cell r="AF579" t="str">
            <v>-</v>
          </cell>
          <cell r="AG579">
            <v>0</v>
          </cell>
          <cell r="AH579">
            <v>30</v>
          </cell>
          <cell r="AI579">
            <v>0</v>
          </cell>
          <cell r="AJ579">
            <v>0</v>
          </cell>
        </row>
        <row r="580">
          <cell r="A580">
            <v>168982</v>
          </cell>
          <cell r="B580">
            <v>37726</v>
          </cell>
          <cell r="D580" t="str">
            <v>ENTEL CHILE - 1600001804</v>
          </cell>
          <cell r="E580">
            <v>3663799</v>
          </cell>
          <cell r="F580">
            <v>8088827</v>
          </cell>
          <cell r="G580">
            <v>2612008</v>
          </cell>
          <cell r="H580">
            <v>37729</v>
          </cell>
          <cell r="I580">
            <v>0.54</v>
          </cell>
          <cell r="J580">
            <v>1</v>
          </cell>
          <cell r="K580">
            <v>22</v>
          </cell>
          <cell r="M580" t="str">
            <v>CISCO828</v>
          </cell>
          <cell r="N580" t="str">
            <v>Cisco 828 G.SHDSL Router 1E, 1G.SHDSL</v>
          </cell>
          <cell r="O580">
            <v>749</v>
          </cell>
          <cell r="P580">
            <v>344.53999999999996</v>
          </cell>
          <cell r="Q580">
            <v>1</v>
          </cell>
          <cell r="R580">
            <v>344.53999999999996</v>
          </cell>
          <cell r="AF580" t="str">
            <v>D</v>
          </cell>
          <cell r="AG580">
            <v>6.8907999999999996</v>
          </cell>
          <cell r="AH580">
            <v>26</v>
          </cell>
          <cell r="AI580">
            <v>389</v>
          </cell>
          <cell r="AJ580">
            <v>389</v>
          </cell>
        </row>
        <row r="581">
          <cell r="A581">
            <v>168982</v>
          </cell>
          <cell r="B581">
            <v>37726</v>
          </cell>
          <cell r="D581" t="str">
            <v>ENTEL CHILE - 1600001804</v>
          </cell>
          <cell r="E581">
            <v>3663799</v>
          </cell>
          <cell r="F581">
            <v>8088827</v>
          </cell>
          <cell r="G581">
            <v>2612008</v>
          </cell>
          <cell r="H581">
            <v>37729</v>
          </cell>
          <cell r="I581">
            <v>0.54</v>
          </cell>
          <cell r="J581">
            <v>1</v>
          </cell>
          <cell r="K581">
            <v>22.1</v>
          </cell>
          <cell r="M581" t="str">
            <v>CAB-ACI</v>
          </cell>
          <cell r="N581" t="str">
            <v>Power Cord-Italian</v>
          </cell>
          <cell r="O581">
            <v>0</v>
          </cell>
          <cell r="P581">
            <v>0</v>
          </cell>
          <cell r="Q581">
            <v>1</v>
          </cell>
          <cell r="R581">
            <v>0</v>
          </cell>
          <cell r="AF581" t="str">
            <v>-</v>
          </cell>
          <cell r="AG581">
            <v>0</v>
          </cell>
          <cell r="AH581">
            <v>26</v>
          </cell>
          <cell r="AI581">
            <v>0</v>
          </cell>
          <cell r="AJ581">
            <v>0</v>
          </cell>
        </row>
        <row r="582">
          <cell r="A582">
            <v>168982</v>
          </cell>
          <cell r="B582">
            <v>37726</v>
          </cell>
          <cell r="D582" t="str">
            <v>ENTEL CHILE - 1600001804</v>
          </cell>
          <cell r="E582">
            <v>3663799</v>
          </cell>
          <cell r="F582">
            <v>8088827</v>
          </cell>
          <cell r="G582">
            <v>2612008</v>
          </cell>
          <cell r="H582">
            <v>37729</v>
          </cell>
          <cell r="I582">
            <v>0.54</v>
          </cell>
          <cell r="J582">
            <v>1</v>
          </cell>
          <cell r="K582">
            <v>22.2</v>
          </cell>
          <cell r="M582" t="str">
            <v>MEM820-16U32D</v>
          </cell>
          <cell r="N582" t="str">
            <v>Cisco 820/806 DRAM upgrade 16Mbyte-32Mbyte</v>
          </cell>
          <cell r="O582">
            <v>0</v>
          </cell>
          <cell r="P582">
            <v>0</v>
          </cell>
          <cell r="Q582">
            <v>1</v>
          </cell>
          <cell r="R582">
            <v>0</v>
          </cell>
          <cell r="AF582" t="str">
            <v>D</v>
          </cell>
          <cell r="AG582">
            <v>0</v>
          </cell>
          <cell r="AH582">
            <v>26</v>
          </cell>
          <cell r="AI582">
            <v>0</v>
          </cell>
          <cell r="AJ582">
            <v>0</v>
          </cell>
        </row>
        <row r="583">
          <cell r="A583">
            <v>168982</v>
          </cell>
          <cell r="B583">
            <v>37726</v>
          </cell>
          <cell r="D583" t="str">
            <v>ENTEL CHILE - 1600001804</v>
          </cell>
          <cell r="E583">
            <v>3663799</v>
          </cell>
          <cell r="F583">
            <v>8088827</v>
          </cell>
          <cell r="G583">
            <v>2612008</v>
          </cell>
          <cell r="H583">
            <v>37729</v>
          </cell>
          <cell r="I583">
            <v>0.54</v>
          </cell>
          <cell r="J583">
            <v>1</v>
          </cell>
          <cell r="K583">
            <v>22.3</v>
          </cell>
          <cell r="M583" t="str">
            <v>S828CH-12208YM</v>
          </cell>
          <cell r="N583" t="str">
            <v>Cisco 828 Series IOS IP/FW</v>
          </cell>
          <cell r="O583">
            <v>0</v>
          </cell>
          <cell r="P583">
            <v>0</v>
          </cell>
          <cell r="Q583">
            <v>1</v>
          </cell>
          <cell r="R583">
            <v>0</v>
          </cell>
          <cell r="AF583" t="str">
            <v>D</v>
          </cell>
          <cell r="AG583">
            <v>0</v>
          </cell>
          <cell r="AH583">
            <v>26</v>
          </cell>
          <cell r="AI583">
            <v>0</v>
          </cell>
          <cell r="AJ583">
            <v>0</v>
          </cell>
        </row>
        <row r="584">
          <cell r="A584">
            <v>168982</v>
          </cell>
          <cell r="B584">
            <v>37726</v>
          </cell>
          <cell r="D584" t="str">
            <v>ENTEL CHILE - 1600001804</v>
          </cell>
          <cell r="E584">
            <v>3663799</v>
          </cell>
          <cell r="F584">
            <v>8088827</v>
          </cell>
          <cell r="G584">
            <v>2612008</v>
          </cell>
          <cell r="H584">
            <v>37729</v>
          </cell>
          <cell r="I584">
            <v>0.54</v>
          </cell>
          <cell r="J584">
            <v>1</v>
          </cell>
          <cell r="K584">
            <v>23</v>
          </cell>
          <cell r="M584" t="str">
            <v>WIC-1SHDSL=</v>
          </cell>
          <cell r="N584" t="str">
            <v>1-Port G.SHDSL WIC</v>
          </cell>
          <cell r="O584">
            <v>950</v>
          </cell>
          <cell r="P584">
            <v>436.99999999999994</v>
          </cell>
          <cell r="Q584">
            <v>3</v>
          </cell>
          <cell r="R584">
            <v>1310.9999999999998</v>
          </cell>
          <cell r="AF584" t="str">
            <v>C</v>
          </cell>
          <cell r="AG584">
            <v>98.324999999999974</v>
          </cell>
          <cell r="AH584">
            <v>29</v>
          </cell>
          <cell r="AI584">
            <v>494</v>
          </cell>
          <cell r="AJ584">
            <v>1482</v>
          </cell>
        </row>
        <row r="585">
          <cell r="A585">
            <v>168982</v>
          </cell>
          <cell r="B585">
            <v>37726</v>
          </cell>
          <cell r="D585" t="str">
            <v>ENTEL CHILE - 1600001804</v>
          </cell>
          <cell r="E585">
            <v>3663799</v>
          </cell>
          <cell r="F585">
            <v>8088827</v>
          </cell>
          <cell r="G585">
            <v>2612008</v>
          </cell>
          <cell r="H585">
            <v>37729</v>
          </cell>
          <cell r="I585">
            <v>0.54</v>
          </cell>
          <cell r="J585">
            <v>1</v>
          </cell>
          <cell r="K585">
            <v>24</v>
          </cell>
          <cell r="M585" t="str">
            <v>PVDM-256K-4</v>
          </cell>
          <cell r="N585" t="str">
            <v>4-Channel Packet Voice/Fax DSP Module</v>
          </cell>
          <cell r="O585">
            <v>400</v>
          </cell>
          <cell r="P585">
            <v>184</v>
          </cell>
          <cell r="Q585">
            <v>5</v>
          </cell>
          <cell r="R585">
            <v>920</v>
          </cell>
          <cell r="AF585" t="str">
            <v>D</v>
          </cell>
          <cell r="AG585">
            <v>18.400000000000002</v>
          </cell>
          <cell r="AH585">
            <v>9</v>
          </cell>
          <cell r="AI585">
            <v>208</v>
          </cell>
          <cell r="AJ585">
            <v>1040</v>
          </cell>
        </row>
        <row r="586">
          <cell r="A586">
            <v>168982</v>
          </cell>
          <cell r="B586">
            <v>37726</v>
          </cell>
          <cell r="D586" t="str">
            <v>ENTEL CHILE - 1600001804</v>
          </cell>
          <cell r="E586">
            <v>3663799</v>
          </cell>
          <cell r="F586">
            <v>8088827</v>
          </cell>
          <cell r="G586">
            <v>2612008</v>
          </cell>
          <cell r="H586">
            <v>37729</v>
          </cell>
          <cell r="I586">
            <v>0.54</v>
          </cell>
          <cell r="J586">
            <v>1</v>
          </cell>
          <cell r="K586">
            <v>25</v>
          </cell>
          <cell r="M586" t="str">
            <v>CISCO2610XM</v>
          </cell>
          <cell r="N586" t="str">
            <v>10/100 Ethernet Router w/ Cisco IOS IP</v>
          </cell>
          <cell r="O586">
            <v>1995</v>
          </cell>
          <cell r="P586">
            <v>917.69999999999993</v>
          </cell>
          <cell r="Q586">
            <v>8</v>
          </cell>
          <cell r="R586">
            <v>7341.5999999999995</v>
          </cell>
          <cell r="AF586" t="str">
            <v>C</v>
          </cell>
          <cell r="AG586">
            <v>550.61999999999989</v>
          </cell>
          <cell r="AH586">
            <v>5</v>
          </cell>
          <cell r="AI586">
            <v>1037</v>
          </cell>
          <cell r="AJ586">
            <v>8296</v>
          </cell>
        </row>
        <row r="587">
          <cell r="A587">
            <v>168982</v>
          </cell>
          <cell r="B587">
            <v>37726</v>
          </cell>
          <cell r="D587" t="str">
            <v>ENTEL CHILE - 1600001804</v>
          </cell>
          <cell r="E587">
            <v>3663799</v>
          </cell>
          <cell r="F587">
            <v>8088827</v>
          </cell>
          <cell r="G587">
            <v>2612008</v>
          </cell>
          <cell r="H587">
            <v>37729</v>
          </cell>
          <cell r="I587">
            <v>0.54</v>
          </cell>
          <cell r="J587">
            <v>1</v>
          </cell>
          <cell r="K587">
            <v>25.1</v>
          </cell>
          <cell r="M587" t="str">
            <v>CAB-ACI</v>
          </cell>
          <cell r="N587" t="str">
            <v>Power Cord-Italian</v>
          </cell>
          <cell r="O587">
            <v>0</v>
          </cell>
          <cell r="P587">
            <v>0</v>
          </cell>
          <cell r="Q587">
            <v>8</v>
          </cell>
          <cell r="R587">
            <v>0</v>
          </cell>
          <cell r="AF587" t="str">
            <v>-</v>
          </cell>
          <cell r="AG587">
            <v>0</v>
          </cell>
          <cell r="AH587">
            <v>5</v>
          </cell>
          <cell r="AI587">
            <v>0</v>
          </cell>
          <cell r="AJ587">
            <v>0</v>
          </cell>
        </row>
        <row r="588">
          <cell r="A588">
            <v>168982</v>
          </cell>
          <cell r="B588">
            <v>37726</v>
          </cell>
          <cell r="D588" t="str">
            <v>ENTEL CHILE - 1600001804</v>
          </cell>
          <cell r="E588">
            <v>3663799</v>
          </cell>
          <cell r="F588">
            <v>8088827</v>
          </cell>
          <cell r="G588">
            <v>2612008</v>
          </cell>
          <cell r="H588">
            <v>37729</v>
          </cell>
          <cell r="I588">
            <v>0.54</v>
          </cell>
          <cell r="J588">
            <v>1</v>
          </cell>
          <cell r="K588">
            <v>25.2</v>
          </cell>
          <cell r="M588" t="str">
            <v>S26C-12208T</v>
          </cell>
          <cell r="N588" t="str">
            <v>Cisco 2600 Series IOS IP</v>
          </cell>
          <cell r="O588">
            <v>0</v>
          </cell>
          <cell r="P588">
            <v>0</v>
          </cell>
          <cell r="Q588">
            <v>8</v>
          </cell>
          <cell r="R588">
            <v>0</v>
          </cell>
          <cell r="AF588" t="str">
            <v>C</v>
          </cell>
          <cell r="AG588">
            <v>0</v>
          </cell>
          <cell r="AH588">
            <v>5</v>
          </cell>
          <cell r="AI588">
            <v>0</v>
          </cell>
          <cell r="AJ588">
            <v>0</v>
          </cell>
        </row>
        <row r="589">
          <cell r="A589">
            <v>168982</v>
          </cell>
          <cell r="B589">
            <v>37726</v>
          </cell>
          <cell r="D589" t="str">
            <v>ENTEL CHILE - 1600001804</v>
          </cell>
          <cell r="E589">
            <v>3663799</v>
          </cell>
          <cell r="F589">
            <v>8088827</v>
          </cell>
          <cell r="G589">
            <v>2612008</v>
          </cell>
          <cell r="H589">
            <v>37729</v>
          </cell>
          <cell r="I589">
            <v>0.54</v>
          </cell>
          <cell r="J589">
            <v>1</v>
          </cell>
          <cell r="K589">
            <v>25.3</v>
          </cell>
          <cell r="M589" t="str">
            <v>MEM2600XM-32D-INC</v>
          </cell>
          <cell r="N589" t="str">
            <v>Dram memory factory default</v>
          </cell>
          <cell r="O589">
            <v>0</v>
          </cell>
          <cell r="P589">
            <v>0</v>
          </cell>
          <cell r="Q589">
            <v>8</v>
          </cell>
          <cell r="R589">
            <v>0</v>
          </cell>
          <cell r="AF589" t="str">
            <v>-</v>
          </cell>
          <cell r="AG589">
            <v>0</v>
          </cell>
          <cell r="AH589">
            <v>5</v>
          </cell>
          <cell r="AI589">
            <v>0</v>
          </cell>
          <cell r="AJ589">
            <v>0</v>
          </cell>
        </row>
        <row r="590">
          <cell r="A590">
            <v>168982</v>
          </cell>
          <cell r="B590">
            <v>37726</v>
          </cell>
          <cell r="D590" t="str">
            <v>ENTEL CHILE - 1600001804</v>
          </cell>
          <cell r="E590">
            <v>3663799</v>
          </cell>
          <cell r="F590">
            <v>8088827</v>
          </cell>
          <cell r="G590">
            <v>2612008</v>
          </cell>
          <cell r="H590">
            <v>37729</v>
          </cell>
          <cell r="I590">
            <v>0.54</v>
          </cell>
          <cell r="J590">
            <v>1</v>
          </cell>
          <cell r="K590">
            <v>25.4</v>
          </cell>
          <cell r="M590" t="str">
            <v>MEM2600XM-16FS-INC</v>
          </cell>
          <cell r="N590" t="str">
            <v>16 MB Flash factory default</v>
          </cell>
          <cell r="O590">
            <v>0</v>
          </cell>
          <cell r="P590">
            <v>0</v>
          </cell>
          <cell r="Q590">
            <v>8</v>
          </cell>
          <cell r="R590">
            <v>0</v>
          </cell>
          <cell r="AF590" t="str">
            <v>-</v>
          </cell>
          <cell r="AG590">
            <v>0</v>
          </cell>
          <cell r="AH590">
            <v>5</v>
          </cell>
          <cell r="AI590">
            <v>0</v>
          </cell>
          <cell r="AJ590">
            <v>0</v>
          </cell>
        </row>
        <row r="591">
          <cell r="A591">
            <v>168982</v>
          </cell>
          <cell r="B591">
            <v>37726</v>
          </cell>
          <cell r="D591" t="str">
            <v>ENTEL CHILE - 1600001804</v>
          </cell>
          <cell r="E591">
            <v>3663799</v>
          </cell>
          <cell r="F591">
            <v>8088827</v>
          </cell>
          <cell r="G591">
            <v>2612008</v>
          </cell>
          <cell r="H591">
            <v>37729</v>
          </cell>
          <cell r="I591">
            <v>0.54</v>
          </cell>
          <cell r="J591">
            <v>1</v>
          </cell>
          <cell r="K591">
            <v>26</v>
          </cell>
          <cell r="M591" t="str">
            <v>CISCO2611XM</v>
          </cell>
          <cell r="N591" t="str">
            <v>Dual 10/100 Ethernet Router w/ Cisco IOS IP</v>
          </cell>
          <cell r="O591">
            <v>2495</v>
          </cell>
          <cell r="P591">
            <v>1147.6999999999998</v>
          </cell>
          <cell r="Q591">
            <v>10</v>
          </cell>
          <cell r="R591">
            <v>11476.999999999998</v>
          </cell>
          <cell r="AF591" t="str">
            <v>C</v>
          </cell>
          <cell r="AG591">
            <v>860.77499999999986</v>
          </cell>
          <cell r="AH591">
            <v>23</v>
          </cell>
          <cell r="AI591">
            <v>1297</v>
          </cell>
          <cell r="AJ591">
            <v>12970</v>
          </cell>
        </row>
        <row r="592">
          <cell r="A592">
            <v>168982</v>
          </cell>
          <cell r="B592">
            <v>37726</v>
          </cell>
          <cell r="D592" t="str">
            <v>ENTEL CHILE - 1600001804</v>
          </cell>
          <cell r="E592">
            <v>3663799</v>
          </cell>
          <cell r="F592">
            <v>8088827</v>
          </cell>
          <cell r="G592">
            <v>2612008</v>
          </cell>
          <cell r="H592">
            <v>37729</v>
          </cell>
          <cell r="I592">
            <v>0.54</v>
          </cell>
          <cell r="J592">
            <v>1</v>
          </cell>
          <cell r="K592">
            <v>26.1</v>
          </cell>
          <cell r="M592" t="str">
            <v>CAB-ACI</v>
          </cell>
          <cell r="N592" t="str">
            <v>Power Cord-Italian</v>
          </cell>
          <cell r="O592">
            <v>0</v>
          </cell>
          <cell r="P592">
            <v>0</v>
          </cell>
          <cell r="Q592">
            <v>10</v>
          </cell>
          <cell r="R592">
            <v>0</v>
          </cell>
          <cell r="AF592" t="str">
            <v>-</v>
          </cell>
          <cell r="AG592">
            <v>0</v>
          </cell>
          <cell r="AH592">
            <v>23</v>
          </cell>
          <cell r="AI592">
            <v>0</v>
          </cell>
          <cell r="AJ592">
            <v>0</v>
          </cell>
        </row>
        <row r="593">
          <cell r="A593">
            <v>168982</v>
          </cell>
          <cell r="B593">
            <v>37726</v>
          </cell>
          <cell r="D593" t="str">
            <v>ENTEL CHILE - 1600001804</v>
          </cell>
          <cell r="E593">
            <v>3663799</v>
          </cell>
          <cell r="F593">
            <v>8088827</v>
          </cell>
          <cell r="G593">
            <v>2612008</v>
          </cell>
          <cell r="H593">
            <v>37729</v>
          </cell>
          <cell r="I593">
            <v>0.54</v>
          </cell>
          <cell r="J593">
            <v>1</v>
          </cell>
          <cell r="K593">
            <v>26.2</v>
          </cell>
          <cell r="M593" t="str">
            <v>S26C-12208T</v>
          </cell>
          <cell r="N593" t="str">
            <v>Cisco 2600 Series IOS IP</v>
          </cell>
          <cell r="O593">
            <v>0</v>
          </cell>
          <cell r="P593">
            <v>0</v>
          </cell>
          <cell r="Q593">
            <v>10</v>
          </cell>
          <cell r="R593">
            <v>0</v>
          </cell>
          <cell r="AF593" t="str">
            <v>C</v>
          </cell>
          <cell r="AG593">
            <v>0</v>
          </cell>
          <cell r="AH593">
            <v>23</v>
          </cell>
          <cell r="AI593">
            <v>0</v>
          </cell>
          <cell r="AJ593">
            <v>0</v>
          </cell>
        </row>
        <row r="594">
          <cell r="A594">
            <v>168982</v>
          </cell>
          <cell r="B594">
            <v>37726</v>
          </cell>
          <cell r="D594" t="str">
            <v>ENTEL CHILE - 1600001804</v>
          </cell>
          <cell r="E594">
            <v>3663799</v>
          </cell>
          <cell r="F594">
            <v>8088827</v>
          </cell>
          <cell r="G594">
            <v>2612008</v>
          </cell>
          <cell r="H594">
            <v>37729</v>
          </cell>
          <cell r="I594">
            <v>0.54</v>
          </cell>
          <cell r="J594">
            <v>1</v>
          </cell>
          <cell r="K594">
            <v>26.3</v>
          </cell>
          <cell r="M594" t="str">
            <v>MEM2600XM-32D-INC</v>
          </cell>
          <cell r="N594" t="e">
            <v>#N/A</v>
          </cell>
          <cell r="O594">
            <v>0</v>
          </cell>
          <cell r="P594">
            <v>0</v>
          </cell>
          <cell r="Q594">
            <v>10</v>
          </cell>
          <cell r="R594">
            <v>0</v>
          </cell>
          <cell r="AF594" t="str">
            <v>-</v>
          </cell>
          <cell r="AG594">
            <v>0</v>
          </cell>
          <cell r="AH594">
            <v>23</v>
          </cell>
          <cell r="AI594">
            <v>0</v>
          </cell>
          <cell r="AJ594">
            <v>0</v>
          </cell>
        </row>
        <row r="595">
          <cell r="A595">
            <v>168982</v>
          </cell>
          <cell r="B595">
            <v>37726</v>
          </cell>
          <cell r="D595" t="str">
            <v>ENTEL CHILE - 1600001804</v>
          </cell>
          <cell r="E595">
            <v>3663799</v>
          </cell>
          <cell r="F595">
            <v>8088827</v>
          </cell>
          <cell r="G595">
            <v>2612008</v>
          </cell>
          <cell r="H595">
            <v>37729</v>
          </cell>
          <cell r="I595">
            <v>0.54</v>
          </cell>
          <cell r="J595">
            <v>1</v>
          </cell>
          <cell r="K595">
            <v>26.4</v>
          </cell>
          <cell r="M595" t="str">
            <v>MEM2600XM-16FS-INC</v>
          </cell>
          <cell r="N595" t="e">
            <v>#N/A</v>
          </cell>
          <cell r="O595">
            <v>0</v>
          </cell>
          <cell r="P595">
            <v>0</v>
          </cell>
          <cell r="Q595">
            <v>10</v>
          </cell>
          <cell r="R595">
            <v>0</v>
          </cell>
          <cell r="AF595" t="str">
            <v>-</v>
          </cell>
          <cell r="AG595">
            <v>0</v>
          </cell>
          <cell r="AH595">
            <v>23</v>
          </cell>
          <cell r="AI595">
            <v>0</v>
          </cell>
          <cell r="AJ595">
            <v>0</v>
          </cell>
        </row>
        <row r="596">
          <cell r="A596">
            <v>168982</v>
          </cell>
          <cell r="B596">
            <v>37726</v>
          </cell>
          <cell r="D596" t="str">
            <v>ENTEL CHILE - 1600001804</v>
          </cell>
          <cell r="E596">
            <v>3663799</v>
          </cell>
          <cell r="F596">
            <v>8088827</v>
          </cell>
          <cell r="G596">
            <v>2612008</v>
          </cell>
          <cell r="H596">
            <v>37729</v>
          </cell>
          <cell r="I596">
            <v>0.54</v>
          </cell>
          <cell r="J596">
            <v>3</v>
          </cell>
          <cell r="K596">
            <v>27</v>
          </cell>
          <cell r="M596" t="str">
            <v>WS-C3550-24-SMI</v>
          </cell>
          <cell r="N596" t="str">
            <v>24-10/100 and 2 GBIC ports:Std Multilayer SW Image</v>
          </cell>
          <cell r="O596">
            <v>2995</v>
          </cell>
          <cell r="P596">
            <v>1377.6999999999998</v>
          </cell>
          <cell r="Q596">
            <v>1</v>
          </cell>
          <cell r="R596">
            <v>1377.6999999999998</v>
          </cell>
          <cell r="AF596" t="str">
            <v>D</v>
          </cell>
          <cell r="AG596">
            <v>27.553999999999998</v>
          </cell>
          <cell r="AH596">
            <v>18</v>
          </cell>
          <cell r="AI596">
            <v>1557</v>
          </cell>
          <cell r="AJ596">
            <v>1557</v>
          </cell>
        </row>
        <row r="597">
          <cell r="A597">
            <v>168982</v>
          </cell>
          <cell r="B597">
            <v>37726</v>
          </cell>
          <cell r="D597" t="str">
            <v>ENTEL CHILE - 1600001804</v>
          </cell>
          <cell r="E597">
            <v>3663799</v>
          </cell>
          <cell r="F597">
            <v>8088827</v>
          </cell>
          <cell r="G597">
            <v>2612008</v>
          </cell>
          <cell r="H597">
            <v>37729</v>
          </cell>
          <cell r="I597">
            <v>0.54</v>
          </cell>
          <cell r="J597">
            <v>3</v>
          </cell>
          <cell r="K597">
            <v>27.1</v>
          </cell>
          <cell r="M597" t="str">
            <v>CAB-ACI</v>
          </cell>
          <cell r="N597" t="str">
            <v>Power Cord-Italian</v>
          </cell>
          <cell r="O597">
            <v>0</v>
          </cell>
          <cell r="P597">
            <v>0</v>
          </cell>
          <cell r="Q597">
            <v>1</v>
          </cell>
          <cell r="R597">
            <v>0</v>
          </cell>
          <cell r="AF597" t="str">
            <v>-</v>
          </cell>
          <cell r="AG597">
            <v>0</v>
          </cell>
          <cell r="AH597">
            <v>18</v>
          </cell>
          <cell r="AI597">
            <v>0</v>
          </cell>
          <cell r="AJ597">
            <v>0</v>
          </cell>
        </row>
        <row r="598">
          <cell r="A598">
            <v>168982</v>
          </cell>
          <cell r="B598">
            <v>37726</v>
          </cell>
          <cell r="D598" t="str">
            <v>ENTEL CHILE - 1600001804</v>
          </cell>
          <cell r="E598">
            <v>3663799</v>
          </cell>
          <cell r="F598">
            <v>8088827</v>
          </cell>
          <cell r="G598">
            <v>2612008</v>
          </cell>
          <cell r="H598">
            <v>37729</v>
          </cell>
          <cell r="I598">
            <v>0.54</v>
          </cell>
          <cell r="J598">
            <v>1</v>
          </cell>
          <cell r="K598">
            <v>28</v>
          </cell>
          <cell r="M598" t="str">
            <v>WIC-1T</v>
          </cell>
          <cell r="N598" t="str">
            <v>1-Port Serial WAN Interface Card</v>
          </cell>
          <cell r="O598">
            <v>400</v>
          </cell>
          <cell r="P598">
            <v>184</v>
          </cell>
          <cell r="Q598">
            <v>20</v>
          </cell>
          <cell r="R598">
            <v>3680</v>
          </cell>
          <cell r="AF598" t="str">
            <v>D</v>
          </cell>
          <cell r="AG598">
            <v>73.600000000000009</v>
          </cell>
          <cell r="AH598">
            <v>20</v>
          </cell>
          <cell r="AI598">
            <v>208</v>
          </cell>
          <cell r="AJ598">
            <v>4160</v>
          </cell>
        </row>
        <row r="599">
          <cell r="A599">
            <v>168982</v>
          </cell>
          <cell r="B599">
            <v>37726</v>
          </cell>
          <cell r="D599" t="str">
            <v>ENTEL CHILE - 1600001804</v>
          </cell>
          <cell r="E599">
            <v>3663799</v>
          </cell>
          <cell r="F599">
            <v>8088827</v>
          </cell>
          <cell r="G599">
            <v>2612008</v>
          </cell>
          <cell r="H599">
            <v>37729</v>
          </cell>
          <cell r="I599">
            <v>0.54</v>
          </cell>
          <cell r="J599">
            <v>1</v>
          </cell>
          <cell r="K599">
            <v>29</v>
          </cell>
          <cell r="M599" t="str">
            <v>WIC-1ENET=</v>
          </cell>
          <cell r="N599" t="str">
            <v>Single-Port Ethernet WAN Interface Card</v>
          </cell>
          <cell r="O599">
            <v>300</v>
          </cell>
          <cell r="P599">
            <v>138</v>
          </cell>
          <cell r="Q599">
            <v>3</v>
          </cell>
          <cell r="R599">
            <v>414</v>
          </cell>
          <cell r="AF599" t="str">
            <v>D</v>
          </cell>
          <cell r="AG599">
            <v>8.2799999999999994</v>
          </cell>
          <cell r="AH599">
            <v>21</v>
          </cell>
          <cell r="AI599">
            <v>156</v>
          </cell>
          <cell r="AJ599">
            <v>468</v>
          </cell>
        </row>
        <row r="600">
          <cell r="A600">
            <v>168982</v>
          </cell>
          <cell r="B600">
            <v>37726</v>
          </cell>
          <cell r="D600" t="str">
            <v>ENTEL CHILE - 1600001804</v>
          </cell>
          <cell r="E600">
            <v>3663799</v>
          </cell>
          <cell r="F600">
            <v>8088827</v>
          </cell>
          <cell r="G600">
            <v>2612008</v>
          </cell>
          <cell r="H600">
            <v>37729</v>
          </cell>
          <cell r="I600">
            <v>0.54</v>
          </cell>
          <cell r="J600">
            <v>2</v>
          </cell>
          <cell r="K600">
            <v>30</v>
          </cell>
          <cell r="M600" t="str">
            <v>CISCO1760-V</v>
          </cell>
          <cell r="N600" t="str">
            <v>10/100 Modular Router w/Voice,19 inch Chassis</v>
          </cell>
          <cell r="O600">
            <v>2595</v>
          </cell>
          <cell r="P600">
            <v>1193.6999999999998</v>
          </cell>
          <cell r="Q600">
            <v>5</v>
          </cell>
          <cell r="R600">
            <v>5968.4999999999991</v>
          </cell>
          <cell r="AF600" t="str">
            <v>D</v>
          </cell>
          <cell r="AG600">
            <v>119.36999999999999</v>
          </cell>
          <cell r="AH600">
            <v>25</v>
          </cell>
          <cell r="AI600">
            <v>1349</v>
          </cell>
          <cell r="AJ600">
            <v>6745</v>
          </cell>
        </row>
        <row r="601">
          <cell r="A601">
            <v>168982</v>
          </cell>
          <cell r="B601">
            <v>37726</v>
          </cell>
          <cell r="D601" t="str">
            <v>ENTEL CHILE - 1600001804</v>
          </cell>
          <cell r="E601">
            <v>3663799</v>
          </cell>
          <cell r="F601">
            <v>8088827</v>
          </cell>
          <cell r="G601">
            <v>2612008</v>
          </cell>
          <cell r="H601">
            <v>37729</v>
          </cell>
          <cell r="I601">
            <v>0.54</v>
          </cell>
          <cell r="J601">
            <v>2</v>
          </cell>
          <cell r="K601">
            <v>30.1</v>
          </cell>
          <cell r="M601" t="str">
            <v>CAB-ACI</v>
          </cell>
          <cell r="N601" t="str">
            <v>Power Cord-Italian</v>
          </cell>
          <cell r="O601">
            <v>0</v>
          </cell>
          <cell r="P601">
            <v>0</v>
          </cell>
          <cell r="Q601">
            <v>5</v>
          </cell>
          <cell r="R601">
            <v>0</v>
          </cell>
          <cell r="AF601" t="str">
            <v>-</v>
          </cell>
          <cell r="AG601">
            <v>0</v>
          </cell>
          <cell r="AH601">
            <v>25</v>
          </cell>
          <cell r="AI601">
            <v>0</v>
          </cell>
          <cell r="AJ601">
            <v>0</v>
          </cell>
        </row>
        <row r="602">
          <cell r="A602">
            <v>168982</v>
          </cell>
          <cell r="B602">
            <v>37726</v>
          </cell>
          <cell r="D602" t="str">
            <v>ENTEL CHILE - 1600001804</v>
          </cell>
          <cell r="E602">
            <v>3663799</v>
          </cell>
          <cell r="F602">
            <v>8088827</v>
          </cell>
          <cell r="G602">
            <v>2612008</v>
          </cell>
          <cell r="H602">
            <v>37729</v>
          </cell>
          <cell r="I602">
            <v>0.54</v>
          </cell>
          <cell r="J602">
            <v>2</v>
          </cell>
          <cell r="K602">
            <v>30.2</v>
          </cell>
          <cell r="M602" t="str">
            <v>S17CV8P-12208YJ</v>
          </cell>
          <cell r="N602" t="str">
            <v>Cisco 1700 IOS IP/VOX PLUS</v>
          </cell>
          <cell r="O602">
            <v>0</v>
          </cell>
          <cell r="P602">
            <v>0</v>
          </cell>
          <cell r="Q602">
            <v>5</v>
          </cell>
          <cell r="R602">
            <v>0</v>
          </cell>
          <cell r="AF602" t="str">
            <v>D</v>
          </cell>
          <cell r="AG602">
            <v>0</v>
          </cell>
          <cell r="AH602">
            <v>25</v>
          </cell>
          <cell r="AI602">
            <v>0</v>
          </cell>
          <cell r="AJ602">
            <v>0</v>
          </cell>
        </row>
        <row r="603">
          <cell r="A603">
            <v>168982</v>
          </cell>
          <cell r="B603">
            <v>37726</v>
          </cell>
          <cell r="D603" t="str">
            <v>ENTEL CHILE - 1600001804</v>
          </cell>
          <cell r="E603">
            <v>3663799</v>
          </cell>
          <cell r="F603">
            <v>8088827</v>
          </cell>
          <cell r="G603">
            <v>2612008</v>
          </cell>
          <cell r="H603">
            <v>37729</v>
          </cell>
          <cell r="I603">
            <v>0.54</v>
          </cell>
          <cell r="J603">
            <v>2</v>
          </cell>
          <cell r="K603">
            <v>30.3</v>
          </cell>
          <cell r="M603" t="str">
            <v>MEM1700-16U32MFS</v>
          </cell>
          <cell r="N603" t="str">
            <v>Cisco 1700 16MB to 32MB Flash SIMM Factory Upgrade</v>
          </cell>
          <cell r="O603">
            <v>0</v>
          </cell>
          <cell r="P603">
            <v>0</v>
          </cell>
          <cell r="Q603">
            <v>5</v>
          </cell>
          <cell r="R603">
            <v>0</v>
          </cell>
          <cell r="AF603" t="str">
            <v>D</v>
          </cell>
          <cell r="AG603">
            <v>0</v>
          </cell>
          <cell r="AH603">
            <v>25</v>
          </cell>
          <cell r="AI603">
            <v>0</v>
          </cell>
          <cell r="AJ603">
            <v>0</v>
          </cell>
        </row>
        <row r="604">
          <cell r="A604">
            <v>168982</v>
          </cell>
          <cell r="B604">
            <v>37726</v>
          </cell>
          <cell r="D604" t="str">
            <v>ENTEL CHILE - 1600001804</v>
          </cell>
          <cell r="E604">
            <v>3663799</v>
          </cell>
          <cell r="F604">
            <v>8088827</v>
          </cell>
          <cell r="G604">
            <v>2612008</v>
          </cell>
          <cell r="H604">
            <v>37729</v>
          </cell>
          <cell r="I604">
            <v>0.54</v>
          </cell>
          <cell r="J604">
            <v>2</v>
          </cell>
          <cell r="K604">
            <v>30.41</v>
          </cell>
          <cell r="M604" t="str">
            <v>MEM1700-32U64D</v>
          </cell>
          <cell r="N604" t="str">
            <v>Cisco 1700 32MB to 64MB DRAM Factory Upgrade</v>
          </cell>
          <cell r="O604">
            <v>0</v>
          </cell>
          <cell r="P604">
            <v>0</v>
          </cell>
          <cell r="Q604">
            <v>5</v>
          </cell>
          <cell r="R604">
            <v>0</v>
          </cell>
          <cell r="AF604" t="str">
            <v>D</v>
          </cell>
          <cell r="AG604">
            <v>0</v>
          </cell>
          <cell r="AH604">
            <v>25</v>
          </cell>
          <cell r="AI604">
            <v>0</v>
          </cell>
          <cell r="AJ604">
            <v>0</v>
          </cell>
        </row>
        <row r="605">
          <cell r="A605">
            <v>168982</v>
          </cell>
          <cell r="B605">
            <v>37726</v>
          </cell>
          <cell r="D605" t="str">
            <v>ENTEL CHILE - 1600001804</v>
          </cell>
          <cell r="E605">
            <v>3663799</v>
          </cell>
          <cell r="F605">
            <v>8088827</v>
          </cell>
          <cell r="G605">
            <v>2612008</v>
          </cell>
          <cell r="H605">
            <v>37729</v>
          </cell>
          <cell r="I605">
            <v>0.54</v>
          </cell>
          <cell r="J605">
            <v>2</v>
          </cell>
          <cell r="K605">
            <v>30.5</v>
          </cell>
          <cell r="M605" t="str">
            <v>PVDM-256K-4</v>
          </cell>
          <cell r="N605" t="str">
            <v>4-Channel Packet Voice/Fax DSP Module</v>
          </cell>
          <cell r="O605">
            <v>0</v>
          </cell>
          <cell r="P605">
            <v>0</v>
          </cell>
          <cell r="Q605">
            <v>5</v>
          </cell>
          <cell r="R605">
            <v>0</v>
          </cell>
          <cell r="AF605" t="str">
            <v>D</v>
          </cell>
          <cell r="AG605">
            <v>0</v>
          </cell>
          <cell r="AH605">
            <v>25</v>
          </cell>
          <cell r="AI605">
            <v>0</v>
          </cell>
          <cell r="AJ605">
            <v>0</v>
          </cell>
        </row>
        <row r="606">
          <cell r="A606">
            <v>168982</v>
          </cell>
          <cell r="B606">
            <v>37726</v>
          </cell>
          <cell r="D606" t="str">
            <v>ENTEL CHILE - 1600001804</v>
          </cell>
          <cell r="E606">
            <v>3663799</v>
          </cell>
          <cell r="F606">
            <v>8088827</v>
          </cell>
          <cell r="G606">
            <v>2612008</v>
          </cell>
          <cell r="H606">
            <v>37729</v>
          </cell>
          <cell r="I606">
            <v>0.54</v>
          </cell>
          <cell r="J606">
            <v>1</v>
          </cell>
          <cell r="K606">
            <v>31</v>
          </cell>
          <cell r="M606" t="str">
            <v>CISCO1721</v>
          </cell>
          <cell r="N606" t="str">
            <v>10/100BaseT Modular Router w/2 WAN slots, 16M Flash/32M DRAM</v>
          </cell>
          <cell r="O606">
            <v>1195</v>
          </cell>
          <cell r="P606">
            <v>549.69999999999993</v>
          </cell>
          <cell r="Q606">
            <v>10</v>
          </cell>
          <cell r="R606">
            <v>5496.9999999999991</v>
          </cell>
          <cell r="AF606" t="str">
            <v>D</v>
          </cell>
          <cell r="AG606">
            <v>109.93999999999998</v>
          </cell>
          <cell r="AH606">
            <v>15</v>
          </cell>
          <cell r="AI606">
            <v>621</v>
          </cell>
          <cell r="AJ606">
            <v>6210</v>
          </cell>
        </row>
        <row r="607">
          <cell r="A607">
            <v>168982</v>
          </cell>
          <cell r="B607">
            <v>37726</v>
          </cell>
          <cell r="D607" t="str">
            <v>ENTEL CHILE - 1600001804</v>
          </cell>
          <cell r="E607">
            <v>3663799</v>
          </cell>
          <cell r="F607">
            <v>8088827</v>
          </cell>
          <cell r="G607">
            <v>2612008</v>
          </cell>
          <cell r="H607">
            <v>37729</v>
          </cell>
          <cell r="I607">
            <v>0.54</v>
          </cell>
          <cell r="J607">
            <v>1</v>
          </cell>
          <cell r="K607">
            <v>31.1</v>
          </cell>
          <cell r="M607" t="str">
            <v>CAB-ACI</v>
          </cell>
          <cell r="N607" t="str">
            <v>Power Cord-Italian</v>
          </cell>
          <cell r="O607">
            <v>0</v>
          </cell>
          <cell r="P607">
            <v>0</v>
          </cell>
          <cell r="Q607">
            <v>10</v>
          </cell>
          <cell r="R607">
            <v>0</v>
          </cell>
          <cell r="AF607" t="str">
            <v>-</v>
          </cell>
          <cell r="AG607">
            <v>0</v>
          </cell>
          <cell r="AH607">
            <v>15</v>
          </cell>
          <cell r="AI607">
            <v>0</v>
          </cell>
          <cell r="AJ607">
            <v>0</v>
          </cell>
        </row>
        <row r="608">
          <cell r="A608">
            <v>168982</v>
          </cell>
          <cell r="B608">
            <v>37726</v>
          </cell>
          <cell r="D608" t="str">
            <v>ENTEL CHILE - 1600001804</v>
          </cell>
          <cell r="E608">
            <v>3663799</v>
          </cell>
          <cell r="F608">
            <v>8088827</v>
          </cell>
          <cell r="G608">
            <v>2612008</v>
          </cell>
          <cell r="H608">
            <v>37729</v>
          </cell>
          <cell r="I608">
            <v>0.54</v>
          </cell>
          <cell r="J608">
            <v>1</v>
          </cell>
          <cell r="K608">
            <v>31.2</v>
          </cell>
          <cell r="M608" t="str">
            <v>S17C-12204YA</v>
          </cell>
          <cell r="N608" t="str">
            <v>Cisco 1700 IOS IP</v>
          </cell>
          <cell r="O608">
            <v>0</v>
          </cell>
          <cell r="P608">
            <v>0</v>
          </cell>
          <cell r="Q608">
            <v>10</v>
          </cell>
          <cell r="R608">
            <v>0</v>
          </cell>
          <cell r="AF608" t="str">
            <v>D</v>
          </cell>
          <cell r="AG608">
            <v>0</v>
          </cell>
          <cell r="AH608">
            <v>15</v>
          </cell>
          <cell r="AI608">
            <v>0</v>
          </cell>
          <cell r="AJ608">
            <v>0</v>
          </cell>
        </row>
        <row r="609">
          <cell r="A609">
            <v>168982</v>
          </cell>
          <cell r="B609">
            <v>37726</v>
          </cell>
          <cell r="D609" t="str">
            <v>ENTEL CHILE - 1600001804</v>
          </cell>
          <cell r="E609">
            <v>3663799</v>
          </cell>
          <cell r="F609">
            <v>8088827</v>
          </cell>
          <cell r="G609">
            <v>2612008</v>
          </cell>
          <cell r="H609">
            <v>37729</v>
          </cell>
          <cell r="I609">
            <v>0.54</v>
          </cell>
          <cell r="J609">
            <v>7</v>
          </cell>
          <cell r="K609">
            <v>32</v>
          </cell>
          <cell r="M609" t="str">
            <v>PWR-3660-AC</v>
          </cell>
          <cell r="N609" t="str">
            <v>AC Power Supply for Cisco 3660</v>
          </cell>
          <cell r="O609">
            <v>0</v>
          </cell>
          <cell r="P609">
            <v>0</v>
          </cell>
          <cell r="Q609">
            <v>2</v>
          </cell>
          <cell r="R609">
            <v>0</v>
          </cell>
          <cell r="AF609" t="str">
            <v>C</v>
          </cell>
          <cell r="AG609">
            <v>0</v>
          </cell>
          <cell r="AH609">
            <v>20</v>
          </cell>
          <cell r="AI609">
            <v>0</v>
          </cell>
          <cell r="AJ609">
            <v>0</v>
          </cell>
        </row>
        <row r="610">
          <cell r="A610">
            <v>168983</v>
          </cell>
          <cell r="B610">
            <v>37726</v>
          </cell>
          <cell r="D610" t="str">
            <v>ENTEL CHILE - 1600001805</v>
          </cell>
          <cell r="E610">
            <v>3665006</v>
          </cell>
          <cell r="F610">
            <v>8088858</v>
          </cell>
          <cell r="G610">
            <v>2612005</v>
          </cell>
          <cell r="H610">
            <v>37729</v>
          </cell>
          <cell r="I610">
            <v>0.54</v>
          </cell>
          <cell r="J610">
            <v>1</v>
          </cell>
          <cell r="K610" t="str">
            <v>1.0</v>
          </cell>
          <cell r="M610" t="str">
            <v>CISCO1751-V</v>
          </cell>
          <cell r="N610" t="str">
            <v>10/100 Modular Router w/voice, 32F/64D/</v>
          </cell>
          <cell r="O610">
            <v>2495</v>
          </cell>
          <cell r="P610">
            <v>1147.6999999999998</v>
          </cell>
          <cell r="Q610">
            <v>4</v>
          </cell>
          <cell r="R610">
            <v>4590.7999999999993</v>
          </cell>
          <cell r="AG610" t="e">
            <v>#N/A</v>
          </cell>
          <cell r="AH610">
            <v>15</v>
          </cell>
          <cell r="AI610">
            <v>1297</v>
          </cell>
          <cell r="AJ610">
            <v>5188</v>
          </cell>
        </row>
        <row r="611">
          <cell r="A611">
            <v>168983</v>
          </cell>
          <cell r="B611">
            <v>37726</v>
          </cell>
          <cell r="D611" t="str">
            <v>ENTEL CHILE - 1600001805</v>
          </cell>
          <cell r="E611">
            <v>3665006</v>
          </cell>
          <cell r="F611">
            <v>8088858</v>
          </cell>
          <cell r="G611">
            <v>2612005</v>
          </cell>
          <cell r="H611">
            <v>37729</v>
          </cell>
          <cell r="I611">
            <v>0.54</v>
          </cell>
          <cell r="J611">
            <v>1</v>
          </cell>
          <cell r="K611" t="str">
            <v>1.1</v>
          </cell>
          <cell r="M611" t="str">
            <v xml:space="preserve">CAB-ACI </v>
          </cell>
          <cell r="N611" t="str">
            <v>Power Cord-Italian</v>
          </cell>
          <cell r="O611">
            <v>0</v>
          </cell>
          <cell r="P611">
            <v>0</v>
          </cell>
          <cell r="Q611">
            <v>4</v>
          </cell>
          <cell r="R611">
            <v>0</v>
          </cell>
          <cell r="AG611" t="e">
            <v>#N/A</v>
          </cell>
          <cell r="AH611">
            <v>15</v>
          </cell>
          <cell r="AI611">
            <v>0</v>
          </cell>
          <cell r="AJ611">
            <v>0</v>
          </cell>
        </row>
        <row r="612">
          <cell r="A612">
            <v>168983</v>
          </cell>
          <cell r="B612">
            <v>37726</v>
          </cell>
          <cell r="D612" t="str">
            <v>ENTEL CHILE - 1600001805</v>
          </cell>
          <cell r="E612">
            <v>3665006</v>
          </cell>
          <cell r="F612">
            <v>8088858</v>
          </cell>
          <cell r="G612">
            <v>2612005</v>
          </cell>
          <cell r="H612">
            <v>37729</v>
          </cell>
          <cell r="I612">
            <v>0.54</v>
          </cell>
          <cell r="J612">
            <v>1</v>
          </cell>
          <cell r="K612" t="str">
            <v>1.2</v>
          </cell>
          <cell r="M612" t="str">
            <v>S17CV8P-12211T</v>
          </cell>
          <cell r="N612" t="str">
            <v>Cisco 1700 IOS  IP/VOX  PLUS</v>
          </cell>
          <cell r="O612">
            <v>0</v>
          </cell>
          <cell r="P612">
            <v>0</v>
          </cell>
          <cell r="Q612">
            <v>4</v>
          </cell>
          <cell r="R612">
            <v>0</v>
          </cell>
          <cell r="AG612" t="e">
            <v>#N/A</v>
          </cell>
          <cell r="AH612">
            <v>15</v>
          </cell>
          <cell r="AI612">
            <v>0</v>
          </cell>
          <cell r="AJ612">
            <v>0</v>
          </cell>
        </row>
        <row r="613">
          <cell r="A613">
            <v>168983</v>
          </cell>
          <cell r="B613">
            <v>37726</v>
          </cell>
          <cell r="D613" t="str">
            <v>ENTEL CHILE - 1600001805</v>
          </cell>
          <cell r="E613">
            <v>3665006</v>
          </cell>
          <cell r="F613">
            <v>8088858</v>
          </cell>
          <cell r="G613">
            <v>2612005</v>
          </cell>
          <cell r="H613">
            <v>37729</v>
          </cell>
          <cell r="I613">
            <v>0.54</v>
          </cell>
          <cell r="J613">
            <v>1</v>
          </cell>
          <cell r="K613" t="str">
            <v>1.3</v>
          </cell>
          <cell r="M613" t="str">
            <v xml:space="preserve">PVDM-256K-4 </v>
          </cell>
          <cell r="N613" t="str">
            <v xml:space="preserve"> 4-Channel Packet Volce/fax DSP Module</v>
          </cell>
          <cell r="O613">
            <v>0</v>
          </cell>
          <cell r="P613">
            <v>0</v>
          </cell>
          <cell r="Q613">
            <v>4</v>
          </cell>
          <cell r="R613">
            <v>0</v>
          </cell>
          <cell r="AG613" t="e">
            <v>#N/A</v>
          </cell>
          <cell r="AH613">
            <v>15</v>
          </cell>
          <cell r="AI613">
            <v>0</v>
          </cell>
          <cell r="AJ613">
            <v>0</v>
          </cell>
        </row>
        <row r="614">
          <cell r="A614">
            <v>168983</v>
          </cell>
          <cell r="B614">
            <v>37726</v>
          </cell>
          <cell r="D614" t="str">
            <v>ENTEL CHILE - 1600001805</v>
          </cell>
          <cell r="E614">
            <v>3665006</v>
          </cell>
          <cell r="F614">
            <v>8088858</v>
          </cell>
          <cell r="G614">
            <v>2612005</v>
          </cell>
          <cell r="H614">
            <v>37729</v>
          </cell>
          <cell r="I614">
            <v>0.54</v>
          </cell>
          <cell r="J614">
            <v>1</v>
          </cell>
          <cell r="K614" t="str">
            <v>2.0</v>
          </cell>
          <cell r="M614" t="str">
            <v>Cisco 3620</v>
          </cell>
          <cell r="N614" t="str">
            <v>Cisco 3600 2 slot Mmodular- Router-AC with IP Sofware /</v>
          </cell>
          <cell r="O614">
            <v>2900</v>
          </cell>
          <cell r="P614">
            <v>1334</v>
          </cell>
          <cell r="Q614">
            <v>1</v>
          </cell>
          <cell r="R614">
            <v>1334</v>
          </cell>
          <cell r="AG614" t="e">
            <v>#N/A</v>
          </cell>
          <cell r="AH614">
            <v>13</v>
          </cell>
          <cell r="AI614">
            <v>1508</v>
          </cell>
          <cell r="AJ614">
            <v>1508</v>
          </cell>
        </row>
        <row r="615">
          <cell r="A615">
            <v>168983</v>
          </cell>
          <cell r="B615">
            <v>37726</v>
          </cell>
          <cell r="D615" t="str">
            <v>ENTEL CHILE - 1600001805</v>
          </cell>
          <cell r="E615">
            <v>3665006</v>
          </cell>
          <cell r="F615">
            <v>8088858</v>
          </cell>
          <cell r="G615">
            <v>2612005</v>
          </cell>
          <cell r="H615">
            <v>37729</v>
          </cell>
          <cell r="I615">
            <v>0.54</v>
          </cell>
          <cell r="J615">
            <v>1</v>
          </cell>
          <cell r="K615" t="str">
            <v>2.1</v>
          </cell>
          <cell r="M615" t="str">
            <v xml:space="preserve">CAB-ACI </v>
          </cell>
          <cell r="N615" t="str">
            <v>Power Cord-Italian</v>
          </cell>
          <cell r="O615">
            <v>0</v>
          </cell>
          <cell r="P615">
            <v>0</v>
          </cell>
          <cell r="Q615">
            <v>1</v>
          </cell>
          <cell r="R615">
            <v>0</v>
          </cell>
          <cell r="AG615" t="e">
            <v>#N/A</v>
          </cell>
          <cell r="AH615">
            <v>13</v>
          </cell>
          <cell r="AI615">
            <v>0</v>
          </cell>
          <cell r="AJ615">
            <v>0</v>
          </cell>
        </row>
        <row r="616">
          <cell r="A616">
            <v>168983</v>
          </cell>
          <cell r="B616">
            <v>37726</v>
          </cell>
          <cell r="D616" t="str">
            <v>ENTEL CHILE - 1600001805</v>
          </cell>
          <cell r="E616">
            <v>3665006</v>
          </cell>
          <cell r="F616">
            <v>8088858</v>
          </cell>
          <cell r="G616">
            <v>2612005</v>
          </cell>
          <cell r="H616">
            <v>37729</v>
          </cell>
          <cell r="I616">
            <v>0.54</v>
          </cell>
          <cell r="J616">
            <v>1</v>
          </cell>
          <cell r="K616" t="str">
            <v>2.2</v>
          </cell>
          <cell r="M616" t="str">
            <v>S362C-12205</v>
          </cell>
          <cell r="N616" t="str">
            <v>Cisco 3620 Series IOS IP</v>
          </cell>
          <cell r="O616">
            <v>0</v>
          </cell>
          <cell r="P616">
            <v>0</v>
          </cell>
          <cell r="Q616">
            <v>1</v>
          </cell>
          <cell r="R616">
            <v>0</v>
          </cell>
          <cell r="AG616" t="e">
            <v>#N/A</v>
          </cell>
          <cell r="AH616">
            <v>13</v>
          </cell>
          <cell r="AI616">
            <v>0</v>
          </cell>
          <cell r="AJ616">
            <v>0</v>
          </cell>
        </row>
        <row r="617">
          <cell r="A617">
            <v>168983</v>
          </cell>
          <cell r="B617">
            <v>37726</v>
          </cell>
          <cell r="D617" t="str">
            <v>ENTEL CHILE - 1600001805</v>
          </cell>
          <cell r="E617">
            <v>3665006</v>
          </cell>
          <cell r="F617">
            <v>8088858</v>
          </cell>
          <cell r="G617">
            <v>2612005</v>
          </cell>
          <cell r="H617">
            <v>37729</v>
          </cell>
          <cell r="I617">
            <v>0.54</v>
          </cell>
          <cell r="J617">
            <v>1</v>
          </cell>
          <cell r="K617" t="str">
            <v>3.0</v>
          </cell>
          <cell r="M617" t="str">
            <v>WIC-1B-S/T=</v>
          </cell>
          <cell r="N617" t="str">
            <v>1-Port ISDN WAN InterfaCe Card(dial and  leased line)</v>
          </cell>
          <cell r="O617">
            <v>500</v>
          </cell>
          <cell r="P617">
            <v>229.99999999999997</v>
          </cell>
          <cell r="Q617">
            <v>10</v>
          </cell>
          <cell r="R617">
            <v>2299.9999999999995</v>
          </cell>
          <cell r="AG617" t="e">
            <v>#N/A</v>
          </cell>
          <cell r="AH617">
            <v>2</v>
          </cell>
          <cell r="AI617">
            <v>260</v>
          </cell>
          <cell r="AJ617">
            <v>2600</v>
          </cell>
        </row>
        <row r="618">
          <cell r="A618">
            <v>168983</v>
          </cell>
          <cell r="B618">
            <v>37726</v>
          </cell>
          <cell r="D618" t="str">
            <v>ENTEL CHILE - 1600001805</v>
          </cell>
          <cell r="E618">
            <v>3665006</v>
          </cell>
          <cell r="F618">
            <v>8088858</v>
          </cell>
          <cell r="G618">
            <v>2612005</v>
          </cell>
          <cell r="H618">
            <v>37729</v>
          </cell>
          <cell r="I618">
            <v>0.54</v>
          </cell>
          <cell r="J618">
            <v>1</v>
          </cell>
          <cell r="K618" t="str">
            <v>4.0</v>
          </cell>
          <cell r="M618" t="str">
            <v>VIC-2FXO=</v>
          </cell>
          <cell r="N618" t="str">
            <v>Two-port Voice Interface Card  -FXO -Spare/</v>
          </cell>
          <cell r="O618">
            <v>400</v>
          </cell>
          <cell r="P618">
            <v>184</v>
          </cell>
          <cell r="Q618">
            <v>5</v>
          </cell>
          <cell r="R618">
            <v>920</v>
          </cell>
          <cell r="AG618" t="e">
            <v>#N/A</v>
          </cell>
          <cell r="AH618">
            <v>14</v>
          </cell>
          <cell r="AI618">
            <v>208</v>
          </cell>
          <cell r="AJ618">
            <v>1040</v>
          </cell>
        </row>
        <row r="619">
          <cell r="A619">
            <v>168983</v>
          </cell>
          <cell r="B619">
            <v>37726</v>
          </cell>
          <cell r="D619" t="str">
            <v>ENTEL CHILE - 1600001805</v>
          </cell>
          <cell r="E619">
            <v>3665006</v>
          </cell>
          <cell r="F619">
            <v>8088858</v>
          </cell>
          <cell r="G619">
            <v>2612005</v>
          </cell>
          <cell r="H619">
            <v>37729</v>
          </cell>
          <cell r="I619">
            <v>0.54</v>
          </cell>
          <cell r="J619">
            <v>1</v>
          </cell>
          <cell r="K619" t="str">
            <v>5.0</v>
          </cell>
          <cell r="M619" t="str">
            <v>NM-2V=</v>
          </cell>
          <cell r="N619" t="str">
            <v>Two -Slot Voice/fax Network Module-Spare/</v>
          </cell>
          <cell r="O619">
            <v>1000</v>
          </cell>
          <cell r="P619">
            <v>459.99999999999994</v>
          </cell>
          <cell r="Q619">
            <v>2</v>
          </cell>
          <cell r="R619">
            <v>919.99999999999989</v>
          </cell>
          <cell r="AG619" t="e">
            <v>#N/A</v>
          </cell>
          <cell r="AH619">
            <v>11</v>
          </cell>
          <cell r="AI619">
            <v>520</v>
          </cell>
          <cell r="AJ619">
            <v>1040</v>
          </cell>
        </row>
        <row r="620">
          <cell r="A620">
            <v>168983</v>
          </cell>
          <cell r="B620">
            <v>37726</v>
          </cell>
          <cell r="D620" t="str">
            <v>ENTEL CHILE - 1600001805</v>
          </cell>
          <cell r="E620">
            <v>3665006</v>
          </cell>
          <cell r="F620">
            <v>8088858</v>
          </cell>
          <cell r="G620">
            <v>2612005</v>
          </cell>
          <cell r="H620">
            <v>37729</v>
          </cell>
          <cell r="I620">
            <v>0.54</v>
          </cell>
          <cell r="J620">
            <v>1</v>
          </cell>
          <cell r="K620" t="str">
            <v>6.0</v>
          </cell>
          <cell r="M620" t="str">
            <v>NM-1E=</v>
          </cell>
          <cell r="N620" t="str">
            <v>1 -Port Ethernet  Network Module/</v>
          </cell>
          <cell r="O620">
            <v>1000</v>
          </cell>
          <cell r="P620">
            <v>459.99999999999994</v>
          </cell>
          <cell r="Q620">
            <v>2</v>
          </cell>
          <cell r="R620">
            <v>919.99999999999989</v>
          </cell>
          <cell r="AG620" t="e">
            <v>#N/A</v>
          </cell>
          <cell r="AH620">
            <v>16</v>
          </cell>
          <cell r="AI620">
            <v>520</v>
          </cell>
          <cell r="AJ620">
            <v>1040</v>
          </cell>
        </row>
        <row r="621">
          <cell r="A621">
            <v>168983</v>
          </cell>
          <cell r="B621">
            <v>37726</v>
          </cell>
          <cell r="D621" t="str">
            <v>ENTEL CHILE - 1600001805</v>
          </cell>
          <cell r="E621">
            <v>3665006</v>
          </cell>
          <cell r="F621">
            <v>8088858</v>
          </cell>
          <cell r="G621">
            <v>2612005</v>
          </cell>
          <cell r="H621">
            <v>37729</v>
          </cell>
          <cell r="I621">
            <v>0.54</v>
          </cell>
          <cell r="J621">
            <v>4</v>
          </cell>
          <cell r="K621" t="str">
            <v>7.0</v>
          </cell>
          <cell r="M621" t="str">
            <v>WS-C2924M-XL-EN</v>
          </cell>
          <cell r="N621" t="str">
            <v>24-port 10/100 Switch x/Two Module Slots(Enterprise Edition/</v>
          </cell>
          <cell r="O621">
            <v>2495</v>
          </cell>
          <cell r="P621">
            <v>1147.6999999999998</v>
          </cell>
          <cell r="Q621">
            <v>1</v>
          </cell>
          <cell r="R621">
            <v>1147.6999999999998</v>
          </cell>
          <cell r="S621">
            <v>37809</v>
          </cell>
          <cell r="AG621" t="e">
            <v>#N/A</v>
          </cell>
          <cell r="AH621">
            <v>26</v>
          </cell>
          <cell r="AI621">
            <v>1297</v>
          </cell>
          <cell r="AJ621">
            <v>1297</v>
          </cell>
        </row>
        <row r="622">
          <cell r="A622">
            <v>168983</v>
          </cell>
          <cell r="B622">
            <v>37726</v>
          </cell>
          <cell r="D622" t="str">
            <v>ENTEL CHILE - 1600001805</v>
          </cell>
          <cell r="E622">
            <v>3665006</v>
          </cell>
          <cell r="F622">
            <v>8088858</v>
          </cell>
          <cell r="G622">
            <v>2612005</v>
          </cell>
          <cell r="H622">
            <v>37729</v>
          </cell>
          <cell r="I622">
            <v>0.54</v>
          </cell>
          <cell r="J622">
            <v>4</v>
          </cell>
          <cell r="K622" t="str">
            <v>7.1</v>
          </cell>
          <cell r="M622" t="str">
            <v xml:space="preserve">CAB-ACI </v>
          </cell>
          <cell r="N622" t="str">
            <v>Power Cord-Italian</v>
          </cell>
          <cell r="O622">
            <v>0</v>
          </cell>
          <cell r="P622">
            <v>0</v>
          </cell>
          <cell r="Q622">
            <v>1</v>
          </cell>
          <cell r="R622">
            <v>0</v>
          </cell>
          <cell r="S622">
            <v>37809</v>
          </cell>
          <cell r="AG622" t="e">
            <v>#N/A</v>
          </cell>
          <cell r="AH622">
            <v>26</v>
          </cell>
          <cell r="AI622">
            <v>0</v>
          </cell>
          <cell r="AJ622">
            <v>0</v>
          </cell>
        </row>
        <row r="623">
          <cell r="A623">
            <v>168983</v>
          </cell>
          <cell r="B623">
            <v>37726</v>
          </cell>
          <cell r="D623" t="str">
            <v>ENTEL CHILE - 1600001805</v>
          </cell>
          <cell r="E623">
            <v>3665006</v>
          </cell>
          <cell r="F623">
            <v>8088858</v>
          </cell>
          <cell r="G623">
            <v>2612005</v>
          </cell>
          <cell r="H623">
            <v>37729</v>
          </cell>
          <cell r="I623">
            <v>0.54</v>
          </cell>
          <cell r="J623">
            <v>1</v>
          </cell>
          <cell r="K623" t="str">
            <v>8.0</v>
          </cell>
          <cell r="M623" t="str">
            <v>Cisco 3640A</v>
          </cell>
          <cell r="N623" t="str">
            <v>Cisco 3600 4-slot Modular router-AC with IP Software /</v>
          </cell>
          <cell r="O623">
            <v>6500</v>
          </cell>
          <cell r="P623">
            <v>2989.9999999999995</v>
          </cell>
          <cell r="Q623">
            <v>3</v>
          </cell>
          <cell r="R623">
            <v>8969.9999999999982</v>
          </cell>
          <cell r="AG623" t="e">
            <v>#N/A</v>
          </cell>
          <cell r="AH623">
            <v>10</v>
          </cell>
          <cell r="AI623">
            <v>3380</v>
          </cell>
          <cell r="AJ623">
            <v>10140</v>
          </cell>
        </row>
        <row r="624">
          <cell r="A624">
            <v>168983</v>
          </cell>
          <cell r="B624">
            <v>37726</v>
          </cell>
          <cell r="D624" t="str">
            <v>ENTEL CHILE - 1600001805</v>
          </cell>
          <cell r="E624">
            <v>3665006</v>
          </cell>
          <cell r="F624">
            <v>8088858</v>
          </cell>
          <cell r="G624">
            <v>2612005</v>
          </cell>
          <cell r="H624">
            <v>37729</v>
          </cell>
          <cell r="I624">
            <v>0.54</v>
          </cell>
          <cell r="J624">
            <v>1</v>
          </cell>
          <cell r="K624" t="str">
            <v>8.1</v>
          </cell>
          <cell r="M624" t="str">
            <v xml:space="preserve">CAB-ACI </v>
          </cell>
          <cell r="N624" t="str">
            <v>Power Cord-Italian</v>
          </cell>
          <cell r="O624">
            <v>0</v>
          </cell>
          <cell r="P624">
            <v>0</v>
          </cell>
          <cell r="Q624">
            <v>3</v>
          </cell>
          <cell r="R624">
            <v>0</v>
          </cell>
          <cell r="AG624" t="e">
            <v>#N/A</v>
          </cell>
          <cell r="AH624">
            <v>10</v>
          </cell>
          <cell r="AI624">
            <v>0</v>
          </cell>
          <cell r="AJ624">
            <v>0</v>
          </cell>
        </row>
        <row r="625">
          <cell r="A625">
            <v>168983</v>
          </cell>
          <cell r="B625">
            <v>37726</v>
          </cell>
          <cell r="D625" t="str">
            <v>ENTEL CHILE - 1600001805</v>
          </cell>
          <cell r="E625">
            <v>3665006</v>
          </cell>
          <cell r="F625">
            <v>8088858</v>
          </cell>
          <cell r="G625">
            <v>2612005</v>
          </cell>
          <cell r="H625">
            <v>37729</v>
          </cell>
          <cell r="I625">
            <v>0.54</v>
          </cell>
          <cell r="J625">
            <v>1</v>
          </cell>
          <cell r="K625" t="str">
            <v>8.2</v>
          </cell>
          <cell r="M625" t="str">
            <v>S364C-12212</v>
          </cell>
          <cell r="N625" t="str">
            <v>Cisco 3640 Series IOS IP</v>
          </cell>
          <cell r="O625">
            <v>0</v>
          </cell>
          <cell r="P625">
            <v>0</v>
          </cell>
          <cell r="Q625">
            <v>3</v>
          </cell>
          <cell r="R625">
            <v>0</v>
          </cell>
          <cell r="AG625" t="e">
            <v>#N/A</v>
          </cell>
          <cell r="AH625">
            <v>10</v>
          </cell>
          <cell r="AI625">
            <v>0</v>
          </cell>
          <cell r="AJ625">
            <v>0</v>
          </cell>
        </row>
        <row r="626">
          <cell r="A626">
            <v>168983</v>
          </cell>
          <cell r="B626">
            <v>37726</v>
          </cell>
          <cell r="D626" t="str">
            <v>ENTEL CHILE - 1600001805</v>
          </cell>
          <cell r="E626">
            <v>3665006</v>
          </cell>
          <cell r="F626">
            <v>8088858</v>
          </cell>
          <cell r="G626">
            <v>2612005</v>
          </cell>
          <cell r="H626">
            <v>37729</v>
          </cell>
          <cell r="I626">
            <v>0.54</v>
          </cell>
          <cell r="J626">
            <v>1</v>
          </cell>
          <cell r="K626" t="str">
            <v>9.0</v>
          </cell>
          <cell r="M626" t="str">
            <v>NM-2E2W=</v>
          </cell>
          <cell r="N626" t="str">
            <v>2 Ethernet 2 WAN Card Slot Network Module /</v>
          </cell>
          <cell r="O626">
            <v>2500</v>
          </cell>
          <cell r="P626">
            <v>1150</v>
          </cell>
          <cell r="Q626">
            <v>1</v>
          </cell>
          <cell r="R626">
            <v>1150</v>
          </cell>
          <cell r="AG626" t="e">
            <v>#N/A</v>
          </cell>
          <cell r="AH626">
            <v>6</v>
          </cell>
          <cell r="AI626">
            <v>1300</v>
          </cell>
          <cell r="AJ626">
            <v>1300</v>
          </cell>
        </row>
        <row r="627">
          <cell r="A627">
            <v>168983</v>
          </cell>
          <cell r="B627">
            <v>37726</v>
          </cell>
          <cell r="D627" t="str">
            <v>ENTEL CHILE - 1600001805</v>
          </cell>
          <cell r="E627">
            <v>3665006</v>
          </cell>
          <cell r="F627">
            <v>8088858</v>
          </cell>
          <cell r="G627">
            <v>2612005</v>
          </cell>
          <cell r="H627">
            <v>37729</v>
          </cell>
          <cell r="I627">
            <v>0.54</v>
          </cell>
          <cell r="J627">
            <v>1</v>
          </cell>
          <cell r="K627" t="str">
            <v>10.0</v>
          </cell>
          <cell r="M627" t="str">
            <v>NM-1FE2W=</v>
          </cell>
          <cell r="N627" t="str">
            <v>1 10/100Ethernet 2 WAN Card slot Network Module /</v>
          </cell>
          <cell r="O627">
            <v>2300</v>
          </cell>
          <cell r="P627">
            <v>1058</v>
          </cell>
          <cell r="Q627">
            <v>5</v>
          </cell>
          <cell r="R627">
            <v>5290</v>
          </cell>
          <cell r="AG627" t="e">
            <v>#N/A</v>
          </cell>
          <cell r="AH627">
            <v>29</v>
          </cell>
          <cell r="AI627">
            <v>1196</v>
          </cell>
          <cell r="AJ627">
            <v>5980</v>
          </cell>
        </row>
        <row r="628">
          <cell r="A628">
            <v>168983</v>
          </cell>
          <cell r="B628">
            <v>37726</v>
          </cell>
          <cell r="D628" t="str">
            <v>ENTEL CHILE - 1600001805</v>
          </cell>
          <cell r="E628">
            <v>3665006</v>
          </cell>
          <cell r="F628">
            <v>8088858</v>
          </cell>
          <cell r="G628">
            <v>2612005</v>
          </cell>
          <cell r="H628">
            <v>37729</v>
          </cell>
          <cell r="I628">
            <v>0.54</v>
          </cell>
          <cell r="J628">
            <v>1</v>
          </cell>
          <cell r="K628" t="str">
            <v>11.0</v>
          </cell>
          <cell r="M628" t="str">
            <v>NM=1A -OC3SMI=</v>
          </cell>
          <cell r="N628" t="str">
            <v>One-port ATM OC-3 Singlemode Inter Reach NM 2691.3600.3725</v>
          </cell>
          <cell r="O628">
            <v>8000</v>
          </cell>
          <cell r="P628">
            <v>3679.9999999999995</v>
          </cell>
          <cell r="Q628">
            <v>1</v>
          </cell>
          <cell r="R628">
            <v>3679.9999999999995</v>
          </cell>
          <cell r="AG628" t="e">
            <v>#N/A</v>
          </cell>
          <cell r="AH628">
            <v>17</v>
          </cell>
          <cell r="AI628">
            <v>4160</v>
          </cell>
          <cell r="AJ628">
            <v>4160</v>
          </cell>
        </row>
        <row r="629">
          <cell r="A629">
            <v>168983</v>
          </cell>
          <cell r="B629">
            <v>37726</v>
          </cell>
          <cell r="D629" t="str">
            <v>ENTEL CHILE - 1600001805</v>
          </cell>
          <cell r="E629">
            <v>3665006</v>
          </cell>
          <cell r="F629">
            <v>8088858</v>
          </cell>
          <cell r="G629">
            <v>2612005</v>
          </cell>
          <cell r="H629">
            <v>37729</v>
          </cell>
          <cell r="I629">
            <v>0.54</v>
          </cell>
          <cell r="J629">
            <v>1</v>
          </cell>
          <cell r="K629" t="str">
            <v>12.0</v>
          </cell>
          <cell r="M629" t="str">
            <v xml:space="preserve">WIC-2T= </v>
          </cell>
          <cell r="N629" t="str">
            <v>2-Port serial WAN Interface Card spare/</v>
          </cell>
          <cell r="O629">
            <v>700</v>
          </cell>
          <cell r="P629">
            <v>322</v>
          </cell>
          <cell r="Q629">
            <v>19</v>
          </cell>
          <cell r="R629">
            <v>6118</v>
          </cell>
          <cell r="AG629" t="e">
            <v>#N/A</v>
          </cell>
          <cell r="AH629">
            <v>7</v>
          </cell>
          <cell r="AI629">
            <v>364</v>
          </cell>
          <cell r="AJ629">
            <v>6916</v>
          </cell>
        </row>
        <row r="630">
          <cell r="A630">
            <v>168983</v>
          </cell>
          <cell r="B630">
            <v>37726</v>
          </cell>
          <cell r="D630" t="str">
            <v>ENTEL CHILE - 1600001805</v>
          </cell>
          <cell r="E630">
            <v>3665006</v>
          </cell>
          <cell r="F630">
            <v>8088858</v>
          </cell>
          <cell r="G630">
            <v>2612005</v>
          </cell>
          <cell r="H630">
            <v>37729</v>
          </cell>
          <cell r="I630">
            <v>0.54</v>
          </cell>
          <cell r="J630">
            <v>1</v>
          </cell>
          <cell r="K630" t="str">
            <v>13.0</v>
          </cell>
          <cell r="M630" t="str">
            <v>VIC -2E/M=</v>
          </cell>
          <cell r="N630" t="str">
            <v>Two -port Voice interface Card - EandM-Spare/</v>
          </cell>
          <cell r="O630">
            <v>400</v>
          </cell>
          <cell r="P630">
            <v>184</v>
          </cell>
          <cell r="Q630">
            <v>1</v>
          </cell>
          <cell r="R630">
            <v>184</v>
          </cell>
          <cell r="AG630" t="e">
            <v>#N/A</v>
          </cell>
          <cell r="AH630">
            <v>30</v>
          </cell>
          <cell r="AI630">
            <v>208</v>
          </cell>
          <cell r="AJ630">
            <v>208</v>
          </cell>
        </row>
        <row r="631">
          <cell r="A631">
            <v>168983</v>
          </cell>
          <cell r="B631">
            <v>37726</v>
          </cell>
          <cell r="D631" t="str">
            <v>ENTEL CHILE - 1600001805</v>
          </cell>
          <cell r="E631">
            <v>3665006</v>
          </cell>
          <cell r="F631">
            <v>8088858</v>
          </cell>
          <cell r="G631">
            <v>2612005</v>
          </cell>
          <cell r="H631">
            <v>37729</v>
          </cell>
          <cell r="I631">
            <v>0.54</v>
          </cell>
          <cell r="J631">
            <v>1</v>
          </cell>
          <cell r="K631" t="str">
            <v>14.0</v>
          </cell>
          <cell r="M631" t="str">
            <v>Cisco 3662-Ac</v>
          </cell>
          <cell r="N631" t="str">
            <v>Dual 10/100 E Cisco 3660 6-slot Modular Router-AC with IP SW/</v>
          </cell>
          <cell r="O631">
            <v>11700</v>
          </cell>
          <cell r="P631">
            <v>5382</v>
          </cell>
          <cell r="Q631">
            <v>2</v>
          </cell>
          <cell r="R631">
            <v>10764</v>
          </cell>
          <cell r="AG631" t="e">
            <v>#N/A</v>
          </cell>
          <cell r="AH631">
            <v>12</v>
          </cell>
          <cell r="AI631">
            <v>6084</v>
          </cell>
          <cell r="AJ631">
            <v>12168</v>
          </cell>
        </row>
        <row r="632">
          <cell r="A632">
            <v>168983</v>
          </cell>
          <cell r="B632">
            <v>37726</v>
          </cell>
          <cell r="D632" t="str">
            <v>ENTEL CHILE - 1600001805</v>
          </cell>
          <cell r="E632">
            <v>3665006</v>
          </cell>
          <cell r="F632">
            <v>8088858</v>
          </cell>
          <cell r="G632">
            <v>2612005</v>
          </cell>
          <cell r="H632">
            <v>37729</v>
          </cell>
          <cell r="I632">
            <v>0.54</v>
          </cell>
          <cell r="J632">
            <v>1</v>
          </cell>
          <cell r="K632" t="str">
            <v>14.1</v>
          </cell>
          <cell r="M632" t="str">
            <v xml:space="preserve">CAB-ACI </v>
          </cell>
          <cell r="N632" t="str">
            <v>Power Cord-Italian</v>
          </cell>
          <cell r="O632">
            <v>0</v>
          </cell>
          <cell r="P632">
            <v>0</v>
          </cell>
          <cell r="Q632">
            <v>2</v>
          </cell>
          <cell r="R632">
            <v>0</v>
          </cell>
          <cell r="AG632" t="e">
            <v>#N/A</v>
          </cell>
          <cell r="AH632">
            <v>12</v>
          </cell>
          <cell r="AI632">
            <v>0</v>
          </cell>
          <cell r="AJ632">
            <v>0</v>
          </cell>
        </row>
        <row r="633">
          <cell r="A633">
            <v>168983</v>
          </cell>
          <cell r="B633">
            <v>37726</v>
          </cell>
          <cell r="D633" t="str">
            <v>ENTEL CHILE - 1600001805</v>
          </cell>
          <cell r="E633">
            <v>3665006</v>
          </cell>
          <cell r="F633">
            <v>8088858</v>
          </cell>
          <cell r="G633">
            <v>2612005</v>
          </cell>
          <cell r="H633">
            <v>37729</v>
          </cell>
          <cell r="I633">
            <v>0.54</v>
          </cell>
          <cell r="J633">
            <v>1</v>
          </cell>
          <cell r="K633" t="str">
            <v>14.2</v>
          </cell>
          <cell r="M633" t="str">
            <v>S366C-12205</v>
          </cell>
          <cell r="N633" t="str">
            <v>Cisco 3660 series IOS IP</v>
          </cell>
          <cell r="O633">
            <v>0</v>
          </cell>
          <cell r="P633">
            <v>0</v>
          </cell>
          <cell r="Q633">
            <v>2</v>
          </cell>
          <cell r="R633">
            <v>0</v>
          </cell>
          <cell r="AG633" t="e">
            <v>#N/A</v>
          </cell>
          <cell r="AH633">
            <v>12</v>
          </cell>
          <cell r="AI633">
            <v>0</v>
          </cell>
          <cell r="AJ633">
            <v>0</v>
          </cell>
        </row>
        <row r="634">
          <cell r="A634">
            <v>168983</v>
          </cell>
          <cell r="B634">
            <v>37726</v>
          </cell>
          <cell r="D634" t="str">
            <v>ENTEL CHILE - 1600001805</v>
          </cell>
          <cell r="E634">
            <v>3665006</v>
          </cell>
          <cell r="F634">
            <v>8088858</v>
          </cell>
          <cell r="G634">
            <v>2612005</v>
          </cell>
          <cell r="H634">
            <v>37729</v>
          </cell>
          <cell r="I634">
            <v>0.54</v>
          </cell>
          <cell r="J634">
            <v>1</v>
          </cell>
          <cell r="K634" t="str">
            <v>14.3</v>
          </cell>
          <cell r="M634" t="str">
            <v>PWR -3660-AC</v>
          </cell>
          <cell r="N634" t="str">
            <v>AC Power Supply for Cisco 3660</v>
          </cell>
          <cell r="O634">
            <v>0</v>
          </cell>
          <cell r="P634">
            <v>0</v>
          </cell>
          <cell r="Q634">
            <v>2</v>
          </cell>
          <cell r="R634">
            <v>0</v>
          </cell>
          <cell r="AG634" t="e">
            <v>#N/A</v>
          </cell>
          <cell r="AH634">
            <v>12</v>
          </cell>
          <cell r="AI634">
            <v>0</v>
          </cell>
          <cell r="AJ634">
            <v>0</v>
          </cell>
        </row>
        <row r="635">
          <cell r="A635">
            <v>168983</v>
          </cell>
          <cell r="B635">
            <v>37726</v>
          </cell>
          <cell r="D635" t="str">
            <v>ENTEL CHILE - 1600001805</v>
          </cell>
          <cell r="E635">
            <v>3665006</v>
          </cell>
          <cell r="F635">
            <v>8088858</v>
          </cell>
          <cell r="G635">
            <v>2612005</v>
          </cell>
          <cell r="H635">
            <v>37729</v>
          </cell>
          <cell r="I635">
            <v>0.54</v>
          </cell>
          <cell r="J635">
            <v>1</v>
          </cell>
          <cell r="K635" t="str">
            <v>15.0</v>
          </cell>
          <cell r="M635" t="str">
            <v>NM-2FE2W=</v>
          </cell>
          <cell r="N635" t="str">
            <v>2 10/100 Ethernet 2 WAN Card Slot Networ Module/</v>
          </cell>
          <cell r="O635">
            <v>3200</v>
          </cell>
          <cell r="P635">
            <v>1472</v>
          </cell>
          <cell r="Q635">
            <v>1</v>
          </cell>
          <cell r="R635">
            <v>1472</v>
          </cell>
          <cell r="AG635" t="e">
            <v>#N/A</v>
          </cell>
          <cell r="AH635">
            <v>1</v>
          </cell>
          <cell r="AI635">
            <v>1664</v>
          </cell>
          <cell r="AJ635">
            <v>1664</v>
          </cell>
        </row>
        <row r="636">
          <cell r="A636">
            <v>168983</v>
          </cell>
          <cell r="B636">
            <v>37726</v>
          </cell>
          <cell r="D636" t="str">
            <v>ENTEL CHILE - 1600001805</v>
          </cell>
          <cell r="E636">
            <v>3665006</v>
          </cell>
          <cell r="F636">
            <v>8088858</v>
          </cell>
          <cell r="G636">
            <v>2612005</v>
          </cell>
          <cell r="H636">
            <v>37729</v>
          </cell>
          <cell r="I636">
            <v>0.54</v>
          </cell>
          <cell r="J636">
            <v>1</v>
          </cell>
          <cell r="K636" t="str">
            <v>16.0</v>
          </cell>
          <cell r="M636" t="str">
            <v>Cisco 805</v>
          </cell>
          <cell r="N636" t="str">
            <v xml:space="preserve">Cisco 805 Ethernet/Serial Router/ </v>
          </cell>
          <cell r="O636">
            <v>999</v>
          </cell>
          <cell r="P636">
            <v>459.53999999999996</v>
          </cell>
          <cell r="Q636">
            <v>5</v>
          </cell>
          <cell r="R636">
            <v>2297.6999999999998</v>
          </cell>
          <cell r="AG636" t="e">
            <v>#N/A</v>
          </cell>
          <cell r="AH636">
            <v>4</v>
          </cell>
          <cell r="AI636">
            <v>519</v>
          </cell>
          <cell r="AJ636">
            <v>2595</v>
          </cell>
        </row>
        <row r="637">
          <cell r="A637">
            <v>168983</v>
          </cell>
          <cell r="B637">
            <v>37726</v>
          </cell>
          <cell r="D637" t="str">
            <v>ENTEL CHILE - 1600001805</v>
          </cell>
          <cell r="E637">
            <v>3665006</v>
          </cell>
          <cell r="F637">
            <v>8088858</v>
          </cell>
          <cell r="G637">
            <v>2612005</v>
          </cell>
          <cell r="H637">
            <v>37729</v>
          </cell>
          <cell r="I637">
            <v>0.54</v>
          </cell>
          <cell r="J637">
            <v>1</v>
          </cell>
          <cell r="K637" t="str">
            <v>16.1</v>
          </cell>
          <cell r="M637" t="str">
            <v xml:space="preserve">CAB-ACI </v>
          </cell>
          <cell r="N637" t="str">
            <v>Power Cord-Italian</v>
          </cell>
          <cell r="O637">
            <v>0</v>
          </cell>
          <cell r="P637">
            <v>0</v>
          </cell>
          <cell r="Q637">
            <v>5</v>
          </cell>
          <cell r="R637">
            <v>0</v>
          </cell>
          <cell r="AG637" t="e">
            <v>#N/A</v>
          </cell>
          <cell r="AH637">
            <v>4</v>
          </cell>
          <cell r="AI637">
            <v>0</v>
          </cell>
          <cell r="AJ637">
            <v>0</v>
          </cell>
        </row>
        <row r="638">
          <cell r="A638">
            <v>168983</v>
          </cell>
          <cell r="B638">
            <v>37726</v>
          </cell>
          <cell r="D638" t="str">
            <v>ENTEL CHILE - 1600001805</v>
          </cell>
          <cell r="E638">
            <v>3665006</v>
          </cell>
          <cell r="F638">
            <v>8088858</v>
          </cell>
          <cell r="G638">
            <v>2612005</v>
          </cell>
          <cell r="H638">
            <v>37729</v>
          </cell>
          <cell r="I638">
            <v>0.54</v>
          </cell>
          <cell r="J638">
            <v>1</v>
          </cell>
          <cell r="K638" t="str">
            <v>16.2</v>
          </cell>
          <cell r="M638" t="str">
            <v xml:space="preserve">S805C -12208T </v>
          </cell>
          <cell r="N638" t="str">
            <v>Cisco 805 Series IOS IP</v>
          </cell>
          <cell r="O638">
            <v>0</v>
          </cell>
          <cell r="P638">
            <v>0</v>
          </cell>
          <cell r="Q638">
            <v>5</v>
          </cell>
          <cell r="R638">
            <v>0</v>
          </cell>
          <cell r="AG638" t="e">
            <v>#N/A</v>
          </cell>
          <cell r="AH638">
            <v>4</v>
          </cell>
          <cell r="AI638">
            <v>0</v>
          </cell>
          <cell r="AJ638">
            <v>0</v>
          </cell>
        </row>
        <row r="639">
          <cell r="A639">
            <v>168983</v>
          </cell>
          <cell r="B639">
            <v>37726</v>
          </cell>
          <cell r="D639" t="str">
            <v>ENTEL CHILE - 1600001805</v>
          </cell>
          <cell r="E639">
            <v>3665006</v>
          </cell>
          <cell r="F639">
            <v>8088858</v>
          </cell>
          <cell r="G639">
            <v>2612005</v>
          </cell>
          <cell r="H639">
            <v>37729</v>
          </cell>
          <cell r="I639">
            <v>0.54</v>
          </cell>
          <cell r="J639">
            <v>5</v>
          </cell>
          <cell r="K639" t="str">
            <v>17.0</v>
          </cell>
          <cell r="M639" t="str">
            <v>WS -C2950-24</v>
          </cell>
          <cell r="N639" t="str">
            <v>24 port. 10/100 Catalyst Switch, Standard image only/</v>
          </cell>
          <cell r="O639">
            <v>995</v>
          </cell>
          <cell r="P639">
            <v>457.7</v>
          </cell>
          <cell r="Q639">
            <v>12</v>
          </cell>
          <cell r="R639">
            <v>5492.4</v>
          </cell>
          <cell r="S639">
            <v>37809</v>
          </cell>
          <cell r="AG639" t="e">
            <v>#N/A</v>
          </cell>
          <cell r="AH639">
            <v>9</v>
          </cell>
          <cell r="AI639">
            <v>517</v>
          </cell>
          <cell r="AJ639">
            <v>6204</v>
          </cell>
        </row>
        <row r="640">
          <cell r="A640">
            <v>168983</v>
          </cell>
          <cell r="B640">
            <v>37726</v>
          </cell>
          <cell r="D640" t="str">
            <v>ENTEL CHILE - 1600001805</v>
          </cell>
          <cell r="E640">
            <v>3665006</v>
          </cell>
          <cell r="F640">
            <v>8088858</v>
          </cell>
          <cell r="G640">
            <v>2612005</v>
          </cell>
          <cell r="H640">
            <v>37729</v>
          </cell>
          <cell r="I640">
            <v>0.54</v>
          </cell>
          <cell r="J640">
            <v>5</v>
          </cell>
          <cell r="K640" t="str">
            <v>17.1</v>
          </cell>
          <cell r="M640" t="str">
            <v xml:space="preserve">CAB-ACI </v>
          </cell>
          <cell r="N640" t="str">
            <v>Power Cord-Italian</v>
          </cell>
          <cell r="O640">
            <v>0</v>
          </cell>
          <cell r="P640">
            <v>0</v>
          </cell>
          <cell r="Q640">
            <v>12</v>
          </cell>
          <cell r="R640">
            <v>0</v>
          </cell>
          <cell r="S640">
            <v>37809</v>
          </cell>
          <cell r="AG640" t="e">
            <v>#N/A</v>
          </cell>
          <cell r="AH640">
            <v>9</v>
          </cell>
          <cell r="AI640">
            <v>0</v>
          </cell>
          <cell r="AJ640">
            <v>0</v>
          </cell>
        </row>
        <row r="641">
          <cell r="A641">
            <v>168983</v>
          </cell>
          <cell r="B641">
            <v>37726</v>
          </cell>
          <cell r="D641" t="str">
            <v>ENTEL CHILE - 1600001805</v>
          </cell>
          <cell r="E641">
            <v>3665006</v>
          </cell>
          <cell r="F641">
            <v>8088858</v>
          </cell>
          <cell r="G641">
            <v>2612005</v>
          </cell>
          <cell r="H641">
            <v>37729</v>
          </cell>
          <cell r="I641">
            <v>0.54</v>
          </cell>
          <cell r="J641">
            <v>3</v>
          </cell>
          <cell r="K641" t="str">
            <v>18.0</v>
          </cell>
          <cell r="M641" t="str">
            <v>WS -C2950-12</v>
          </cell>
          <cell r="N641" t="str">
            <v>12 port. 10/100 Catalyst  Switch, Standard image only/</v>
          </cell>
          <cell r="O641">
            <v>895</v>
          </cell>
          <cell r="P641">
            <v>411.7</v>
          </cell>
          <cell r="Q641">
            <v>8</v>
          </cell>
          <cell r="R641">
            <v>3293.6</v>
          </cell>
          <cell r="S641">
            <v>37809</v>
          </cell>
          <cell r="AG641" t="e">
            <v>#N/A</v>
          </cell>
          <cell r="AH641">
            <v>25</v>
          </cell>
          <cell r="AI641">
            <v>465</v>
          </cell>
          <cell r="AJ641">
            <v>3720</v>
          </cell>
        </row>
        <row r="642">
          <cell r="A642">
            <v>168983</v>
          </cell>
          <cell r="B642">
            <v>37726</v>
          </cell>
          <cell r="D642" t="str">
            <v>ENTEL CHILE - 1600001805</v>
          </cell>
          <cell r="E642">
            <v>3665006</v>
          </cell>
          <cell r="F642">
            <v>8088858</v>
          </cell>
          <cell r="G642">
            <v>2612005</v>
          </cell>
          <cell r="H642">
            <v>37729</v>
          </cell>
          <cell r="I642">
            <v>0.54</v>
          </cell>
          <cell r="J642">
            <v>3</v>
          </cell>
          <cell r="K642" t="str">
            <v>18.1</v>
          </cell>
          <cell r="M642" t="str">
            <v xml:space="preserve">CAB-ACI </v>
          </cell>
          <cell r="N642" t="str">
            <v>Power Cord-Italian</v>
          </cell>
          <cell r="O642">
            <v>0</v>
          </cell>
          <cell r="P642">
            <v>0</v>
          </cell>
          <cell r="Q642">
            <v>8</v>
          </cell>
          <cell r="R642">
            <v>0</v>
          </cell>
          <cell r="S642">
            <v>37809</v>
          </cell>
          <cell r="AG642" t="e">
            <v>#N/A</v>
          </cell>
          <cell r="AH642">
            <v>25</v>
          </cell>
          <cell r="AI642">
            <v>0</v>
          </cell>
          <cell r="AJ642">
            <v>0</v>
          </cell>
        </row>
        <row r="643">
          <cell r="A643">
            <v>168983</v>
          </cell>
          <cell r="B643">
            <v>37726</v>
          </cell>
          <cell r="D643" t="str">
            <v>ENTEL CHILE - 1600001805</v>
          </cell>
          <cell r="E643">
            <v>3665006</v>
          </cell>
          <cell r="F643">
            <v>8088858</v>
          </cell>
          <cell r="G643">
            <v>2612005</v>
          </cell>
          <cell r="H643">
            <v>37729</v>
          </cell>
          <cell r="I643">
            <v>0.54</v>
          </cell>
          <cell r="J643">
            <v>1</v>
          </cell>
          <cell r="K643" t="str">
            <v>19.0</v>
          </cell>
          <cell r="M643" t="str">
            <v xml:space="preserve">WIC-1ADSL= </v>
          </cell>
          <cell r="N643" t="str">
            <v>1-port ADSL WAN Interface Card/</v>
          </cell>
          <cell r="O643">
            <v>750</v>
          </cell>
          <cell r="P643">
            <v>345</v>
          </cell>
          <cell r="Q643">
            <v>5</v>
          </cell>
          <cell r="R643">
            <v>1725</v>
          </cell>
          <cell r="AG643" t="e">
            <v>#N/A</v>
          </cell>
          <cell r="AH643">
            <v>3</v>
          </cell>
          <cell r="AI643">
            <v>390</v>
          </cell>
          <cell r="AJ643">
            <v>1950</v>
          </cell>
        </row>
        <row r="644">
          <cell r="A644">
            <v>168983</v>
          </cell>
          <cell r="B644">
            <v>37726</v>
          </cell>
          <cell r="D644" t="str">
            <v>ENTEL CHILE - 1600001805</v>
          </cell>
          <cell r="E644">
            <v>3665006</v>
          </cell>
          <cell r="F644">
            <v>8088858</v>
          </cell>
          <cell r="G644">
            <v>2612005</v>
          </cell>
          <cell r="H644">
            <v>37729</v>
          </cell>
          <cell r="I644">
            <v>0.54</v>
          </cell>
          <cell r="J644">
            <v>1</v>
          </cell>
          <cell r="K644" t="str">
            <v>20.0</v>
          </cell>
          <cell r="M644" t="str">
            <v>Cisco827-4V</v>
          </cell>
          <cell r="N644" t="str">
            <v xml:space="preserve">Cisco 827-4V ADSL router 1E, 1ADSL, 4 Voice </v>
          </cell>
          <cell r="O644">
            <v>999</v>
          </cell>
          <cell r="P644">
            <v>459.53999999999996</v>
          </cell>
          <cell r="Q644">
            <v>7</v>
          </cell>
          <cell r="R644">
            <v>3216.7799999999997</v>
          </cell>
          <cell r="AG644" t="e">
            <v>#N/A</v>
          </cell>
          <cell r="AH644">
            <v>23</v>
          </cell>
          <cell r="AI644">
            <v>519</v>
          </cell>
          <cell r="AJ644">
            <v>3633</v>
          </cell>
        </row>
        <row r="645">
          <cell r="A645">
            <v>168983</v>
          </cell>
          <cell r="B645">
            <v>37726</v>
          </cell>
          <cell r="D645" t="str">
            <v>ENTEL CHILE - 1600001805</v>
          </cell>
          <cell r="E645">
            <v>3665006</v>
          </cell>
          <cell r="F645">
            <v>8088858</v>
          </cell>
          <cell r="G645">
            <v>2612005</v>
          </cell>
          <cell r="H645">
            <v>37729</v>
          </cell>
          <cell r="I645">
            <v>0.54</v>
          </cell>
          <cell r="J645">
            <v>1</v>
          </cell>
          <cell r="K645" t="str">
            <v>20.1</v>
          </cell>
          <cell r="M645" t="str">
            <v xml:space="preserve">CAB-ACI </v>
          </cell>
          <cell r="N645" t="str">
            <v>Power Cord-Italian</v>
          </cell>
          <cell r="O645">
            <v>0</v>
          </cell>
          <cell r="P645">
            <v>0</v>
          </cell>
          <cell r="Q645">
            <v>7</v>
          </cell>
          <cell r="R645">
            <v>0</v>
          </cell>
          <cell r="AG645" t="e">
            <v>#N/A</v>
          </cell>
          <cell r="AH645">
            <v>23</v>
          </cell>
          <cell r="AI645">
            <v>0</v>
          </cell>
          <cell r="AJ645">
            <v>0</v>
          </cell>
        </row>
        <row r="646">
          <cell r="A646">
            <v>168983</v>
          </cell>
          <cell r="B646">
            <v>37726</v>
          </cell>
          <cell r="D646" t="str">
            <v>ENTEL CHILE - 1600001805</v>
          </cell>
          <cell r="E646">
            <v>3665006</v>
          </cell>
          <cell r="F646">
            <v>8088858</v>
          </cell>
          <cell r="G646">
            <v>2612005</v>
          </cell>
          <cell r="H646">
            <v>37729</v>
          </cell>
          <cell r="I646">
            <v>0.54</v>
          </cell>
          <cell r="J646">
            <v>1</v>
          </cell>
          <cell r="K646" t="str">
            <v>20.2</v>
          </cell>
          <cell r="M646" t="str">
            <v xml:space="preserve">MEM820 -24U32D </v>
          </cell>
          <cell r="N646" t="str">
            <v>Cisco 820 DRAM 24 Mbyte upgarde to 32 mbytes</v>
          </cell>
          <cell r="O646">
            <v>0</v>
          </cell>
          <cell r="P646">
            <v>0</v>
          </cell>
          <cell r="Q646">
            <v>7</v>
          </cell>
          <cell r="R646">
            <v>0</v>
          </cell>
          <cell r="AG646" t="e">
            <v>#N/A</v>
          </cell>
          <cell r="AH646">
            <v>23</v>
          </cell>
          <cell r="AI646">
            <v>0</v>
          </cell>
          <cell r="AJ646">
            <v>0</v>
          </cell>
        </row>
        <row r="647">
          <cell r="A647">
            <v>168983</v>
          </cell>
          <cell r="B647">
            <v>37726</v>
          </cell>
          <cell r="D647" t="str">
            <v>ENTEL CHILE - 1600001805</v>
          </cell>
          <cell r="E647">
            <v>3665006</v>
          </cell>
          <cell r="F647">
            <v>8088858</v>
          </cell>
          <cell r="G647">
            <v>2612005</v>
          </cell>
          <cell r="H647">
            <v>37729</v>
          </cell>
          <cell r="I647">
            <v>0.54</v>
          </cell>
          <cell r="J647">
            <v>1</v>
          </cell>
          <cell r="K647" t="str">
            <v>20.3</v>
          </cell>
          <cell r="M647" t="str">
            <v>S820CHV-12208YN</v>
          </cell>
          <cell r="N647" t="str">
            <v>Cisco 820 Ser IOS IP/FW/VOICE</v>
          </cell>
          <cell r="O647">
            <v>0</v>
          </cell>
          <cell r="P647">
            <v>0</v>
          </cell>
          <cell r="Q647">
            <v>7</v>
          </cell>
          <cell r="R647">
            <v>0</v>
          </cell>
          <cell r="AG647" t="e">
            <v>#N/A</v>
          </cell>
          <cell r="AH647">
            <v>23</v>
          </cell>
          <cell r="AI647">
            <v>0</v>
          </cell>
          <cell r="AJ647">
            <v>0</v>
          </cell>
        </row>
        <row r="648">
          <cell r="A648">
            <v>168983</v>
          </cell>
          <cell r="B648">
            <v>37726</v>
          </cell>
          <cell r="D648" t="str">
            <v>ENTEL CHILE - 1600001805</v>
          </cell>
          <cell r="E648">
            <v>3665006</v>
          </cell>
          <cell r="F648">
            <v>8088858</v>
          </cell>
          <cell r="G648">
            <v>2612005</v>
          </cell>
          <cell r="H648">
            <v>37729</v>
          </cell>
          <cell r="I648">
            <v>0.54</v>
          </cell>
          <cell r="J648">
            <v>1</v>
          </cell>
          <cell r="K648" t="str">
            <v>20.4</v>
          </cell>
          <cell r="M648" t="str">
            <v>CAB-ADSL-RJ11</v>
          </cell>
          <cell r="N648" t="str">
            <v>lavender Cable for Xdsl, straight-through, RJ11, 6feet</v>
          </cell>
          <cell r="O648">
            <v>0</v>
          </cell>
          <cell r="P648">
            <v>0</v>
          </cell>
          <cell r="Q648">
            <v>7</v>
          </cell>
          <cell r="R648">
            <v>0</v>
          </cell>
          <cell r="AG648" t="e">
            <v>#N/A</v>
          </cell>
          <cell r="AH648">
            <v>23</v>
          </cell>
          <cell r="AI648">
            <v>0</v>
          </cell>
          <cell r="AJ648">
            <v>0</v>
          </cell>
        </row>
        <row r="649">
          <cell r="A649">
            <v>168983</v>
          </cell>
          <cell r="B649">
            <v>37726</v>
          </cell>
          <cell r="D649" t="str">
            <v>ENTEL CHILE - 1600001805</v>
          </cell>
          <cell r="E649">
            <v>3665006</v>
          </cell>
          <cell r="F649">
            <v>8088858</v>
          </cell>
          <cell r="G649">
            <v>2612005</v>
          </cell>
          <cell r="H649">
            <v>37729</v>
          </cell>
          <cell r="I649">
            <v>0.54</v>
          </cell>
          <cell r="J649">
            <v>1</v>
          </cell>
          <cell r="K649" t="str">
            <v>21.0</v>
          </cell>
          <cell r="M649" t="str">
            <v>Cisco 828</v>
          </cell>
          <cell r="N649" t="str">
            <v>Cisco 828 G.SHDSL Router 1E, 1G.SHDSL/</v>
          </cell>
          <cell r="O649">
            <v>749</v>
          </cell>
          <cell r="P649">
            <v>344.53999999999996</v>
          </cell>
          <cell r="Q649">
            <v>1</v>
          </cell>
          <cell r="R649">
            <v>344.53999999999996</v>
          </cell>
          <cell r="AG649" t="e">
            <v>#N/A</v>
          </cell>
          <cell r="AH649">
            <v>27</v>
          </cell>
          <cell r="AI649">
            <v>389</v>
          </cell>
          <cell r="AJ649">
            <v>389</v>
          </cell>
        </row>
        <row r="650">
          <cell r="A650">
            <v>168983</v>
          </cell>
          <cell r="B650">
            <v>37726</v>
          </cell>
          <cell r="D650" t="str">
            <v>ENTEL CHILE - 1600001805</v>
          </cell>
          <cell r="E650">
            <v>3665006</v>
          </cell>
          <cell r="F650">
            <v>8088858</v>
          </cell>
          <cell r="G650">
            <v>2612005</v>
          </cell>
          <cell r="H650">
            <v>37729</v>
          </cell>
          <cell r="I650">
            <v>0.54</v>
          </cell>
          <cell r="J650">
            <v>1</v>
          </cell>
          <cell r="K650" t="str">
            <v>21.1</v>
          </cell>
          <cell r="M650" t="str">
            <v xml:space="preserve">CAB-ACI </v>
          </cell>
          <cell r="N650" t="str">
            <v>Power Cord-Italian</v>
          </cell>
          <cell r="O650">
            <v>0</v>
          </cell>
          <cell r="P650">
            <v>0</v>
          </cell>
          <cell r="Q650">
            <v>1</v>
          </cell>
          <cell r="R650">
            <v>0</v>
          </cell>
          <cell r="AG650" t="e">
            <v>#N/A</v>
          </cell>
          <cell r="AH650">
            <v>27</v>
          </cell>
          <cell r="AI650">
            <v>0</v>
          </cell>
          <cell r="AJ650">
            <v>0</v>
          </cell>
        </row>
        <row r="651">
          <cell r="A651">
            <v>168983</v>
          </cell>
          <cell r="B651">
            <v>37726</v>
          </cell>
          <cell r="D651" t="str">
            <v>ENTEL CHILE - 1600001805</v>
          </cell>
          <cell r="E651">
            <v>3665006</v>
          </cell>
          <cell r="F651">
            <v>8088858</v>
          </cell>
          <cell r="G651">
            <v>2612005</v>
          </cell>
          <cell r="H651">
            <v>37729</v>
          </cell>
          <cell r="I651">
            <v>0.54</v>
          </cell>
          <cell r="J651">
            <v>1</v>
          </cell>
          <cell r="K651" t="str">
            <v>21.2</v>
          </cell>
          <cell r="M651" t="str">
            <v xml:space="preserve">MEM820 -16U32D  </v>
          </cell>
          <cell r="N651" t="str">
            <v>Cisco 820/806 DRAM upgrade 16 Mbyte -32Mbyte</v>
          </cell>
          <cell r="O651">
            <v>0</v>
          </cell>
          <cell r="P651">
            <v>0</v>
          </cell>
          <cell r="Q651">
            <v>1</v>
          </cell>
          <cell r="R651">
            <v>0</v>
          </cell>
          <cell r="AG651" t="e">
            <v>#N/A</v>
          </cell>
          <cell r="AH651">
            <v>27</v>
          </cell>
          <cell r="AI651">
            <v>0</v>
          </cell>
          <cell r="AJ651">
            <v>0</v>
          </cell>
        </row>
        <row r="652">
          <cell r="A652">
            <v>168983</v>
          </cell>
          <cell r="B652">
            <v>37726</v>
          </cell>
          <cell r="D652" t="str">
            <v>ENTEL CHILE - 1600001805</v>
          </cell>
          <cell r="E652">
            <v>3665006</v>
          </cell>
          <cell r="F652">
            <v>8088858</v>
          </cell>
          <cell r="G652">
            <v>2612005</v>
          </cell>
          <cell r="H652">
            <v>37729</v>
          </cell>
          <cell r="I652">
            <v>0.54</v>
          </cell>
          <cell r="J652">
            <v>1</v>
          </cell>
          <cell r="K652" t="str">
            <v>21.3</v>
          </cell>
          <cell r="M652" t="str">
            <v>S828CH-12208YM</v>
          </cell>
          <cell r="N652" t="str">
            <v>Cisco 828 Series IOS IP/FW</v>
          </cell>
          <cell r="O652">
            <v>0</v>
          </cell>
          <cell r="P652">
            <v>0</v>
          </cell>
          <cell r="Q652">
            <v>1</v>
          </cell>
          <cell r="R652">
            <v>0</v>
          </cell>
          <cell r="AG652" t="e">
            <v>#N/A</v>
          </cell>
          <cell r="AH652">
            <v>27</v>
          </cell>
          <cell r="AI652">
            <v>0</v>
          </cell>
          <cell r="AJ652">
            <v>0</v>
          </cell>
        </row>
        <row r="653">
          <cell r="A653">
            <v>168983</v>
          </cell>
          <cell r="B653">
            <v>37726</v>
          </cell>
          <cell r="D653" t="str">
            <v>ENTEL CHILE - 1600001805</v>
          </cell>
          <cell r="E653">
            <v>3665006</v>
          </cell>
          <cell r="F653">
            <v>8088858</v>
          </cell>
          <cell r="G653">
            <v>2612005</v>
          </cell>
          <cell r="H653">
            <v>37729</v>
          </cell>
          <cell r="I653">
            <v>0.54</v>
          </cell>
          <cell r="J653">
            <v>1</v>
          </cell>
          <cell r="K653" t="str">
            <v>22.0</v>
          </cell>
          <cell r="M653" t="str">
            <v>WIC-1SHDSL=</v>
          </cell>
          <cell r="N653" t="str">
            <v>1-port G.SHDSL WIC/</v>
          </cell>
          <cell r="O653">
            <v>950</v>
          </cell>
          <cell r="P653">
            <v>436.99999999999994</v>
          </cell>
          <cell r="Q653">
            <v>2</v>
          </cell>
          <cell r="R653">
            <v>873.99999999999989</v>
          </cell>
          <cell r="AG653" t="e">
            <v>#N/A</v>
          </cell>
          <cell r="AH653">
            <v>20</v>
          </cell>
          <cell r="AI653">
            <v>494</v>
          </cell>
          <cell r="AJ653">
            <v>988</v>
          </cell>
        </row>
        <row r="654">
          <cell r="A654">
            <v>168983</v>
          </cell>
          <cell r="B654">
            <v>37726</v>
          </cell>
          <cell r="D654" t="str">
            <v>ENTEL CHILE - 1600001805</v>
          </cell>
          <cell r="E654">
            <v>3665006</v>
          </cell>
          <cell r="F654">
            <v>8088858</v>
          </cell>
          <cell r="G654">
            <v>2612005</v>
          </cell>
          <cell r="H654">
            <v>37729</v>
          </cell>
          <cell r="I654">
            <v>0.54</v>
          </cell>
          <cell r="J654">
            <v>1</v>
          </cell>
          <cell r="K654" t="str">
            <v>23.0</v>
          </cell>
          <cell r="M654" t="str">
            <v xml:space="preserve">PVDM-256K-4 </v>
          </cell>
          <cell r="N654" t="str">
            <v xml:space="preserve">4 -Channel Packet Voice /Fax DSP Module/ </v>
          </cell>
          <cell r="O654">
            <v>400</v>
          </cell>
          <cell r="P654">
            <v>184</v>
          </cell>
          <cell r="Q654">
            <v>5</v>
          </cell>
          <cell r="R654">
            <v>920</v>
          </cell>
          <cell r="AG654" t="e">
            <v>#N/A</v>
          </cell>
          <cell r="AH654">
            <v>22</v>
          </cell>
          <cell r="AI654">
            <v>208</v>
          </cell>
          <cell r="AJ654">
            <v>1040</v>
          </cell>
        </row>
        <row r="655">
          <cell r="A655">
            <v>168983</v>
          </cell>
          <cell r="B655">
            <v>37726</v>
          </cell>
          <cell r="D655" t="str">
            <v>ENTEL CHILE - 1600001805</v>
          </cell>
          <cell r="E655">
            <v>3665006</v>
          </cell>
          <cell r="F655">
            <v>8088858</v>
          </cell>
          <cell r="G655">
            <v>2612005</v>
          </cell>
          <cell r="H655">
            <v>37729</v>
          </cell>
          <cell r="I655">
            <v>0.54</v>
          </cell>
          <cell r="J655">
            <v>1</v>
          </cell>
          <cell r="K655" t="str">
            <v>24.0</v>
          </cell>
          <cell r="M655" t="str">
            <v xml:space="preserve">Cisco2610XM </v>
          </cell>
          <cell r="N655" t="str">
            <v>10/100 Ethernt Router w/cisco IOS IP/</v>
          </cell>
          <cell r="O655">
            <v>1995</v>
          </cell>
          <cell r="P655">
            <v>917.69999999999993</v>
          </cell>
          <cell r="Q655">
            <v>7</v>
          </cell>
          <cell r="R655">
            <v>6423.9</v>
          </cell>
          <cell r="AG655" t="e">
            <v>#N/A</v>
          </cell>
          <cell r="AH655">
            <v>5</v>
          </cell>
          <cell r="AI655">
            <v>1037</v>
          </cell>
          <cell r="AJ655">
            <v>7259</v>
          </cell>
        </row>
        <row r="656">
          <cell r="A656">
            <v>168983</v>
          </cell>
          <cell r="B656">
            <v>37726</v>
          </cell>
          <cell r="D656" t="str">
            <v>ENTEL CHILE - 1600001805</v>
          </cell>
          <cell r="E656">
            <v>3665006</v>
          </cell>
          <cell r="F656">
            <v>8088858</v>
          </cell>
          <cell r="G656">
            <v>2612005</v>
          </cell>
          <cell r="H656">
            <v>37729</v>
          </cell>
          <cell r="I656">
            <v>0.54</v>
          </cell>
          <cell r="J656">
            <v>1</v>
          </cell>
          <cell r="K656" t="str">
            <v>24.1</v>
          </cell>
          <cell r="M656" t="str">
            <v xml:space="preserve">CAB-ACI </v>
          </cell>
          <cell r="N656" t="str">
            <v>Power Cord-Italian</v>
          </cell>
          <cell r="O656">
            <v>0</v>
          </cell>
          <cell r="P656">
            <v>0</v>
          </cell>
          <cell r="Q656">
            <v>7</v>
          </cell>
          <cell r="R656">
            <v>0</v>
          </cell>
          <cell r="AG656" t="e">
            <v>#N/A</v>
          </cell>
          <cell r="AH656">
            <v>5</v>
          </cell>
          <cell r="AI656">
            <v>0</v>
          </cell>
          <cell r="AJ656">
            <v>0</v>
          </cell>
        </row>
        <row r="657">
          <cell r="A657">
            <v>168983</v>
          </cell>
          <cell r="B657">
            <v>37726</v>
          </cell>
          <cell r="D657" t="str">
            <v>ENTEL CHILE - 1600001805</v>
          </cell>
          <cell r="E657">
            <v>3665006</v>
          </cell>
          <cell r="F657">
            <v>8088858</v>
          </cell>
          <cell r="G657">
            <v>2612005</v>
          </cell>
          <cell r="H657">
            <v>37729</v>
          </cell>
          <cell r="I657">
            <v>0.54</v>
          </cell>
          <cell r="J657">
            <v>1</v>
          </cell>
          <cell r="K657" t="str">
            <v>24.2</v>
          </cell>
          <cell r="M657" t="str">
            <v>S26C-12208T</v>
          </cell>
          <cell r="N657" t="str">
            <v>Cisco 2600 series IOS IP</v>
          </cell>
          <cell r="O657">
            <v>0</v>
          </cell>
          <cell r="P657">
            <v>0</v>
          </cell>
          <cell r="Q657">
            <v>7</v>
          </cell>
          <cell r="R657">
            <v>0</v>
          </cell>
          <cell r="AG657" t="e">
            <v>#N/A</v>
          </cell>
          <cell r="AH657">
            <v>5</v>
          </cell>
          <cell r="AI657">
            <v>0</v>
          </cell>
          <cell r="AJ657">
            <v>0</v>
          </cell>
        </row>
        <row r="658">
          <cell r="A658">
            <v>168983</v>
          </cell>
          <cell r="B658">
            <v>37726</v>
          </cell>
          <cell r="D658" t="str">
            <v>ENTEL CHILE - 1600001805</v>
          </cell>
          <cell r="E658">
            <v>3665006</v>
          </cell>
          <cell r="F658">
            <v>8088858</v>
          </cell>
          <cell r="G658">
            <v>2612005</v>
          </cell>
          <cell r="H658">
            <v>37729</v>
          </cell>
          <cell r="I658">
            <v>0.54</v>
          </cell>
          <cell r="J658">
            <v>1</v>
          </cell>
          <cell r="K658" t="str">
            <v>24.3</v>
          </cell>
          <cell r="M658" t="str">
            <v>MEM2600XM-32D-INC</v>
          </cell>
          <cell r="N658" t="str">
            <v>32MB DRAM Memory Factory default for the cisco 261x/2xXM</v>
          </cell>
          <cell r="O658">
            <v>0</v>
          </cell>
          <cell r="P658">
            <v>0</v>
          </cell>
          <cell r="Q658">
            <v>7</v>
          </cell>
          <cell r="R658">
            <v>0</v>
          </cell>
          <cell r="AG658" t="e">
            <v>#N/A</v>
          </cell>
          <cell r="AH658">
            <v>5</v>
          </cell>
          <cell r="AI658">
            <v>0</v>
          </cell>
          <cell r="AJ658">
            <v>0</v>
          </cell>
        </row>
        <row r="659">
          <cell r="A659">
            <v>168983</v>
          </cell>
          <cell r="B659">
            <v>37726</v>
          </cell>
          <cell r="D659" t="str">
            <v>ENTEL CHILE - 1600001805</v>
          </cell>
          <cell r="E659">
            <v>3665006</v>
          </cell>
          <cell r="F659">
            <v>8088858</v>
          </cell>
          <cell r="G659">
            <v>2612005</v>
          </cell>
          <cell r="H659">
            <v>37729</v>
          </cell>
          <cell r="I659">
            <v>0.54</v>
          </cell>
          <cell r="J659">
            <v>1</v>
          </cell>
          <cell r="K659" t="str">
            <v>24.4</v>
          </cell>
          <cell r="M659" t="str">
            <v>MEN2600XM-16FS-INC</v>
          </cell>
          <cell r="N659" t="str">
            <v xml:space="preserve">16MB Flash factory default for the cisco 2600XM </v>
          </cell>
          <cell r="O659">
            <v>0</v>
          </cell>
          <cell r="P659">
            <v>0</v>
          </cell>
          <cell r="Q659">
            <v>7</v>
          </cell>
          <cell r="R659">
            <v>0</v>
          </cell>
          <cell r="AG659" t="e">
            <v>#N/A</v>
          </cell>
          <cell r="AH659">
            <v>5</v>
          </cell>
          <cell r="AI659">
            <v>0</v>
          </cell>
          <cell r="AJ659">
            <v>0</v>
          </cell>
        </row>
        <row r="660">
          <cell r="A660">
            <v>168983</v>
          </cell>
          <cell r="B660">
            <v>37726</v>
          </cell>
          <cell r="D660" t="str">
            <v>ENTEL CHILE - 1600001805</v>
          </cell>
          <cell r="E660">
            <v>3665006</v>
          </cell>
          <cell r="F660">
            <v>8088858</v>
          </cell>
          <cell r="G660">
            <v>2612005</v>
          </cell>
          <cell r="H660">
            <v>37729</v>
          </cell>
          <cell r="I660">
            <v>0.54</v>
          </cell>
          <cell r="J660">
            <v>1</v>
          </cell>
          <cell r="K660" t="str">
            <v>25.0</v>
          </cell>
          <cell r="M660" t="str">
            <v>Cisco 2611XM</v>
          </cell>
          <cell r="N660" t="str">
            <v>Dual 10/100 Ethernet router w/cisco IOS IP/</v>
          </cell>
          <cell r="O660">
            <v>2495</v>
          </cell>
          <cell r="P660">
            <v>1147.6999999999998</v>
          </cell>
          <cell r="Q660">
            <v>10</v>
          </cell>
          <cell r="R660">
            <v>11476.999999999998</v>
          </cell>
          <cell r="AG660" t="e">
            <v>#N/A</v>
          </cell>
          <cell r="AH660">
            <v>8</v>
          </cell>
          <cell r="AI660">
            <v>1297</v>
          </cell>
          <cell r="AJ660">
            <v>12970</v>
          </cell>
        </row>
        <row r="661">
          <cell r="A661">
            <v>168983</v>
          </cell>
          <cell r="B661">
            <v>37726</v>
          </cell>
          <cell r="D661" t="str">
            <v>ENTEL CHILE - 1600001805</v>
          </cell>
          <cell r="E661">
            <v>3665006</v>
          </cell>
          <cell r="F661">
            <v>8088858</v>
          </cell>
          <cell r="G661">
            <v>2612005</v>
          </cell>
          <cell r="H661">
            <v>37729</v>
          </cell>
          <cell r="I661">
            <v>0.54</v>
          </cell>
          <cell r="J661">
            <v>1</v>
          </cell>
          <cell r="K661" t="str">
            <v>25.1</v>
          </cell>
          <cell r="M661" t="str">
            <v xml:space="preserve">CAB-ACI </v>
          </cell>
          <cell r="N661" t="str">
            <v>Power Cord-Italian</v>
          </cell>
          <cell r="O661">
            <v>0</v>
          </cell>
          <cell r="P661">
            <v>0</v>
          </cell>
          <cell r="Q661">
            <v>10</v>
          </cell>
          <cell r="R661">
            <v>0</v>
          </cell>
          <cell r="AG661" t="e">
            <v>#N/A</v>
          </cell>
          <cell r="AH661">
            <v>8</v>
          </cell>
          <cell r="AI661">
            <v>0</v>
          </cell>
          <cell r="AJ661">
            <v>0</v>
          </cell>
        </row>
        <row r="662">
          <cell r="A662">
            <v>168983</v>
          </cell>
          <cell r="B662">
            <v>37726</v>
          </cell>
          <cell r="D662" t="str">
            <v>ENTEL CHILE - 1600001805</v>
          </cell>
          <cell r="E662">
            <v>3665006</v>
          </cell>
          <cell r="F662">
            <v>8088858</v>
          </cell>
          <cell r="G662">
            <v>2612005</v>
          </cell>
          <cell r="H662">
            <v>37729</v>
          </cell>
          <cell r="I662">
            <v>0.54</v>
          </cell>
          <cell r="J662">
            <v>1</v>
          </cell>
          <cell r="K662" t="str">
            <v>25.2</v>
          </cell>
          <cell r="M662" t="str">
            <v>S26C-12208T</v>
          </cell>
          <cell r="N662" t="str">
            <v>Cisco 2600 series IOS IP</v>
          </cell>
          <cell r="O662">
            <v>0</v>
          </cell>
          <cell r="P662">
            <v>0</v>
          </cell>
          <cell r="Q662">
            <v>10</v>
          </cell>
          <cell r="R662">
            <v>0</v>
          </cell>
          <cell r="AG662" t="e">
            <v>#N/A</v>
          </cell>
          <cell r="AH662">
            <v>8</v>
          </cell>
          <cell r="AI662">
            <v>0</v>
          </cell>
          <cell r="AJ662">
            <v>0</v>
          </cell>
        </row>
        <row r="663">
          <cell r="A663">
            <v>168983</v>
          </cell>
          <cell r="B663">
            <v>37726</v>
          </cell>
          <cell r="D663" t="str">
            <v>ENTEL CHILE - 1600001805</v>
          </cell>
          <cell r="E663">
            <v>3665006</v>
          </cell>
          <cell r="F663">
            <v>8088858</v>
          </cell>
          <cell r="G663">
            <v>2612005</v>
          </cell>
          <cell r="H663">
            <v>37729</v>
          </cell>
          <cell r="I663">
            <v>0.54</v>
          </cell>
          <cell r="J663">
            <v>1</v>
          </cell>
          <cell r="K663" t="str">
            <v>25.3</v>
          </cell>
          <cell r="M663" t="str">
            <v>MEM2600XM-32D-INC</v>
          </cell>
          <cell r="N663" t="str">
            <v>32MB DRAM Memory Factory default for the cisco 261x/2xXM</v>
          </cell>
          <cell r="O663">
            <v>0</v>
          </cell>
          <cell r="P663">
            <v>0</v>
          </cell>
          <cell r="Q663">
            <v>10</v>
          </cell>
          <cell r="R663">
            <v>0</v>
          </cell>
          <cell r="AG663" t="e">
            <v>#N/A</v>
          </cell>
          <cell r="AH663">
            <v>8</v>
          </cell>
          <cell r="AI663">
            <v>0</v>
          </cell>
          <cell r="AJ663">
            <v>0</v>
          </cell>
        </row>
        <row r="664">
          <cell r="A664">
            <v>168983</v>
          </cell>
          <cell r="B664">
            <v>37726</v>
          </cell>
          <cell r="D664" t="str">
            <v>ENTEL CHILE - 1600001805</v>
          </cell>
          <cell r="E664">
            <v>3665006</v>
          </cell>
          <cell r="F664">
            <v>8088858</v>
          </cell>
          <cell r="G664">
            <v>2612005</v>
          </cell>
          <cell r="H664">
            <v>37729</v>
          </cell>
          <cell r="I664">
            <v>0.54</v>
          </cell>
          <cell r="J664">
            <v>1</v>
          </cell>
          <cell r="K664" t="str">
            <v>25.4</v>
          </cell>
          <cell r="M664" t="str">
            <v>MEM2600XM-16FS-INC</v>
          </cell>
          <cell r="N664" t="str">
            <v xml:space="preserve">16MB Flash factory default for the cisco 2600XM </v>
          </cell>
          <cell r="O664">
            <v>0</v>
          </cell>
          <cell r="P664">
            <v>0</v>
          </cell>
          <cell r="Q664">
            <v>10</v>
          </cell>
          <cell r="R664">
            <v>0</v>
          </cell>
          <cell r="AG664" t="e">
            <v>#N/A</v>
          </cell>
          <cell r="AH664">
            <v>8</v>
          </cell>
          <cell r="AI664">
            <v>0</v>
          </cell>
          <cell r="AJ664">
            <v>0</v>
          </cell>
        </row>
        <row r="665">
          <cell r="A665">
            <v>168983</v>
          </cell>
          <cell r="B665">
            <v>37726</v>
          </cell>
          <cell r="D665" t="str">
            <v>ENTEL CHILE - 1600001805</v>
          </cell>
          <cell r="E665">
            <v>3665006</v>
          </cell>
          <cell r="F665">
            <v>8088858</v>
          </cell>
          <cell r="G665">
            <v>2612005</v>
          </cell>
          <cell r="H665">
            <v>37729</v>
          </cell>
          <cell r="I665">
            <v>0.54</v>
          </cell>
          <cell r="J665">
            <v>3</v>
          </cell>
          <cell r="K665" t="str">
            <v>26.0</v>
          </cell>
          <cell r="M665" t="str">
            <v>WS-C3550-24-SMI</v>
          </cell>
          <cell r="N665" t="str">
            <v>24-10/100 AND 2 GBIC ports :Std Multilayer SW Image</v>
          </cell>
          <cell r="O665">
            <v>2995</v>
          </cell>
          <cell r="P665">
            <v>1377.6999999999998</v>
          </cell>
          <cell r="Q665">
            <v>1</v>
          </cell>
          <cell r="R665">
            <v>1377.6999999999998</v>
          </cell>
          <cell r="S665">
            <v>37809</v>
          </cell>
          <cell r="AG665" t="e">
            <v>#N/A</v>
          </cell>
          <cell r="AH665">
            <v>19</v>
          </cell>
          <cell r="AI665">
            <v>1557</v>
          </cell>
          <cell r="AJ665">
            <v>1557</v>
          </cell>
        </row>
        <row r="666">
          <cell r="A666">
            <v>168983</v>
          </cell>
          <cell r="B666">
            <v>37726</v>
          </cell>
          <cell r="D666" t="str">
            <v>ENTEL CHILE - 1600001805</v>
          </cell>
          <cell r="E666">
            <v>3665006</v>
          </cell>
          <cell r="F666">
            <v>8088858</v>
          </cell>
          <cell r="G666">
            <v>2612005</v>
          </cell>
          <cell r="H666">
            <v>37729</v>
          </cell>
          <cell r="I666">
            <v>0.54</v>
          </cell>
          <cell r="J666">
            <v>3</v>
          </cell>
          <cell r="K666" t="str">
            <v>26.1</v>
          </cell>
          <cell r="M666" t="str">
            <v xml:space="preserve">CAB-ACI </v>
          </cell>
          <cell r="N666" t="str">
            <v>Power Cord-Italian</v>
          </cell>
          <cell r="O666">
            <v>0</v>
          </cell>
          <cell r="P666">
            <v>0</v>
          </cell>
          <cell r="Q666">
            <v>1</v>
          </cell>
          <cell r="R666">
            <v>0</v>
          </cell>
          <cell r="S666">
            <v>37809</v>
          </cell>
          <cell r="AG666" t="e">
            <v>#N/A</v>
          </cell>
          <cell r="AH666">
            <v>19</v>
          </cell>
          <cell r="AI666">
            <v>0</v>
          </cell>
          <cell r="AJ666">
            <v>0</v>
          </cell>
        </row>
        <row r="667">
          <cell r="A667">
            <v>168983</v>
          </cell>
          <cell r="B667">
            <v>37726</v>
          </cell>
          <cell r="D667" t="str">
            <v>ENTEL CHILE - 1600001805</v>
          </cell>
          <cell r="E667">
            <v>3665006</v>
          </cell>
          <cell r="F667">
            <v>8088858</v>
          </cell>
          <cell r="G667">
            <v>2612005</v>
          </cell>
          <cell r="H667">
            <v>37729</v>
          </cell>
          <cell r="I667">
            <v>0.54</v>
          </cell>
          <cell r="J667">
            <v>1</v>
          </cell>
          <cell r="K667" t="str">
            <v>27.0</v>
          </cell>
          <cell r="M667" t="str">
            <v>WIC-1T=</v>
          </cell>
          <cell r="N667" t="str">
            <v>1-Port serial WAN Interface Car/</v>
          </cell>
          <cell r="O667">
            <v>400</v>
          </cell>
          <cell r="P667">
            <v>184</v>
          </cell>
          <cell r="Q667">
            <v>20</v>
          </cell>
          <cell r="R667">
            <v>3680</v>
          </cell>
          <cell r="AG667" t="e">
            <v>#N/A</v>
          </cell>
          <cell r="AH667">
            <v>18</v>
          </cell>
          <cell r="AI667">
            <v>208</v>
          </cell>
          <cell r="AJ667">
            <v>4160</v>
          </cell>
        </row>
        <row r="668">
          <cell r="A668">
            <v>168983</v>
          </cell>
          <cell r="B668">
            <v>37726</v>
          </cell>
          <cell r="D668" t="str">
            <v>ENTEL CHILE - 1600001805</v>
          </cell>
          <cell r="E668">
            <v>3665006</v>
          </cell>
          <cell r="F668">
            <v>8088858</v>
          </cell>
          <cell r="G668">
            <v>2612005</v>
          </cell>
          <cell r="H668">
            <v>37729</v>
          </cell>
          <cell r="I668">
            <v>0.54</v>
          </cell>
          <cell r="J668">
            <v>1</v>
          </cell>
          <cell r="K668" t="str">
            <v>28.0</v>
          </cell>
          <cell r="M668" t="str">
            <v xml:space="preserve">WIC-1ENET = </v>
          </cell>
          <cell r="N668" t="str">
            <v>Single-Port Ethernet WAN Interface Card</v>
          </cell>
          <cell r="O668">
            <v>300</v>
          </cell>
          <cell r="P668">
            <v>138</v>
          </cell>
          <cell r="Q668">
            <v>3</v>
          </cell>
          <cell r="R668">
            <v>414</v>
          </cell>
          <cell r="AG668" t="e">
            <v>#N/A</v>
          </cell>
          <cell r="AH668">
            <v>21</v>
          </cell>
          <cell r="AI668">
            <v>156</v>
          </cell>
          <cell r="AJ668">
            <v>468</v>
          </cell>
        </row>
        <row r="669">
          <cell r="A669">
            <v>168983</v>
          </cell>
          <cell r="B669">
            <v>37726</v>
          </cell>
          <cell r="D669" t="str">
            <v>ENTEL CHILE - 1600001805</v>
          </cell>
          <cell r="E669">
            <v>3665006</v>
          </cell>
          <cell r="F669">
            <v>8088858</v>
          </cell>
          <cell r="G669">
            <v>2612005</v>
          </cell>
          <cell r="H669">
            <v>37729</v>
          </cell>
          <cell r="I669">
            <v>0.54</v>
          </cell>
          <cell r="J669">
            <v>2</v>
          </cell>
          <cell r="K669" t="str">
            <v>29.0</v>
          </cell>
          <cell r="M669" t="str">
            <v>Cisco 1760-V</v>
          </cell>
          <cell r="N669" t="str">
            <v>10/100 Modular Router w/voice, 19 inch Chassis/</v>
          </cell>
          <cell r="O669">
            <v>2595</v>
          </cell>
          <cell r="P669">
            <v>1193.6999999999998</v>
          </cell>
          <cell r="Q669">
            <v>5</v>
          </cell>
          <cell r="R669">
            <v>5968.4999999999991</v>
          </cell>
          <cell r="S669">
            <v>37809</v>
          </cell>
          <cell r="AG669" t="e">
            <v>#N/A</v>
          </cell>
          <cell r="AH669">
            <v>24</v>
          </cell>
          <cell r="AI669">
            <v>1349</v>
          </cell>
          <cell r="AJ669">
            <v>6745</v>
          </cell>
        </row>
        <row r="670">
          <cell r="A670">
            <v>168983</v>
          </cell>
          <cell r="B670">
            <v>37726</v>
          </cell>
          <cell r="D670" t="str">
            <v>ENTEL CHILE - 1600001805</v>
          </cell>
          <cell r="E670">
            <v>3665006</v>
          </cell>
          <cell r="F670">
            <v>8088858</v>
          </cell>
          <cell r="G670">
            <v>2612005</v>
          </cell>
          <cell r="H670">
            <v>37729</v>
          </cell>
          <cell r="I670">
            <v>0.54</v>
          </cell>
          <cell r="J670">
            <v>2</v>
          </cell>
          <cell r="K670" t="str">
            <v>29.1</v>
          </cell>
          <cell r="M670" t="str">
            <v xml:space="preserve">CAB -ACI </v>
          </cell>
          <cell r="N670" t="str">
            <v>Power Cord-Italian</v>
          </cell>
          <cell r="O670">
            <v>0</v>
          </cell>
          <cell r="P670">
            <v>0</v>
          </cell>
          <cell r="Q670">
            <v>5</v>
          </cell>
          <cell r="R670">
            <v>0</v>
          </cell>
          <cell r="S670">
            <v>37809</v>
          </cell>
          <cell r="AG670" t="e">
            <v>#N/A</v>
          </cell>
          <cell r="AH670">
            <v>24</v>
          </cell>
          <cell r="AI670">
            <v>0</v>
          </cell>
          <cell r="AJ670">
            <v>0</v>
          </cell>
        </row>
        <row r="671">
          <cell r="A671">
            <v>168983</v>
          </cell>
          <cell r="B671">
            <v>37726</v>
          </cell>
          <cell r="D671" t="str">
            <v>ENTEL CHILE - 1600001805</v>
          </cell>
          <cell r="E671">
            <v>3665006</v>
          </cell>
          <cell r="F671">
            <v>8088858</v>
          </cell>
          <cell r="G671">
            <v>2612005</v>
          </cell>
          <cell r="H671">
            <v>37729</v>
          </cell>
          <cell r="I671">
            <v>0.54</v>
          </cell>
          <cell r="J671">
            <v>2</v>
          </cell>
          <cell r="K671" t="str">
            <v>29.2</v>
          </cell>
          <cell r="M671" t="str">
            <v>S17CV8P-12208YJ</v>
          </cell>
          <cell r="N671" t="str">
            <v>Cisco 1700 IOS IP/VOX PLUS</v>
          </cell>
          <cell r="O671">
            <v>0</v>
          </cell>
          <cell r="P671">
            <v>0</v>
          </cell>
          <cell r="Q671">
            <v>5</v>
          </cell>
          <cell r="R671">
            <v>0</v>
          </cell>
          <cell r="S671">
            <v>37809</v>
          </cell>
          <cell r="AG671" t="e">
            <v>#N/A</v>
          </cell>
          <cell r="AH671">
            <v>24</v>
          </cell>
          <cell r="AI671">
            <v>0</v>
          </cell>
          <cell r="AJ671">
            <v>0</v>
          </cell>
        </row>
        <row r="672">
          <cell r="A672">
            <v>168983</v>
          </cell>
          <cell r="B672">
            <v>37726</v>
          </cell>
          <cell r="D672" t="str">
            <v>ENTEL CHILE - 1600001805</v>
          </cell>
          <cell r="E672">
            <v>3665006</v>
          </cell>
          <cell r="F672">
            <v>8088858</v>
          </cell>
          <cell r="G672">
            <v>2612005</v>
          </cell>
          <cell r="H672">
            <v>37729</v>
          </cell>
          <cell r="I672">
            <v>0.54</v>
          </cell>
          <cell r="J672">
            <v>2</v>
          </cell>
          <cell r="K672" t="str">
            <v>29.3</v>
          </cell>
          <cell r="M672" t="str">
            <v>MEM1700-16U32MFS</v>
          </cell>
          <cell r="N672" t="str">
            <v>Cisco 1700 16MB to 32MB Flash SIMM Factory upgrade</v>
          </cell>
          <cell r="O672">
            <v>0</v>
          </cell>
          <cell r="P672">
            <v>0</v>
          </cell>
          <cell r="Q672">
            <v>5</v>
          </cell>
          <cell r="R672">
            <v>0</v>
          </cell>
          <cell r="S672">
            <v>37809</v>
          </cell>
          <cell r="AG672" t="e">
            <v>#N/A</v>
          </cell>
          <cell r="AH672">
            <v>24</v>
          </cell>
          <cell r="AI672">
            <v>0</v>
          </cell>
          <cell r="AJ672">
            <v>0</v>
          </cell>
        </row>
        <row r="673">
          <cell r="A673">
            <v>168983</v>
          </cell>
          <cell r="B673">
            <v>37726</v>
          </cell>
          <cell r="D673" t="str">
            <v>ENTEL CHILE - 1600001805</v>
          </cell>
          <cell r="E673">
            <v>3665006</v>
          </cell>
          <cell r="F673">
            <v>8088858</v>
          </cell>
          <cell r="G673">
            <v>2612005</v>
          </cell>
          <cell r="H673">
            <v>37729</v>
          </cell>
          <cell r="I673">
            <v>0.54</v>
          </cell>
          <cell r="J673">
            <v>2</v>
          </cell>
          <cell r="K673" t="str">
            <v>29.4</v>
          </cell>
          <cell r="M673" t="str">
            <v>MEN 1700-32U64D</v>
          </cell>
          <cell r="N673" t="str">
            <v xml:space="preserve">Cisco 1700 32MB  to 64MB DRAM Factory Upgrade </v>
          </cell>
          <cell r="O673">
            <v>0</v>
          </cell>
          <cell r="P673">
            <v>0</v>
          </cell>
          <cell r="Q673">
            <v>5</v>
          </cell>
          <cell r="R673">
            <v>0</v>
          </cell>
          <cell r="S673">
            <v>37809</v>
          </cell>
          <cell r="AG673" t="e">
            <v>#N/A</v>
          </cell>
          <cell r="AH673">
            <v>24</v>
          </cell>
          <cell r="AI673">
            <v>0</v>
          </cell>
          <cell r="AJ673">
            <v>0</v>
          </cell>
        </row>
        <row r="674">
          <cell r="A674">
            <v>168983</v>
          </cell>
          <cell r="B674">
            <v>37726</v>
          </cell>
          <cell r="D674" t="str">
            <v>ENTEL CHILE - 1600001805</v>
          </cell>
          <cell r="E674">
            <v>3665006</v>
          </cell>
          <cell r="F674">
            <v>8088858</v>
          </cell>
          <cell r="G674">
            <v>2612005</v>
          </cell>
          <cell r="H674">
            <v>37729</v>
          </cell>
          <cell r="I674">
            <v>0.54</v>
          </cell>
          <cell r="J674">
            <v>2</v>
          </cell>
          <cell r="K674" t="str">
            <v>29.5</v>
          </cell>
          <cell r="M674" t="str">
            <v xml:space="preserve">PVDM-256K-4 </v>
          </cell>
          <cell r="N674" t="str">
            <v xml:space="preserve">4 Channel Packet Voice/Fax DSP Module </v>
          </cell>
          <cell r="O674">
            <v>0</v>
          </cell>
          <cell r="P674">
            <v>0</v>
          </cell>
          <cell r="Q674">
            <v>5</v>
          </cell>
          <cell r="R674">
            <v>0</v>
          </cell>
          <cell r="S674">
            <v>37809</v>
          </cell>
          <cell r="AG674" t="e">
            <v>#N/A</v>
          </cell>
          <cell r="AH674">
            <v>24</v>
          </cell>
          <cell r="AI674">
            <v>0</v>
          </cell>
          <cell r="AJ674">
            <v>0</v>
          </cell>
        </row>
        <row r="675">
          <cell r="A675">
            <v>168983</v>
          </cell>
          <cell r="B675">
            <v>37726</v>
          </cell>
          <cell r="D675" t="str">
            <v>ENTEL CHILE - 1600001805</v>
          </cell>
          <cell r="E675">
            <v>3665006</v>
          </cell>
          <cell r="F675">
            <v>8088858</v>
          </cell>
          <cell r="G675">
            <v>2612005</v>
          </cell>
          <cell r="H675">
            <v>37729</v>
          </cell>
          <cell r="I675">
            <v>0.54</v>
          </cell>
          <cell r="J675">
            <v>1</v>
          </cell>
          <cell r="K675" t="str">
            <v>30.0</v>
          </cell>
          <cell r="M675" t="str">
            <v>Cisco 1721</v>
          </cell>
          <cell r="N675" t="str">
            <v>10/100Base Modular router w/2WAN slots, 16M flash/32M Dram</v>
          </cell>
          <cell r="O675">
            <v>1195</v>
          </cell>
          <cell r="P675">
            <v>549.69999999999993</v>
          </cell>
          <cell r="Q675">
            <v>10</v>
          </cell>
          <cell r="R675">
            <v>5496.9999999999991</v>
          </cell>
          <cell r="AG675" t="e">
            <v>#N/A</v>
          </cell>
          <cell r="AH675">
            <v>28</v>
          </cell>
          <cell r="AI675">
            <v>621</v>
          </cell>
          <cell r="AJ675">
            <v>6210</v>
          </cell>
        </row>
        <row r="676">
          <cell r="A676">
            <v>168983</v>
          </cell>
          <cell r="B676">
            <v>37726</v>
          </cell>
          <cell r="D676" t="str">
            <v>ENTEL CHILE - 1600001805</v>
          </cell>
          <cell r="E676">
            <v>3665006</v>
          </cell>
          <cell r="F676">
            <v>8088858</v>
          </cell>
          <cell r="G676">
            <v>2612005</v>
          </cell>
          <cell r="H676">
            <v>37729</v>
          </cell>
          <cell r="I676">
            <v>0.54</v>
          </cell>
          <cell r="J676">
            <v>1</v>
          </cell>
          <cell r="K676" t="str">
            <v>30.1</v>
          </cell>
          <cell r="M676" t="str">
            <v xml:space="preserve">CAB -ACI </v>
          </cell>
          <cell r="N676" t="str">
            <v>Power Cord-Italian</v>
          </cell>
          <cell r="O676">
            <v>0</v>
          </cell>
          <cell r="P676">
            <v>0</v>
          </cell>
          <cell r="Q676">
            <v>10</v>
          </cell>
          <cell r="R676">
            <v>0</v>
          </cell>
          <cell r="AG676" t="e">
            <v>#N/A</v>
          </cell>
          <cell r="AH676">
            <v>28</v>
          </cell>
          <cell r="AI676">
            <v>0</v>
          </cell>
          <cell r="AJ676">
            <v>0</v>
          </cell>
        </row>
        <row r="677">
          <cell r="A677">
            <v>168983</v>
          </cell>
          <cell r="B677">
            <v>37726</v>
          </cell>
          <cell r="D677" t="str">
            <v>ENTEL CHILE - 1600001805</v>
          </cell>
          <cell r="E677">
            <v>3665006</v>
          </cell>
          <cell r="F677">
            <v>8088858</v>
          </cell>
          <cell r="G677">
            <v>2612005</v>
          </cell>
          <cell r="H677">
            <v>37729</v>
          </cell>
          <cell r="I677">
            <v>0.54</v>
          </cell>
          <cell r="J677">
            <v>1</v>
          </cell>
          <cell r="K677" t="str">
            <v>30.2</v>
          </cell>
          <cell r="M677" t="str">
            <v>S17C-12204YA</v>
          </cell>
          <cell r="N677" t="str">
            <v>Cisco 1700 IOS IP</v>
          </cell>
          <cell r="O677">
            <v>0</v>
          </cell>
          <cell r="P677">
            <v>0</v>
          </cell>
          <cell r="Q677">
            <v>10</v>
          </cell>
          <cell r="R677">
            <v>0</v>
          </cell>
          <cell r="AG677" t="e">
            <v>#N/A</v>
          </cell>
          <cell r="AH677">
            <v>28</v>
          </cell>
          <cell r="AI677">
            <v>0</v>
          </cell>
          <cell r="AJ677">
            <v>0</v>
          </cell>
        </row>
        <row r="678">
          <cell r="A678">
            <v>168984</v>
          </cell>
          <cell r="B678">
            <v>37726</v>
          </cell>
          <cell r="D678" t="str">
            <v>ENTEL CHILE - 1600001803</v>
          </cell>
          <cell r="E678">
            <v>3665425</v>
          </cell>
          <cell r="F678">
            <v>8088721</v>
          </cell>
          <cell r="G678">
            <v>2609843</v>
          </cell>
          <cell r="H678">
            <v>37729</v>
          </cell>
          <cell r="I678">
            <v>0.54</v>
          </cell>
          <cell r="J678">
            <v>1</v>
          </cell>
          <cell r="K678">
            <v>1</v>
          </cell>
          <cell r="M678" t="str">
            <v>CISCO7204VXR</v>
          </cell>
          <cell r="N678" t="str">
            <v>Cisco 7204VXR, 4-slot chassis, 1 AC Supply w/IP Software</v>
          </cell>
          <cell r="O678">
            <v>6000</v>
          </cell>
          <cell r="P678">
            <v>2760</v>
          </cell>
          <cell r="Q678">
            <v>1</v>
          </cell>
          <cell r="R678">
            <v>2760</v>
          </cell>
          <cell r="AF678" t="str">
            <v>B</v>
          </cell>
          <cell r="AG678">
            <v>276</v>
          </cell>
          <cell r="AH678">
            <v>5</v>
          </cell>
          <cell r="AI678">
            <v>3900</v>
          </cell>
          <cell r="AJ678">
            <v>3900</v>
          </cell>
        </row>
        <row r="679">
          <cell r="A679">
            <v>168984</v>
          </cell>
          <cell r="B679">
            <v>37726</v>
          </cell>
          <cell r="D679" t="str">
            <v>ENTEL CHILE - 1600001803</v>
          </cell>
          <cell r="E679">
            <v>3665425</v>
          </cell>
          <cell r="F679">
            <v>8088721</v>
          </cell>
          <cell r="G679">
            <v>2609843</v>
          </cell>
          <cell r="H679">
            <v>37729</v>
          </cell>
          <cell r="I679">
            <v>0.54</v>
          </cell>
          <cell r="J679">
            <v>1</v>
          </cell>
          <cell r="K679">
            <v>1.1000000000000001</v>
          </cell>
          <cell r="M679" t="str">
            <v>PWR-7200</v>
          </cell>
          <cell r="N679" t="str">
            <v>Cisco 7200 AC Power Supply Option</v>
          </cell>
          <cell r="O679">
            <v>0</v>
          </cell>
          <cell r="P679">
            <v>0</v>
          </cell>
          <cell r="Q679">
            <v>1</v>
          </cell>
          <cell r="R679">
            <v>0</v>
          </cell>
          <cell r="AF679" t="str">
            <v>B</v>
          </cell>
          <cell r="AG679">
            <v>0</v>
          </cell>
          <cell r="AH679">
            <v>6</v>
          </cell>
          <cell r="AI679">
            <v>3120</v>
          </cell>
          <cell r="AJ679">
            <v>3120</v>
          </cell>
        </row>
        <row r="680">
          <cell r="A680">
            <v>168984</v>
          </cell>
          <cell r="B680">
            <v>37726</v>
          </cell>
          <cell r="D680" t="str">
            <v>ENTEL CHILE - 1600001803</v>
          </cell>
          <cell r="E680">
            <v>3665425</v>
          </cell>
          <cell r="F680">
            <v>8088721</v>
          </cell>
          <cell r="G680">
            <v>2609843</v>
          </cell>
          <cell r="H680">
            <v>37729</v>
          </cell>
          <cell r="I680">
            <v>0.54</v>
          </cell>
          <cell r="J680">
            <v>1</v>
          </cell>
          <cell r="K680">
            <v>1.2</v>
          </cell>
          <cell r="M680" t="str">
            <v>CAB-ACI</v>
          </cell>
          <cell r="N680" t="str">
            <v>Power Cord-Italian</v>
          </cell>
          <cell r="O680">
            <v>0</v>
          </cell>
          <cell r="P680">
            <v>0</v>
          </cell>
          <cell r="Q680">
            <v>1</v>
          </cell>
          <cell r="R680">
            <v>0</v>
          </cell>
          <cell r="AF680" t="str">
            <v>-</v>
          </cell>
          <cell r="AG680">
            <v>0</v>
          </cell>
          <cell r="AH680">
            <v>6</v>
          </cell>
          <cell r="AI680">
            <v>0</v>
          </cell>
          <cell r="AJ680">
            <v>0</v>
          </cell>
        </row>
        <row r="681">
          <cell r="A681">
            <v>168984</v>
          </cell>
          <cell r="B681">
            <v>37726</v>
          </cell>
          <cell r="D681" t="str">
            <v>ENTEL CHILE - 1600001803</v>
          </cell>
          <cell r="E681">
            <v>3665425</v>
          </cell>
          <cell r="F681">
            <v>8088721</v>
          </cell>
          <cell r="G681">
            <v>2609843</v>
          </cell>
          <cell r="H681">
            <v>37729</v>
          </cell>
          <cell r="I681">
            <v>0.54</v>
          </cell>
          <cell r="J681">
            <v>1</v>
          </cell>
          <cell r="K681">
            <v>1.3</v>
          </cell>
          <cell r="M681" t="str">
            <v>S72C-12212</v>
          </cell>
          <cell r="N681" t="str">
            <v>Cisco 7200 Series IOS IP</v>
          </cell>
          <cell r="O681">
            <v>0</v>
          </cell>
          <cell r="P681">
            <v>0</v>
          </cell>
          <cell r="Q681">
            <v>1</v>
          </cell>
          <cell r="R681">
            <v>0</v>
          </cell>
          <cell r="AF681" t="str">
            <v>B</v>
          </cell>
          <cell r="AG681">
            <v>0</v>
          </cell>
          <cell r="AH681">
            <v>6</v>
          </cell>
          <cell r="AI681">
            <v>0</v>
          </cell>
          <cell r="AJ681">
            <v>0</v>
          </cell>
        </row>
        <row r="682">
          <cell r="A682">
            <v>168984</v>
          </cell>
          <cell r="B682">
            <v>37726</v>
          </cell>
          <cell r="D682" t="str">
            <v>ENTEL CHILE - 1600001803</v>
          </cell>
          <cell r="E682">
            <v>3665425</v>
          </cell>
          <cell r="F682">
            <v>8088721</v>
          </cell>
          <cell r="G682">
            <v>2609843</v>
          </cell>
          <cell r="H682">
            <v>37729</v>
          </cell>
          <cell r="I682">
            <v>0.54</v>
          </cell>
          <cell r="J682">
            <v>1</v>
          </cell>
          <cell r="K682">
            <v>1.4</v>
          </cell>
          <cell r="M682" t="str">
            <v>C7200-I/O-2FE/E</v>
          </cell>
          <cell r="N682" t="str">
            <v>Cisco 7200 Input/Output Controller with Dual 10/100 Ethernet</v>
          </cell>
          <cell r="O682">
            <v>3400</v>
          </cell>
          <cell r="P682">
            <v>1563.9999999999998</v>
          </cell>
          <cell r="Q682">
            <v>1</v>
          </cell>
          <cell r="R682">
            <v>1563.9999999999998</v>
          </cell>
          <cell r="AF682" t="str">
            <v>B</v>
          </cell>
          <cell r="AG682">
            <v>156.39999999999998</v>
          </cell>
          <cell r="AH682">
            <v>7</v>
          </cell>
          <cell r="AI682">
            <v>1768</v>
          </cell>
          <cell r="AJ682">
            <v>1768</v>
          </cell>
        </row>
        <row r="683">
          <cell r="A683">
            <v>168984</v>
          </cell>
          <cell r="B683">
            <v>37726</v>
          </cell>
          <cell r="D683" t="str">
            <v>ENTEL CHILE - 1600001803</v>
          </cell>
          <cell r="E683">
            <v>3665425</v>
          </cell>
          <cell r="F683">
            <v>8088721</v>
          </cell>
          <cell r="G683">
            <v>2609843</v>
          </cell>
          <cell r="H683">
            <v>37729</v>
          </cell>
          <cell r="I683">
            <v>0.54</v>
          </cell>
          <cell r="J683">
            <v>1</v>
          </cell>
          <cell r="K683">
            <v>1.5</v>
          </cell>
          <cell r="M683" t="str">
            <v>MEM-I/O-D-FLD48M</v>
          </cell>
          <cell r="N683" t="e">
            <v>#N/A</v>
          </cell>
          <cell r="O683">
            <v>0</v>
          </cell>
          <cell r="P683">
            <v>0</v>
          </cell>
          <cell r="Q683">
            <v>1</v>
          </cell>
          <cell r="R683">
            <v>0</v>
          </cell>
          <cell r="AF683" t="str">
            <v>-</v>
          </cell>
          <cell r="AG683">
            <v>0</v>
          </cell>
          <cell r="AH683">
            <v>6</v>
          </cell>
          <cell r="AJ683">
            <v>0</v>
          </cell>
        </row>
        <row r="684">
          <cell r="A684">
            <v>168984</v>
          </cell>
          <cell r="B684">
            <v>37726</v>
          </cell>
          <cell r="D684" t="str">
            <v>ENTEL CHILE - 1600001803</v>
          </cell>
          <cell r="E684">
            <v>3665425</v>
          </cell>
          <cell r="F684">
            <v>8088721</v>
          </cell>
          <cell r="G684">
            <v>2609843</v>
          </cell>
          <cell r="H684">
            <v>37729</v>
          </cell>
          <cell r="I684">
            <v>0.54</v>
          </cell>
          <cell r="J684">
            <v>1</v>
          </cell>
          <cell r="K684">
            <v>1.6</v>
          </cell>
          <cell r="M684" t="str">
            <v>NPE-400</v>
          </cell>
          <cell r="N684" t="str">
            <v>7200VXR NPE-400 (128MB default memory)</v>
          </cell>
          <cell r="O684">
            <v>7500</v>
          </cell>
          <cell r="P684">
            <v>3449.9999999999995</v>
          </cell>
          <cell r="Q684">
            <v>1</v>
          </cell>
          <cell r="R684">
            <v>3449.9999999999995</v>
          </cell>
          <cell r="AF684" t="str">
            <v>B</v>
          </cell>
          <cell r="AG684">
            <v>345</v>
          </cell>
          <cell r="AH684">
            <v>5</v>
          </cell>
          <cell r="AI684">
            <v>0</v>
          </cell>
          <cell r="AJ684">
            <v>0</v>
          </cell>
        </row>
        <row r="685">
          <cell r="A685">
            <v>168984</v>
          </cell>
          <cell r="B685">
            <v>37726</v>
          </cell>
          <cell r="D685" t="str">
            <v>ENTEL CHILE - 1600001803</v>
          </cell>
          <cell r="E685">
            <v>3665425</v>
          </cell>
          <cell r="F685">
            <v>8088721</v>
          </cell>
          <cell r="G685">
            <v>2609843</v>
          </cell>
          <cell r="H685">
            <v>37729</v>
          </cell>
          <cell r="I685">
            <v>0.54</v>
          </cell>
          <cell r="J685">
            <v>1</v>
          </cell>
          <cell r="K685">
            <v>1.7</v>
          </cell>
          <cell r="M685" t="str">
            <v>MEM-NPE-400-D-128M</v>
          </cell>
          <cell r="N685" t="e">
            <v>#N/A</v>
          </cell>
          <cell r="O685">
            <v>0</v>
          </cell>
          <cell r="P685">
            <v>0</v>
          </cell>
          <cell r="Q685">
            <v>1</v>
          </cell>
          <cell r="R685">
            <v>0</v>
          </cell>
          <cell r="AF685" t="str">
            <v>-</v>
          </cell>
          <cell r="AG685">
            <v>0</v>
          </cell>
          <cell r="AH685">
            <v>5</v>
          </cell>
          <cell r="AI685">
            <v>0</v>
          </cell>
          <cell r="AJ685">
            <v>0</v>
          </cell>
        </row>
        <row r="686">
          <cell r="A686">
            <v>168984</v>
          </cell>
          <cell r="B686">
            <v>37726</v>
          </cell>
          <cell r="D686" t="str">
            <v>ENTEL CHILE - 1600001803</v>
          </cell>
          <cell r="E686">
            <v>3665425</v>
          </cell>
          <cell r="F686">
            <v>8088721</v>
          </cell>
          <cell r="G686">
            <v>2609843</v>
          </cell>
          <cell r="H686">
            <v>37729</v>
          </cell>
          <cell r="I686">
            <v>0.54</v>
          </cell>
          <cell r="J686">
            <v>1</v>
          </cell>
          <cell r="K686">
            <v>1.8</v>
          </cell>
          <cell r="M686" t="str">
            <v>PA-A3-OC3SMI</v>
          </cell>
          <cell r="N686" t="str">
            <v>1-Port ATM Enhanced OC3c/STM1 Singlemode(IR)Port Adapter</v>
          </cell>
          <cell r="O686">
            <v>10000</v>
          </cell>
          <cell r="P686">
            <v>4600</v>
          </cell>
          <cell r="Q686">
            <v>1</v>
          </cell>
          <cell r="R686">
            <v>4600</v>
          </cell>
          <cell r="AF686" t="str">
            <v>B</v>
          </cell>
          <cell r="AG686">
            <v>460</v>
          </cell>
          <cell r="AH686">
            <v>1</v>
          </cell>
          <cell r="AI686">
            <v>5200</v>
          </cell>
          <cell r="AJ686">
            <v>5200</v>
          </cell>
        </row>
        <row r="687">
          <cell r="A687">
            <v>168984</v>
          </cell>
          <cell r="B687">
            <v>37726</v>
          </cell>
          <cell r="D687" t="str">
            <v>ENTEL CHILE - 1600001803</v>
          </cell>
          <cell r="E687">
            <v>3665425</v>
          </cell>
          <cell r="F687">
            <v>8088721</v>
          </cell>
          <cell r="G687">
            <v>2609843</v>
          </cell>
          <cell r="H687">
            <v>37729</v>
          </cell>
          <cell r="I687">
            <v>0.54</v>
          </cell>
          <cell r="J687">
            <v>2</v>
          </cell>
          <cell r="K687">
            <v>2</v>
          </cell>
          <cell r="M687" t="str">
            <v>CISCO1760-V</v>
          </cell>
          <cell r="N687" t="str">
            <v>10/100 Modular Router w/Voice,19 inch Chassis</v>
          </cell>
          <cell r="O687">
            <v>2595</v>
          </cell>
          <cell r="P687">
            <v>1193.6999999999998</v>
          </cell>
          <cell r="Q687">
            <v>1</v>
          </cell>
          <cell r="R687">
            <v>1193.6999999999998</v>
          </cell>
          <cell r="AF687" t="str">
            <v>D</v>
          </cell>
          <cell r="AG687">
            <v>23.873999999999995</v>
          </cell>
          <cell r="AH687">
            <v>4</v>
          </cell>
          <cell r="AI687">
            <v>1349</v>
          </cell>
          <cell r="AJ687">
            <v>1349</v>
          </cell>
        </row>
        <row r="688">
          <cell r="A688">
            <v>168984</v>
          </cell>
          <cell r="B688">
            <v>37726</v>
          </cell>
          <cell r="D688" t="str">
            <v>ENTEL CHILE - 1600001803</v>
          </cell>
          <cell r="E688">
            <v>3665425</v>
          </cell>
          <cell r="F688">
            <v>8088721</v>
          </cell>
          <cell r="G688">
            <v>2609843</v>
          </cell>
          <cell r="H688">
            <v>37729</v>
          </cell>
          <cell r="I688">
            <v>0.54</v>
          </cell>
          <cell r="J688">
            <v>2</v>
          </cell>
          <cell r="K688">
            <v>2.1</v>
          </cell>
          <cell r="M688" t="str">
            <v>S17CVP-12213T</v>
          </cell>
          <cell r="N688" t="str">
            <v>Cisco 1700 IOS IP/VOICE PLUS</v>
          </cell>
          <cell r="O688">
            <v>400</v>
          </cell>
          <cell r="P688">
            <v>184</v>
          </cell>
          <cell r="Q688">
            <v>1</v>
          </cell>
          <cell r="R688">
            <v>184</v>
          </cell>
          <cell r="AF688" t="str">
            <v>D</v>
          </cell>
          <cell r="AG688">
            <v>3.68</v>
          </cell>
          <cell r="AH688">
            <v>8</v>
          </cell>
          <cell r="AI688">
            <v>208</v>
          </cell>
          <cell r="AJ688">
            <v>208</v>
          </cell>
        </row>
        <row r="689">
          <cell r="A689">
            <v>168984</v>
          </cell>
          <cell r="B689">
            <v>37726</v>
          </cell>
          <cell r="D689" t="str">
            <v>ENTEL CHILE - 1600001803</v>
          </cell>
          <cell r="E689">
            <v>3665425</v>
          </cell>
          <cell r="F689">
            <v>8088721</v>
          </cell>
          <cell r="G689">
            <v>2609843</v>
          </cell>
          <cell r="H689">
            <v>37729</v>
          </cell>
          <cell r="I689">
            <v>0.54</v>
          </cell>
          <cell r="J689">
            <v>2</v>
          </cell>
          <cell r="K689">
            <v>2.2000000000000002</v>
          </cell>
          <cell r="M689" t="str">
            <v>WIC-1SHDSL=</v>
          </cell>
          <cell r="N689" t="str">
            <v>1-Port G.SHDSL WIC</v>
          </cell>
          <cell r="O689">
            <v>950</v>
          </cell>
          <cell r="P689">
            <v>436.99999999999994</v>
          </cell>
          <cell r="Q689">
            <v>1</v>
          </cell>
          <cell r="R689">
            <v>436.99999999999994</v>
          </cell>
          <cell r="AF689" t="str">
            <v>C</v>
          </cell>
          <cell r="AG689">
            <v>32.774999999999991</v>
          </cell>
          <cell r="AH689">
            <v>3</v>
          </cell>
          <cell r="AI689">
            <v>494</v>
          </cell>
          <cell r="AJ689">
            <v>494</v>
          </cell>
        </row>
        <row r="690">
          <cell r="A690">
            <v>168984</v>
          </cell>
          <cell r="B690">
            <v>37726</v>
          </cell>
          <cell r="D690" t="str">
            <v>ENTEL CHILE - 1600001803</v>
          </cell>
          <cell r="E690">
            <v>3665425</v>
          </cell>
          <cell r="F690">
            <v>8088721</v>
          </cell>
          <cell r="G690">
            <v>2609843</v>
          </cell>
          <cell r="H690">
            <v>37729</v>
          </cell>
          <cell r="I690">
            <v>0.54</v>
          </cell>
          <cell r="J690">
            <v>2</v>
          </cell>
          <cell r="K690">
            <v>2.2999999999999998</v>
          </cell>
          <cell r="M690" t="str">
            <v>CAB-ACI</v>
          </cell>
          <cell r="N690" t="str">
            <v>Power Cord-Italian</v>
          </cell>
          <cell r="O690">
            <v>0</v>
          </cell>
          <cell r="P690">
            <v>0</v>
          </cell>
          <cell r="Q690">
            <v>1</v>
          </cell>
          <cell r="R690">
            <v>0</v>
          </cell>
          <cell r="AF690" t="str">
            <v>-</v>
          </cell>
          <cell r="AG690">
            <v>0</v>
          </cell>
          <cell r="AH690">
            <v>4</v>
          </cell>
          <cell r="AI690">
            <v>0</v>
          </cell>
          <cell r="AJ690">
            <v>0</v>
          </cell>
        </row>
        <row r="691">
          <cell r="A691">
            <v>168984</v>
          </cell>
          <cell r="B691">
            <v>37726</v>
          </cell>
          <cell r="D691" t="str">
            <v>ENTEL CHILE - 1600001803</v>
          </cell>
          <cell r="E691">
            <v>3665425</v>
          </cell>
          <cell r="F691">
            <v>8088721</v>
          </cell>
          <cell r="G691">
            <v>2609843</v>
          </cell>
          <cell r="H691">
            <v>37729</v>
          </cell>
          <cell r="I691">
            <v>0.54</v>
          </cell>
          <cell r="J691">
            <v>2</v>
          </cell>
          <cell r="K691">
            <v>2.4</v>
          </cell>
          <cell r="M691" t="str">
            <v>CAB-ADSL-RJ11</v>
          </cell>
          <cell r="N691" t="str">
            <v>Lavender Cable for xDSL, Straight-through, RJ-11, 6 feet</v>
          </cell>
          <cell r="O691">
            <v>0</v>
          </cell>
          <cell r="P691">
            <v>0</v>
          </cell>
          <cell r="Q691">
            <v>1</v>
          </cell>
          <cell r="R691">
            <v>0</v>
          </cell>
          <cell r="AF691" t="str">
            <v>-</v>
          </cell>
          <cell r="AG691">
            <v>0</v>
          </cell>
          <cell r="AH691">
            <v>4</v>
          </cell>
          <cell r="AI691">
            <v>0</v>
          </cell>
          <cell r="AJ691">
            <v>0</v>
          </cell>
        </row>
        <row r="692">
          <cell r="A692">
            <v>168984</v>
          </cell>
          <cell r="B692">
            <v>37726</v>
          </cell>
          <cell r="D692" t="str">
            <v>ENTEL CHILE - 1600001803</v>
          </cell>
          <cell r="E692">
            <v>3665425</v>
          </cell>
          <cell r="F692">
            <v>8088721</v>
          </cell>
          <cell r="G692">
            <v>2609843</v>
          </cell>
          <cell r="H692">
            <v>37729</v>
          </cell>
          <cell r="I692">
            <v>0.54</v>
          </cell>
          <cell r="J692">
            <v>2</v>
          </cell>
          <cell r="K692">
            <v>2.5</v>
          </cell>
          <cell r="M692" t="str">
            <v>MEM1700-16U32MFS</v>
          </cell>
          <cell r="N692" t="str">
            <v>Cisco 1700 16MB to 32MB Flash SIMM Factory Upgrade</v>
          </cell>
          <cell r="O692">
            <v>0</v>
          </cell>
          <cell r="P692">
            <v>0</v>
          </cell>
          <cell r="Q692">
            <v>1</v>
          </cell>
          <cell r="R692">
            <v>0</v>
          </cell>
          <cell r="AF692" t="str">
            <v>D</v>
          </cell>
          <cell r="AG692">
            <v>0</v>
          </cell>
          <cell r="AH692">
            <v>4</v>
          </cell>
          <cell r="AI692">
            <v>0</v>
          </cell>
          <cell r="AJ692">
            <v>0</v>
          </cell>
        </row>
        <row r="693">
          <cell r="A693">
            <v>168984</v>
          </cell>
          <cell r="B693">
            <v>37726</v>
          </cell>
          <cell r="D693" t="str">
            <v>ENTEL CHILE - 1600001803</v>
          </cell>
          <cell r="E693">
            <v>3665425</v>
          </cell>
          <cell r="F693">
            <v>8088721</v>
          </cell>
          <cell r="G693">
            <v>2609843</v>
          </cell>
          <cell r="H693">
            <v>37729</v>
          </cell>
          <cell r="I693">
            <v>0.54</v>
          </cell>
          <cell r="J693">
            <v>2</v>
          </cell>
          <cell r="K693">
            <v>2.6</v>
          </cell>
          <cell r="M693" t="str">
            <v>MEM1700-32U64D</v>
          </cell>
          <cell r="N693" t="str">
            <v>Cisco 1700 32MB to 64MB DRAM Factory Upgrade</v>
          </cell>
          <cell r="O693">
            <v>0</v>
          </cell>
          <cell r="P693">
            <v>0</v>
          </cell>
          <cell r="Q693">
            <v>1</v>
          </cell>
          <cell r="R693">
            <v>0</v>
          </cell>
          <cell r="AF693" t="str">
            <v>D</v>
          </cell>
          <cell r="AG693">
            <v>0</v>
          </cell>
          <cell r="AH693">
            <v>4</v>
          </cell>
          <cell r="AI693">
            <v>0</v>
          </cell>
          <cell r="AJ693">
            <v>0</v>
          </cell>
        </row>
        <row r="694">
          <cell r="A694">
            <v>168984</v>
          </cell>
          <cell r="B694">
            <v>37726</v>
          </cell>
          <cell r="D694" t="str">
            <v>ENTEL CHILE - 1600001803</v>
          </cell>
          <cell r="E694">
            <v>3665425</v>
          </cell>
          <cell r="F694">
            <v>8088721</v>
          </cell>
          <cell r="G694">
            <v>2609843</v>
          </cell>
          <cell r="H694">
            <v>37729</v>
          </cell>
          <cell r="I694">
            <v>0.54</v>
          </cell>
          <cell r="J694">
            <v>2</v>
          </cell>
          <cell r="K694">
            <v>2.7</v>
          </cell>
          <cell r="M694" t="str">
            <v>PVDM-256K-4</v>
          </cell>
          <cell r="N694" t="str">
            <v>4-Channel Packet Voice/Fax DSP Module</v>
          </cell>
          <cell r="O694">
            <v>0</v>
          </cell>
          <cell r="P694">
            <v>0</v>
          </cell>
          <cell r="Q694">
            <v>1</v>
          </cell>
          <cell r="R694">
            <v>0</v>
          </cell>
          <cell r="AF694" t="str">
            <v>D</v>
          </cell>
          <cell r="AG694">
            <v>0</v>
          </cell>
          <cell r="AH694">
            <v>4</v>
          </cell>
          <cell r="AI694">
            <v>0</v>
          </cell>
          <cell r="AJ694">
            <v>0</v>
          </cell>
        </row>
        <row r="695">
          <cell r="A695">
            <v>168984</v>
          </cell>
          <cell r="B695">
            <v>37726</v>
          </cell>
          <cell r="D695" t="str">
            <v>ENTEL CHILE - 1600001803</v>
          </cell>
          <cell r="E695">
            <v>3665425</v>
          </cell>
          <cell r="F695">
            <v>8088721</v>
          </cell>
          <cell r="G695">
            <v>2609843</v>
          </cell>
          <cell r="H695">
            <v>37729</v>
          </cell>
          <cell r="I695">
            <v>0.54</v>
          </cell>
          <cell r="J695">
            <v>2</v>
          </cell>
          <cell r="K695">
            <v>3</v>
          </cell>
          <cell r="M695" t="str">
            <v>CISCO1760-V</v>
          </cell>
          <cell r="N695" t="str">
            <v>10/100 Modular Router w/Voice,19 inch Chassis</v>
          </cell>
          <cell r="O695">
            <v>2595</v>
          </cell>
          <cell r="P695">
            <v>1193.6999999999998</v>
          </cell>
          <cell r="Q695">
            <v>18</v>
          </cell>
          <cell r="R695">
            <v>21486.6</v>
          </cell>
          <cell r="AF695" t="str">
            <v>D</v>
          </cell>
          <cell r="AG695">
            <v>429.73199999999997</v>
          </cell>
          <cell r="AH695">
            <v>4</v>
          </cell>
          <cell r="AI695">
            <v>1349</v>
          </cell>
          <cell r="AJ695">
            <v>24282</v>
          </cell>
        </row>
        <row r="696">
          <cell r="A696">
            <v>168984</v>
          </cell>
          <cell r="B696">
            <v>37726</v>
          </cell>
          <cell r="D696" t="str">
            <v>ENTEL CHILE - 1600001803</v>
          </cell>
          <cell r="E696">
            <v>3665425</v>
          </cell>
          <cell r="F696">
            <v>8088721</v>
          </cell>
          <cell r="G696">
            <v>2609843</v>
          </cell>
          <cell r="H696">
            <v>37729</v>
          </cell>
          <cell r="I696">
            <v>0.54</v>
          </cell>
          <cell r="J696">
            <v>2</v>
          </cell>
          <cell r="K696">
            <v>3.1</v>
          </cell>
          <cell r="M696" t="str">
            <v>S17C7VP-12213T</v>
          </cell>
          <cell r="N696" t="str">
            <v>Cisco 1700 IOS IP/ADSL/VOICE PLUS</v>
          </cell>
          <cell r="O696">
            <v>400</v>
          </cell>
          <cell r="P696">
            <v>184</v>
          </cell>
          <cell r="Q696">
            <v>18</v>
          </cell>
          <cell r="R696">
            <v>3312</v>
          </cell>
          <cell r="AF696" t="str">
            <v>D</v>
          </cell>
          <cell r="AG696">
            <v>66.239999999999995</v>
          </cell>
          <cell r="AH696">
            <v>8</v>
          </cell>
          <cell r="AI696">
            <v>208</v>
          </cell>
          <cell r="AJ696">
            <v>3744</v>
          </cell>
        </row>
        <row r="697">
          <cell r="A697">
            <v>168984</v>
          </cell>
          <cell r="B697">
            <v>37726</v>
          </cell>
          <cell r="D697" t="str">
            <v>ENTEL CHILE - 1600001803</v>
          </cell>
          <cell r="E697">
            <v>3665425</v>
          </cell>
          <cell r="F697">
            <v>8088721</v>
          </cell>
          <cell r="G697">
            <v>2609843</v>
          </cell>
          <cell r="H697">
            <v>37729</v>
          </cell>
          <cell r="I697">
            <v>0.54</v>
          </cell>
          <cell r="J697">
            <v>2</v>
          </cell>
          <cell r="K697">
            <v>3.2</v>
          </cell>
          <cell r="M697" t="str">
            <v>WIC-1T</v>
          </cell>
          <cell r="N697" t="str">
            <v>1-Port Serial WAN Interface Card</v>
          </cell>
          <cell r="O697">
            <v>400</v>
          </cell>
          <cell r="P697">
            <v>184</v>
          </cell>
          <cell r="Q697">
            <v>18</v>
          </cell>
          <cell r="R697">
            <v>3312</v>
          </cell>
          <cell r="AF697" t="str">
            <v>D</v>
          </cell>
          <cell r="AG697">
            <v>66.239999999999995</v>
          </cell>
          <cell r="AH697">
            <v>2</v>
          </cell>
          <cell r="AI697">
            <v>208</v>
          </cell>
          <cell r="AJ697">
            <v>3744</v>
          </cell>
        </row>
        <row r="698">
          <cell r="A698">
            <v>168984</v>
          </cell>
          <cell r="B698">
            <v>37726</v>
          </cell>
          <cell r="D698" t="str">
            <v>ENTEL CHILE - 1600001803</v>
          </cell>
          <cell r="E698">
            <v>3665425</v>
          </cell>
          <cell r="F698">
            <v>8088721</v>
          </cell>
          <cell r="G698">
            <v>2609843</v>
          </cell>
          <cell r="H698">
            <v>37729</v>
          </cell>
          <cell r="I698">
            <v>0.54</v>
          </cell>
          <cell r="J698">
            <v>2</v>
          </cell>
          <cell r="K698">
            <v>3.3</v>
          </cell>
          <cell r="M698" t="str">
            <v>CAB-ACI</v>
          </cell>
          <cell r="N698" t="str">
            <v>Power Cord-Italian</v>
          </cell>
          <cell r="O698">
            <v>0</v>
          </cell>
          <cell r="P698">
            <v>0</v>
          </cell>
          <cell r="Q698">
            <v>18</v>
          </cell>
          <cell r="R698">
            <v>0</v>
          </cell>
          <cell r="AF698" t="str">
            <v>-</v>
          </cell>
          <cell r="AG698">
            <v>0</v>
          </cell>
          <cell r="AH698">
            <v>4</v>
          </cell>
          <cell r="AI698">
            <v>0</v>
          </cell>
          <cell r="AJ698">
            <v>0</v>
          </cell>
        </row>
        <row r="699">
          <cell r="A699">
            <v>168984</v>
          </cell>
          <cell r="B699">
            <v>37726</v>
          </cell>
          <cell r="D699" t="str">
            <v>ENTEL CHILE - 1600001803</v>
          </cell>
          <cell r="E699">
            <v>3665425</v>
          </cell>
          <cell r="F699">
            <v>8088721</v>
          </cell>
          <cell r="G699">
            <v>2609843</v>
          </cell>
          <cell r="H699">
            <v>37729</v>
          </cell>
          <cell r="I699">
            <v>0.54</v>
          </cell>
          <cell r="J699">
            <v>2</v>
          </cell>
          <cell r="K699">
            <v>3.4</v>
          </cell>
          <cell r="M699" t="str">
            <v>MEM1700-16U32MFS</v>
          </cell>
          <cell r="N699" t="str">
            <v>Cisco 1700 16MB to 32MB Flash SIMM Factory Upgrade</v>
          </cell>
          <cell r="O699">
            <v>0</v>
          </cell>
          <cell r="P699">
            <v>0</v>
          </cell>
          <cell r="Q699">
            <v>18</v>
          </cell>
          <cell r="R699">
            <v>0</v>
          </cell>
          <cell r="AF699" t="str">
            <v>D</v>
          </cell>
          <cell r="AG699">
            <v>0</v>
          </cell>
          <cell r="AH699">
            <v>4</v>
          </cell>
          <cell r="AI699">
            <v>0</v>
          </cell>
          <cell r="AJ699">
            <v>0</v>
          </cell>
        </row>
        <row r="700">
          <cell r="A700">
            <v>168984</v>
          </cell>
          <cell r="B700">
            <v>37726</v>
          </cell>
          <cell r="D700" t="str">
            <v>ENTEL CHILE - 1600001803</v>
          </cell>
          <cell r="E700">
            <v>3665425</v>
          </cell>
          <cell r="F700">
            <v>8088721</v>
          </cell>
          <cell r="G700">
            <v>2609843</v>
          </cell>
          <cell r="H700">
            <v>37729</v>
          </cell>
          <cell r="I700">
            <v>0.54</v>
          </cell>
          <cell r="J700">
            <v>2</v>
          </cell>
          <cell r="K700">
            <v>3.5</v>
          </cell>
          <cell r="M700" t="str">
            <v>MEM1700-32U64D</v>
          </cell>
          <cell r="N700" t="str">
            <v>Cisco 1700 32MB to 64MB DRAM Factory Upgrade</v>
          </cell>
          <cell r="O700">
            <v>0</v>
          </cell>
          <cell r="P700">
            <v>0</v>
          </cell>
          <cell r="Q700">
            <v>18</v>
          </cell>
          <cell r="R700">
            <v>0</v>
          </cell>
          <cell r="AF700" t="str">
            <v>D</v>
          </cell>
          <cell r="AG700">
            <v>0</v>
          </cell>
          <cell r="AH700">
            <v>4</v>
          </cell>
          <cell r="AI700">
            <v>0</v>
          </cell>
          <cell r="AJ700">
            <v>0</v>
          </cell>
        </row>
        <row r="701">
          <cell r="A701">
            <v>168984</v>
          </cell>
          <cell r="B701">
            <v>37726</v>
          </cell>
          <cell r="D701" t="str">
            <v>ENTEL CHILE - 1600001803</v>
          </cell>
          <cell r="E701">
            <v>3665425</v>
          </cell>
          <cell r="F701">
            <v>8088721</v>
          </cell>
          <cell r="G701">
            <v>2609843</v>
          </cell>
          <cell r="H701">
            <v>37729</v>
          </cell>
          <cell r="I701">
            <v>0.54</v>
          </cell>
          <cell r="J701">
            <v>2</v>
          </cell>
          <cell r="K701">
            <v>3.6</v>
          </cell>
          <cell r="M701" t="str">
            <v>PVDM-256K-4</v>
          </cell>
          <cell r="N701" t="str">
            <v>4-Channel Packet Voice/Fax DSP Module</v>
          </cell>
          <cell r="O701">
            <v>0</v>
          </cell>
          <cell r="P701">
            <v>0</v>
          </cell>
          <cell r="Q701">
            <v>18</v>
          </cell>
          <cell r="R701">
            <v>0</v>
          </cell>
          <cell r="AF701" t="str">
            <v>c</v>
          </cell>
          <cell r="AG701">
            <v>0</v>
          </cell>
          <cell r="AH701">
            <v>4</v>
          </cell>
          <cell r="AI701">
            <v>0</v>
          </cell>
          <cell r="AJ701">
            <v>0</v>
          </cell>
        </row>
        <row r="702">
          <cell r="A702">
            <v>168985</v>
          </cell>
          <cell r="B702">
            <v>37727</v>
          </cell>
          <cell r="D702" t="str">
            <v>ENTEL CHILE - 1600001802</v>
          </cell>
          <cell r="E702">
            <v>3669653</v>
          </cell>
          <cell r="F702">
            <v>8088717</v>
          </cell>
          <cell r="G702">
            <v>2612007</v>
          </cell>
          <cell r="H702">
            <v>37729</v>
          </cell>
          <cell r="I702">
            <v>0.54</v>
          </cell>
          <cell r="J702">
            <v>1</v>
          </cell>
          <cell r="K702">
            <v>1</v>
          </cell>
          <cell r="M702" t="str">
            <v>CISCO827</v>
          </cell>
          <cell r="N702" t="str">
            <v>Cisco827 ADSL router 1E ADSL</v>
          </cell>
          <cell r="O702">
            <v>649</v>
          </cell>
          <cell r="P702">
            <v>298.53999999999996</v>
          </cell>
          <cell r="Q702">
            <v>18</v>
          </cell>
          <cell r="R702">
            <v>5373.7199999999993</v>
          </cell>
          <cell r="S702">
            <v>37756</v>
          </cell>
          <cell r="AF702" t="str">
            <v>D</v>
          </cell>
          <cell r="AG702">
            <v>107.47439999999999</v>
          </cell>
          <cell r="AH702">
            <v>2</v>
          </cell>
          <cell r="AI702">
            <v>337</v>
          </cell>
          <cell r="AJ702">
            <v>6066</v>
          </cell>
        </row>
        <row r="703">
          <cell r="A703">
            <v>168985</v>
          </cell>
          <cell r="B703">
            <v>37727</v>
          </cell>
          <cell r="D703" t="str">
            <v>ENTEL CHILE - 1600001802</v>
          </cell>
          <cell r="E703">
            <v>3669653</v>
          </cell>
          <cell r="F703">
            <v>8088717</v>
          </cell>
          <cell r="G703">
            <v>2612007</v>
          </cell>
          <cell r="H703">
            <v>37729</v>
          </cell>
          <cell r="I703">
            <v>0.54</v>
          </cell>
          <cell r="J703">
            <v>1</v>
          </cell>
          <cell r="K703">
            <v>1.1000000000000001</v>
          </cell>
          <cell r="M703" t="str">
            <v>CAB-ACI</v>
          </cell>
          <cell r="N703" t="str">
            <v>Power Cord-Italian</v>
          </cell>
          <cell r="O703">
            <v>0</v>
          </cell>
          <cell r="P703">
            <v>0</v>
          </cell>
          <cell r="Q703">
            <v>18</v>
          </cell>
          <cell r="R703">
            <v>0</v>
          </cell>
          <cell r="S703">
            <v>37756</v>
          </cell>
          <cell r="AF703" t="str">
            <v>-</v>
          </cell>
          <cell r="AG703">
            <v>0</v>
          </cell>
          <cell r="AH703">
            <v>2</v>
          </cell>
          <cell r="AI703">
            <v>0</v>
          </cell>
          <cell r="AJ703">
            <v>0</v>
          </cell>
        </row>
        <row r="704">
          <cell r="A704">
            <v>168985</v>
          </cell>
          <cell r="B704">
            <v>37727</v>
          </cell>
          <cell r="D704" t="str">
            <v>ENTEL CHILE - 1600001802</v>
          </cell>
          <cell r="E704">
            <v>3669653</v>
          </cell>
          <cell r="F704">
            <v>8088717</v>
          </cell>
          <cell r="G704">
            <v>2612007</v>
          </cell>
          <cell r="H704">
            <v>37729</v>
          </cell>
          <cell r="I704">
            <v>0.54</v>
          </cell>
          <cell r="J704">
            <v>1</v>
          </cell>
          <cell r="K704">
            <v>1.2</v>
          </cell>
          <cell r="M704" t="str">
            <v>MEM820-8U16F</v>
          </cell>
          <cell r="N704" t="str">
            <v>Cisco 820 8MB to 16MB Flash Factory Upgrade</v>
          </cell>
          <cell r="O704">
            <v>200</v>
          </cell>
          <cell r="P704">
            <v>92</v>
          </cell>
          <cell r="Q704">
            <v>18</v>
          </cell>
          <cell r="R704">
            <v>1656</v>
          </cell>
          <cell r="S704">
            <v>37756</v>
          </cell>
          <cell r="AF704" t="str">
            <v>D</v>
          </cell>
          <cell r="AG704">
            <v>33.119999999999997</v>
          </cell>
          <cell r="AH704">
            <v>1</v>
          </cell>
          <cell r="AI704">
            <v>104</v>
          </cell>
          <cell r="AJ704">
            <v>1872</v>
          </cell>
        </row>
        <row r="705">
          <cell r="A705">
            <v>168985</v>
          </cell>
          <cell r="B705">
            <v>37727</v>
          </cell>
          <cell r="D705" t="str">
            <v>ENTEL CHILE - 1600001802</v>
          </cell>
          <cell r="E705">
            <v>3669653</v>
          </cell>
          <cell r="F705">
            <v>8088717</v>
          </cell>
          <cell r="G705">
            <v>2612007</v>
          </cell>
          <cell r="H705">
            <v>37729</v>
          </cell>
          <cell r="I705">
            <v>0.54</v>
          </cell>
          <cell r="J705">
            <v>1</v>
          </cell>
          <cell r="K705">
            <v>1.3</v>
          </cell>
          <cell r="M705" t="str">
            <v>MEM820-8U32D</v>
          </cell>
          <cell r="N705" t="e">
            <v>#N/A</v>
          </cell>
          <cell r="O705">
            <v>0</v>
          </cell>
          <cell r="P705">
            <v>0</v>
          </cell>
          <cell r="Q705">
            <v>18</v>
          </cell>
          <cell r="R705">
            <v>0</v>
          </cell>
          <cell r="S705">
            <v>37756</v>
          </cell>
          <cell r="AF705">
            <v>0</v>
          </cell>
          <cell r="AG705">
            <v>0</v>
          </cell>
          <cell r="AH705">
            <v>2</v>
          </cell>
          <cell r="AI705">
            <v>0</v>
          </cell>
          <cell r="AJ705">
            <v>0</v>
          </cell>
        </row>
        <row r="706">
          <cell r="A706">
            <v>168985</v>
          </cell>
          <cell r="B706">
            <v>37727</v>
          </cell>
          <cell r="D706" t="str">
            <v>ENTEL CHILE - 1600001802</v>
          </cell>
          <cell r="E706">
            <v>3669653</v>
          </cell>
          <cell r="F706">
            <v>8088717</v>
          </cell>
          <cell r="G706">
            <v>2612007</v>
          </cell>
          <cell r="H706">
            <v>37729</v>
          </cell>
          <cell r="I706">
            <v>0.54</v>
          </cell>
          <cell r="J706">
            <v>1</v>
          </cell>
          <cell r="K706">
            <v>1.4</v>
          </cell>
          <cell r="M706" t="str">
            <v>S820C-12204YA</v>
          </cell>
          <cell r="N706" t="str">
            <v>Cisco 820 Ser IOS IP</v>
          </cell>
          <cell r="O706">
            <v>0</v>
          </cell>
          <cell r="P706">
            <v>0</v>
          </cell>
          <cell r="Q706">
            <v>18</v>
          </cell>
          <cell r="R706">
            <v>0</v>
          </cell>
          <cell r="S706">
            <v>37756</v>
          </cell>
          <cell r="AF706" t="str">
            <v>D</v>
          </cell>
          <cell r="AG706">
            <v>0</v>
          </cell>
          <cell r="AH706">
            <v>2</v>
          </cell>
          <cell r="AI706">
            <v>0</v>
          </cell>
          <cell r="AJ706">
            <v>0</v>
          </cell>
        </row>
        <row r="707">
          <cell r="A707">
            <v>168985</v>
          </cell>
          <cell r="B707">
            <v>37727</v>
          </cell>
          <cell r="D707" t="str">
            <v>ENTEL CHILE - 1600001802</v>
          </cell>
          <cell r="E707">
            <v>3669653</v>
          </cell>
          <cell r="F707">
            <v>8088717</v>
          </cell>
          <cell r="G707">
            <v>2612007</v>
          </cell>
          <cell r="H707">
            <v>37729</v>
          </cell>
          <cell r="I707">
            <v>0.54</v>
          </cell>
          <cell r="J707">
            <v>1</v>
          </cell>
          <cell r="K707">
            <v>1.5</v>
          </cell>
          <cell r="M707" t="str">
            <v>CAB-ADSL-RJ11</v>
          </cell>
          <cell r="N707" t="str">
            <v>Lavender Cable for xDSL, Straight-through, RJ-11, 6 feet</v>
          </cell>
          <cell r="O707">
            <v>0</v>
          </cell>
          <cell r="P707">
            <v>0</v>
          </cell>
          <cell r="Q707">
            <v>18</v>
          </cell>
          <cell r="R707">
            <v>0</v>
          </cell>
          <cell r="S707">
            <v>37756</v>
          </cell>
          <cell r="AF707" t="str">
            <v>-</v>
          </cell>
          <cell r="AG707">
            <v>0</v>
          </cell>
          <cell r="AH707">
            <v>2</v>
          </cell>
          <cell r="AI707">
            <v>0</v>
          </cell>
          <cell r="AJ707">
            <v>0</v>
          </cell>
        </row>
        <row r="708">
          <cell r="A708">
            <v>168988</v>
          </cell>
          <cell r="B708">
            <v>37733</v>
          </cell>
          <cell r="D708" t="str">
            <v>ENTEL CHILE - 1600001807</v>
          </cell>
          <cell r="E708">
            <v>3683433</v>
          </cell>
          <cell r="I708">
            <v>0.54</v>
          </cell>
          <cell r="K708" t="str">
            <v>1.0</v>
          </cell>
          <cell r="M708" t="str">
            <v>Cisco 3725</v>
          </cell>
          <cell r="N708" t="str">
            <v>3700 Series 2   -Slot, Dual FE Multiservice Access Router/</v>
          </cell>
          <cell r="O708">
            <v>8500</v>
          </cell>
          <cell r="P708">
            <v>3909.9999999999995</v>
          </cell>
          <cell r="Q708">
            <v>1</v>
          </cell>
          <cell r="R708">
            <v>3909.9999999999995</v>
          </cell>
          <cell r="AF708" t="str">
            <v>C</v>
          </cell>
          <cell r="AG708">
            <v>293.24999999999994</v>
          </cell>
          <cell r="AH708">
            <v>5</v>
          </cell>
          <cell r="AI708">
            <v>4420</v>
          </cell>
          <cell r="AJ708">
            <v>4420</v>
          </cell>
        </row>
        <row r="709">
          <cell r="A709">
            <v>168988</v>
          </cell>
          <cell r="B709">
            <v>37733</v>
          </cell>
          <cell r="D709" t="str">
            <v>ENTEL CHILE - 1600001807</v>
          </cell>
          <cell r="E709">
            <v>3683433</v>
          </cell>
          <cell r="I709">
            <v>0.54</v>
          </cell>
          <cell r="K709" t="str">
            <v>1.1.</v>
          </cell>
          <cell r="M709" t="str">
            <v>S372CP-12215T</v>
          </cell>
          <cell r="N709" t="str">
            <v>Cisco 3725 Ser IOS IP PLUS</v>
          </cell>
          <cell r="O709">
            <v>900</v>
          </cell>
          <cell r="P709">
            <v>413.99999999999994</v>
          </cell>
          <cell r="Q709">
            <v>1</v>
          </cell>
          <cell r="R709">
            <v>413.99999999999994</v>
          </cell>
          <cell r="AF709" t="e">
            <v>#N/A</v>
          </cell>
          <cell r="AG709" t="e">
            <v>#N/A</v>
          </cell>
          <cell r="AH709">
            <v>1</v>
          </cell>
          <cell r="AI709">
            <v>468</v>
          </cell>
          <cell r="AJ709">
            <v>468</v>
          </cell>
        </row>
        <row r="710">
          <cell r="A710">
            <v>168988</v>
          </cell>
          <cell r="B710">
            <v>37733</v>
          </cell>
          <cell r="D710" t="str">
            <v>ENTEL CHILE - 1600001807</v>
          </cell>
          <cell r="E710">
            <v>3683433</v>
          </cell>
          <cell r="I710">
            <v>0.54</v>
          </cell>
          <cell r="K710" t="str">
            <v>1.2</v>
          </cell>
          <cell r="M710" t="str">
            <v>NM-1A-OC3SMI</v>
          </cell>
          <cell r="N710" t="str">
            <v xml:space="preserve">One -port ATM OC3 Singlemode Inter reach NM 2691.3600.3725 </v>
          </cell>
          <cell r="O710">
            <v>8000</v>
          </cell>
          <cell r="P710">
            <v>3679.9999999999995</v>
          </cell>
          <cell r="Q710">
            <v>1</v>
          </cell>
          <cell r="R710">
            <v>3679.9999999999995</v>
          </cell>
          <cell r="AF710" t="str">
            <v>C</v>
          </cell>
          <cell r="AG710">
            <v>275.99999999999994</v>
          </cell>
          <cell r="AH710">
            <v>4</v>
          </cell>
          <cell r="AI710">
            <v>4160</v>
          </cell>
          <cell r="AJ710">
            <v>4160</v>
          </cell>
        </row>
        <row r="711">
          <cell r="A711">
            <v>168988</v>
          </cell>
          <cell r="B711">
            <v>37733</v>
          </cell>
          <cell r="D711" t="str">
            <v>ENTEL CHILE - 1600001807</v>
          </cell>
          <cell r="E711">
            <v>3683433</v>
          </cell>
          <cell r="I711">
            <v>0.54</v>
          </cell>
          <cell r="K711" t="str">
            <v>1.3</v>
          </cell>
          <cell r="M711" t="str">
            <v>WIC 2T</v>
          </cell>
          <cell r="N711" t="str">
            <v>2-Port Serial  WAN Interface Card</v>
          </cell>
          <cell r="O711">
            <v>700</v>
          </cell>
          <cell r="P711">
            <v>322</v>
          </cell>
          <cell r="Q711">
            <v>1</v>
          </cell>
          <cell r="R711">
            <v>322</v>
          </cell>
          <cell r="AF711" t="str">
            <v>C</v>
          </cell>
          <cell r="AG711">
            <v>24.15</v>
          </cell>
          <cell r="AH711">
            <v>2</v>
          </cell>
          <cell r="AI711">
            <v>364</v>
          </cell>
          <cell r="AJ711">
            <v>364</v>
          </cell>
        </row>
        <row r="712">
          <cell r="A712">
            <v>168988</v>
          </cell>
          <cell r="B712">
            <v>37733</v>
          </cell>
          <cell r="D712" t="str">
            <v>ENTEL CHILE - 1600001807</v>
          </cell>
          <cell r="E712">
            <v>3683433</v>
          </cell>
          <cell r="I712">
            <v>0.54</v>
          </cell>
          <cell r="K712" t="str">
            <v>1.4</v>
          </cell>
          <cell r="M712" t="str">
            <v xml:space="preserve">CAB -ACI </v>
          </cell>
          <cell r="N712" t="str">
            <v>Power Cord-Italian</v>
          </cell>
          <cell r="O712">
            <v>0</v>
          </cell>
          <cell r="P712">
            <v>0</v>
          </cell>
          <cell r="Q712">
            <v>1</v>
          </cell>
          <cell r="R712">
            <v>0</v>
          </cell>
          <cell r="AF712" t="str">
            <v>-</v>
          </cell>
          <cell r="AG712">
            <v>0</v>
          </cell>
          <cell r="AH712">
            <v>3</v>
          </cell>
          <cell r="AI712">
            <v>0.01</v>
          </cell>
          <cell r="AJ712">
            <v>0.01</v>
          </cell>
        </row>
        <row r="713">
          <cell r="A713">
            <v>168988</v>
          </cell>
          <cell r="B713">
            <v>37733</v>
          </cell>
          <cell r="D713" t="str">
            <v>ENTEL CHILE - 1600001807</v>
          </cell>
          <cell r="E713">
            <v>3683433</v>
          </cell>
          <cell r="I713">
            <v>0.54</v>
          </cell>
          <cell r="K713" t="str">
            <v>1.5</v>
          </cell>
          <cell r="M713" t="str">
            <v xml:space="preserve">CAB-SS-V35MT </v>
          </cell>
          <cell r="N713" t="str">
            <v>V 35 Cable DTE Male to Smart serial 10 Feet</v>
          </cell>
          <cell r="O713">
            <v>100</v>
          </cell>
          <cell r="P713">
            <v>46</v>
          </cell>
          <cell r="Q713">
            <v>2</v>
          </cell>
          <cell r="R713">
            <v>92</v>
          </cell>
          <cell r="AF713" t="str">
            <v>-</v>
          </cell>
          <cell r="AG713">
            <v>0</v>
          </cell>
          <cell r="AH713">
            <v>6</v>
          </cell>
          <cell r="AI713">
            <v>52</v>
          </cell>
          <cell r="AJ713">
            <v>104</v>
          </cell>
        </row>
        <row r="714">
          <cell r="A714">
            <v>169009</v>
          </cell>
          <cell r="B714">
            <v>37824</v>
          </cell>
          <cell r="D714" t="str">
            <v>ENTEL CHILE - 1600001848</v>
          </cell>
          <cell r="E714">
            <v>3956198</v>
          </cell>
          <cell r="I714">
            <v>0.56999999999999995</v>
          </cell>
          <cell r="K714" t="str">
            <v xml:space="preserve">1.0 </v>
          </cell>
          <cell r="M714" t="str">
            <v>CISCO3620</v>
          </cell>
          <cell r="N714" t="str">
            <v>Cisco 3600 2-slot Modular Router-AC with IP Software /</v>
          </cell>
          <cell r="O714">
            <v>2900</v>
          </cell>
          <cell r="P714">
            <v>1247.0000000000002</v>
          </cell>
          <cell r="Q714">
            <v>4</v>
          </cell>
          <cell r="R714">
            <v>4988.0000000000009</v>
          </cell>
          <cell r="AG714" t="e">
            <v>#N/A</v>
          </cell>
          <cell r="AH714">
            <v>1</v>
          </cell>
          <cell r="AI714">
            <v>1433</v>
          </cell>
          <cell r="AJ714">
            <v>5732</v>
          </cell>
        </row>
        <row r="715">
          <cell r="A715">
            <v>169009</v>
          </cell>
          <cell r="B715">
            <v>37824</v>
          </cell>
          <cell r="D715" t="str">
            <v>ENTEL CHILE - 1600001848</v>
          </cell>
          <cell r="E715">
            <v>3956198</v>
          </cell>
          <cell r="I715">
            <v>0.56999999999999995</v>
          </cell>
          <cell r="K715" t="str">
            <v xml:space="preserve">1.1 </v>
          </cell>
          <cell r="M715" t="str">
            <v>CAB-ACI</v>
          </cell>
          <cell r="N715" t="str">
            <v>Power Cord-Italian</v>
          </cell>
          <cell r="O715">
            <v>0</v>
          </cell>
          <cell r="P715">
            <v>0</v>
          </cell>
          <cell r="Q715">
            <v>4</v>
          </cell>
          <cell r="R715">
            <v>0</v>
          </cell>
          <cell r="AG715" t="e">
            <v>#N/A</v>
          </cell>
          <cell r="AH715">
            <v>1</v>
          </cell>
          <cell r="AI715">
            <v>0</v>
          </cell>
          <cell r="AJ715">
            <v>0</v>
          </cell>
        </row>
        <row r="716">
          <cell r="A716">
            <v>169009</v>
          </cell>
          <cell r="B716">
            <v>37824</v>
          </cell>
          <cell r="D716" t="str">
            <v>ENTEL CHILE - 1600001848</v>
          </cell>
          <cell r="E716">
            <v>3956198</v>
          </cell>
          <cell r="I716">
            <v>0.56999999999999995</v>
          </cell>
          <cell r="K716" t="str">
            <v xml:space="preserve">1.2 </v>
          </cell>
          <cell r="M716" t="str">
            <v>S362C-12205</v>
          </cell>
          <cell r="N716" t="str">
            <v>Cisco 3620 Series IOS IP</v>
          </cell>
          <cell r="O716">
            <v>0</v>
          </cell>
          <cell r="P716">
            <v>0</v>
          </cell>
          <cell r="Q716">
            <v>4</v>
          </cell>
          <cell r="R716">
            <v>0</v>
          </cell>
          <cell r="AG716" t="e">
            <v>#N/A</v>
          </cell>
          <cell r="AH716">
            <v>1</v>
          </cell>
          <cell r="AI716">
            <v>0</v>
          </cell>
          <cell r="AJ716">
            <v>0</v>
          </cell>
        </row>
        <row r="717">
          <cell r="A717">
            <v>169009</v>
          </cell>
          <cell r="B717">
            <v>37824</v>
          </cell>
          <cell r="D717" t="str">
            <v>ENTEL CHILE - 1600001848</v>
          </cell>
          <cell r="E717">
            <v>3956198</v>
          </cell>
          <cell r="I717">
            <v>0.56999999999999995</v>
          </cell>
          <cell r="K717" t="str">
            <v xml:space="preserve">2.0 </v>
          </cell>
          <cell r="M717" t="str">
            <v>NM-1E2W=</v>
          </cell>
          <cell r="N717" t="str">
            <v>1 Ethernet 2 WAN Card Slot Network Module /</v>
          </cell>
          <cell r="O717">
            <v>1500</v>
          </cell>
          <cell r="P717">
            <v>645.00000000000011</v>
          </cell>
          <cell r="Q717">
            <v>9</v>
          </cell>
          <cell r="R717">
            <v>5805.0000000000009</v>
          </cell>
          <cell r="AG717" t="e">
            <v>#N/A</v>
          </cell>
          <cell r="AH717">
            <v>3</v>
          </cell>
          <cell r="AI717">
            <v>741</v>
          </cell>
          <cell r="AJ717">
            <v>6669</v>
          </cell>
        </row>
        <row r="718">
          <cell r="A718">
            <v>169009</v>
          </cell>
          <cell r="B718">
            <v>37824</v>
          </cell>
          <cell r="D718" t="str">
            <v>ENTEL CHILE - 1600001848</v>
          </cell>
          <cell r="E718">
            <v>3956198</v>
          </cell>
          <cell r="I718">
            <v>0.56999999999999995</v>
          </cell>
          <cell r="K718" t="str">
            <v xml:space="preserve">3.0 </v>
          </cell>
          <cell r="M718" t="str">
            <v>VIC-2FXS=</v>
          </cell>
          <cell r="N718" t="str">
            <v>Two-port Voice Interface Card - FXS-Spare /</v>
          </cell>
          <cell r="O718">
            <v>400</v>
          </cell>
          <cell r="P718">
            <v>172.00000000000003</v>
          </cell>
          <cell r="Q718">
            <v>10</v>
          </cell>
          <cell r="R718">
            <v>1720.0000000000002</v>
          </cell>
          <cell r="AG718" t="e">
            <v>#N/A</v>
          </cell>
          <cell r="AH718">
            <v>5</v>
          </cell>
          <cell r="AI718">
            <v>198</v>
          </cell>
          <cell r="AJ718">
            <v>1980</v>
          </cell>
        </row>
        <row r="719">
          <cell r="A719">
            <v>169009</v>
          </cell>
          <cell r="B719">
            <v>37824</v>
          </cell>
          <cell r="D719" t="str">
            <v>ENTEL CHILE - 1600001848</v>
          </cell>
          <cell r="E719">
            <v>3956198</v>
          </cell>
          <cell r="I719">
            <v>0.56999999999999995</v>
          </cell>
          <cell r="K719" t="str">
            <v xml:space="preserve">4.0 </v>
          </cell>
          <cell r="M719" t="str">
            <v>NM-2V=</v>
          </cell>
          <cell r="N719" t="str">
            <v>Two-Slot Voice/fax Network Module-Spare /</v>
          </cell>
          <cell r="O719">
            <v>1000</v>
          </cell>
          <cell r="P719">
            <v>430.00000000000006</v>
          </cell>
          <cell r="Q719">
            <v>3</v>
          </cell>
          <cell r="R719">
            <v>1290.0000000000002</v>
          </cell>
          <cell r="AG719" t="e">
            <v>#N/A</v>
          </cell>
          <cell r="AH719">
            <v>13</v>
          </cell>
          <cell r="AI719">
            <v>494</v>
          </cell>
          <cell r="AJ719">
            <v>1482</v>
          </cell>
        </row>
        <row r="720">
          <cell r="A720">
            <v>169009</v>
          </cell>
          <cell r="B720">
            <v>37824</v>
          </cell>
          <cell r="D720" t="str">
            <v>ENTEL CHILE - 1600001848</v>
          </cell>
          <cell r="E720">
            <v>3956198</v>
          </cell>
          <cell r="I720">
            <v>0.56999999999999995</v>
          </cell>
          <cell r="K720" t="str">
            <v xml:space="preserve">6.0 </v>
          </cell>
          <cell r="M720" t="str">
            <v>WS-C2924M-XL-EN</v>
          </cell>
          <cell r="N720" t="str">
            <v>24-port 10/100 Switch w/Two Module Slots (Enterprise Edition /</v>
          </cell>
          <cell r="O720">
            <v>2495</v>
          </cell>
          <cell r="P720">
            <v>1072.8500000000001</v>
          </cell>
          <cell r="Q720">
            <v>10</v>
          </cell>
          <cell r="R720">
            <v>10728.500000000002</v>
          </cell>
          <cell r="AG720" t="e">
            <v>#N/A</v>
          </cell>
          <cell r="AH720">
            <v>9</v>
          </cell>
          <cell r="AI720">
            <v>1233</v>
          </cell>
          <cell r="AJ720">
            <v>12330</v>
          </cell>
        </row>
        <row r="721">
          <cell r="A721">
            <v>169009</v>
          </cell>
          <cell r="B721">
            <v>37824</v>
          </cell>
          <cell r="D721" t="str">
            <v>ENTEL CHILE - 1600001848</v>
          </cell>
          <cell r="E721">
            <v>3956198</v>
          </cell>
          <cell r="I721">
            <v>0.56999999999999995</v>
          </cell>
          <cell r="K721" t="str">
            <v xml:space="preserve">6.1 </v>
          </cell>
          <cell r="M721" t="str">
            <v>CAB-ACI</v>
          </cell>
          <cell r="N721" t="str">
            <v>Power Cord-Italian</v>
          </cell>
          <cell r="O721">
            <v>0</v>
          </cell>
          <cell r="P721">
            <v>0</v>
          </cell>
          <cell r="Q721">
            <v>10</v>
          </cell>
          <cell r="R721">
            <v>0</v>
          </cell>
          <cell r="AG721" t="e">
            <v>#N/A</v>
          </cell>
          <cell r="AH721">
            <v>9</v>
          </cell>
          <cell r="AI721">
            <v>0</v>
          </cell>
          <cell r="AJ721">
            <v>0</v>
          </cell>
        </row>
        <row r="722">
          <cell r="A722">
            <v>169009</v>
          </cell>
          <cell r="B722">
            <v>37824</v>
          </cell>
          <cell r="D722" t="str">
            <v>ENTEL CHILE - 1600001848</v>
          </cell>
          <cell r="E722">
            <v>3956198</v>
          </cell>
          <cell r="I722">
            <v>0.56999999999999995</v>
          </cell>
          <cell r="K722" t="str">
            <v xml:space="preserve">7.0 </v>
          </cell>
          <cell r="M722" t="str">
            <v>CISCO7206VXR</v>
          </cell>
          <cell r="N722" t="str">
            <v>Cisco 7206VXR, 6-slot chassis, 1 AC Supply w/IP Software /</v>
          </cell>
          <cell r="O722">
            <v>7000</v>
          </cell>
          <cell r="P722">
            <v>3010.0000000000005</v>
          </cell>
          <cell r="Q722">
            <v>1</v>
          </cell>
          <cell r="R722">
            <v>3010.0000000000005</v>
          </cell>
          <cell r="AG722" t="e">
            <v>#N/A</v>
          </cell>
          <cell r="AH722">
            <v>6</v>
          </cell>
          <cell r="AI722">
            <v>3458</v>
          </cell>
          <cell r="AJ722">
            <v>3458</v>
          </cell>
        </row>
        <row r="723">
          <cell r="A723">
            <v>169009</v>
          </cell>
          <cell r="B723">
            <v>37824</v>
          </cell>
          <cell r="D723" t="str">
            <v>ENTEL CHILE - 1600001848</v>
          </cell>
          <cell r="E723">
            <v>3956198</v>
          </cell>
          <cell r="I723">
            <v>0.56999999999999995</v>
          </cell>
          <cell r="K723" t="str">
            <v xml:space="preserve">7.1 </v>
          </cell>
          <cell r="M723" t="str">
            <v>PWR-7200</v>
          </cell>
          <cell r="N723" t="str">
            <v>Cisco 7200 AC Power Supply Option</v>
          </cell>
          <cell r="O723">
            <v>0</v>
          </cell>
          <cell r="P723">
            <v>0</v>
          </cell>
          <cell r="Q723">
            <v>1</v>
          </cell>
          <cell r="R723">
            <v>0</v>
          </cell>
          <cell r="AG723" t="e">
            <v>#N/A</v>
          </cell>
          <cell r="AH723">
            <v>6</v>
          </cell>
          <cell r="AI723">
            <v>0</v>
          </cell>
          <cell r="AJ723">
            <v>0</v>
          </cell>
        </row>
        <row r="724">
          <cell r="A724">
            <v>169009</v>
          </cell>
          <cell r="B724">
            <v>37824</v>
          </cell>
          <cell r="D724" t="str">
            <v>ENTEL CHILE - 1600001848</v>
          </cell>
          <cell r="E724">
            <v>3956198</v>
          </cell>
          <cell r="I724">
            <v>0.56999999999999995</v>
          </cell>
          <cell r="K724" t="str">
            <v xml:space="preserve">7.2 </v>
          </cell>
          <cell r="M724" t="str">
            <v>CAB-ACI</v>
          </cell>
          <cell r="N724" t="str">
            <v>Power Cord-Italian</v>
          </cell>
          <cell r="O724">
            <v>0</v>
          </cell>
          <cell r="P724">
            <v>0</v>
          </cell>
          <cell r="Q724">
            <v>1</v>
          </cell>
          <cell r="R724">
            <v>0</v>
          </cell>
          <cell r="AG724" t="e">
            <v>#N/A</v>
          </cell>
          <cell r="AH724">
            <v>6</v>
          </cell>
          <cell r="AI724">
            <v>0</v>
          </cell>
          <cell r="AJ724">
            <v>0</v>
          </cell>
        </row>
        <row r="725">
          <cell r="A725">
            <v>169009</v>
          </cell>
          <cell r="B725">
            <v>37824</v>
          </cell>
          <cell r="D725" t="str">
            <v>ENTEL CHILE - 1600001848</v>
          </cell>
          <cell r="E725">
            <v>3956198</v>
          </cell>
          <cell r="I725">
            <v>0.56999999999999995</v>
          </cell>
          <cell r="K725" t="str">
            <v xml:space="preserve">7.3 </v>
          </cell>
          <cell r="M725" t="str">
            <v>C7200-I/O</v>
          </cell>
          <cell r="N725" t="str">
            <v>Cisco 7200 Input/Output Controller</v>
          </cell>
          <cell r="O725">
            <v>1000</v>
          </cell>
          <cell r="P725">
            <v>430.00000000000006</v>
          </cell>
          <cell r="Q725">
            <v>1</v>
          </cell>
          <cell r="R725">
            <v>430.00000000000006</v>
          </cell>
          <cell r="AG725" t="e">
            <v>#N/A</v>
          </cell>
          <cell r="AH725">
            <v>16</v>
          </cell>
          <cell r="AI725">
            <v>494</v>
          </cell>
          <cell r="AJ725">
            <v>494</v>
          </cell>
        </row>
        <row r="726">
          <cell r="A726">
            <v>169009</v>
          </cell>
          <cell r="B726">
            <v>37824</v>
          </cell>
          <cell r="D726" t="str">
            <v>ENTEL CHILE - 1600001848</v>
          </cell>
          <cell r="E726">
            <v>3956198</v>
          </cell>
          <cell r="I726">
            <v>0.56999999999999995</v>
          </cell>
          <cell r="K726" t="str">
            <v xml:space="preserve">7.4 </v>
          </cell>
          <cell r="M726" t="str">
            <v>NPE-400</v>
          </cell>
          <cell r="N726" t="str">
            <v>7200VXR NPE-400 (128MB default memory)</v>
          </cell>
          <cell r="O726">
            <v>7500</v>
          </cell>
          <cell r="P726">
            <v>3225.0000000000005</v>
          </cell>
          <cell r="Q726">
            <v>1</v>
          </cell>
          <cell r="R726">
            <v>3225.0000000000005</v>
          </cell>
          <cell r="AG726" t="e">
            <v>#N/A</v>
          </cell>
          <cell r="AH726">
            <v>15</v>
          </cell>
          <cell r="AI726">
            <v>3705</v>
          </cell>
          <cell r="AJ726">
            <v>3705</v>
          </cell>
        </row>
        <row r="727">
          <cell r="A727">
            <v>169009</v>
          </cell>
          <cell r="B727">
            <v>37824</v>
          </cell>
          <cell r="D727" t="str">
            <v>ENTEL CHILE - 1600001848</v>
          </cell>
          <cell r="E727">
            <v>3956198</v>
          </cell>
          <cell r="I727">
            <v>0.56999999999999995</v>
          </cell>
          <cell r="K727" t="str">
            <v xml:space="preserve">7.5 </v>
          </cell>
          <cell r="M727" t="str">
            <v>PA-FE-TX</v>
          </cell>
          <cell r="N727" t="str">
            <v>1-Port Fast Ethernet 100BaseTx Port Adapter</v>
          </cell>
          <cell r="O727">
            <v>2500</v>
          </cell>
          <cell r="P727">
            <v>1075.0000000000002</v>
          </cell>
          <cell r="Q727">
            <v>3</v>
          </cell>
          <cell r="R727">
            <v>3225.0000000000009</v>
          </cell>
          <cell r="AG727" t="e">
            <v>#N/A</v>
          </cell>
          <cell r="AH727">
            <v>7</v>
          </cell>
          <cell r="AI727">
            <v>1235</v>
          </cell>
          <cell r="AJ727">
            <v>3705</v>
          </cell>
        </row>
        <row r="728">
          <cell r="A728">
            <v>169009</v>
          </cell>
          <cell r="B728">
            <v>37824</v>
          </cell>
          <cell r="D728" t="str">
            <v>ENTEL CHILE - 1600001848</v>
          </cell>
          <cell r="E728">
            <v>3956198</v>
          </cell>
          <cell r="I728">
            <v>0.56999999999999995</v>
          </cell>
          <cell r="K728" t="str">
            <v xml:space="preserve">7.6 </v>
          </cell>
          <cell r="M728" t="str">
            <v>PA-FE-TX</v>
          </cell>
          <cell r="N728" t="str">
            <v>1-Port Fast Ethernet 100BaseTx Port Adapter</v>
          </cell>
          <cell r="O728">
            <v>2500</v>
          </cell>
          <cell r="P728">
            <v>1075.0000000000002</v>
          </cell>
          <cell r="Q728">
            <v>3</v>
          </cell>
          <cell r="R728">
            <v>3225.0000000000009</v>
          </cell>
          <cell r="AG728" t="e">
            <v>#N/A</v>
          </cell>
          <cell r="AH728">
            <v>7</v>
          </cell>
          <cell r="AI728">
            <v>1235</v>
          </cell>
          <cell r="AJ728">
            <v>3705</v>
          </cell>
        </row>
        <row r="729">
          <cell r="A729">
            <v>169009</v>
          </cell>
          <cell r="B729">
            <v>37824</v>
          </cell>
          <cell r="D729" t="str">
            <v>ENTEL CHILE - 1600001848</v>
          </cell>
          <cell r="E729">
            <v>3956198</v>
          </cell>
          <cell r="I729">
            <v>0.56999999999999995</v>
          </cell>
          <cell r="K729" t="str">
            <v xml:space="preserve">7.7 </v>
          </cell>
          <cell r="M729" t="str">
            <v>S72C-12114E</v>
          </cell>
          <cell r="N729" t="str">
            <v>Cisco 7200 Series IOS IP</v>
          </cell>
          <cell r="O729">
            <v>0</v>
          </cell>
          <cell r="P729">
            <v>0</v>
          </cell>
          <cell r="Q729">
            <v>1</v>
          </cell>
          <cell r="R729">
            <v>0</v>
          </cell>
          <cell r="AG729" t="e">
            <v>#N/A</v>
          </cell>
          <cell r="AH729">
            <v>6</v>
          </cell>
          <cell r="AI729">
            <v>0</v>
          </cell>
          <cell r="AJ729">
            <v>0</v>
          </cell>
        </row>
        <row r="730">
          <cell r="A730">
            <v>169009</v>
          </cell>
          <cell r="B730">
            <v>37824</v>
          </cell>
          <cell r="D730" t="str">
            <v>ENTEL CHILE - 1600001848</v>
          </cell>
          <cell r="E730">
            <v>3956198</v>
          </cell>
          <cell r="I730">
            <v>0.56999999999999995</v>
          </cell>
          <cell r="K730" t="str">
            <v xml:space="preserve">7.8 </v>
          </cell>
          <cell r="M730" t="str">
            <v>MEM-I/O-D-FLD48M</v>
          </cell>
          <cell r="N730" t="str">
            <v>Cisco 7200 I/O PCMCIA Flash Disk, 48 MB Option (Default)</v>
          </cell>
          <cell r="O730">
            <v>0</v>
          </cell>
          <cell r="P730">
            <v>0</v>
          </cell>
          <cell r="Q730">
            <v>1</v>
          </cell>
          <cell r="R730">
            <v>0</v>
          </cell>
          <cell r="AG730" t="e">
            <v>#N/A</v>
          </cell>
          <cell r="AH730">
            <v>6</v>
          </cell>
          <cell r="AI730">
            <v>0</v>
          </cell>
          <cell r="AJ730">
            <v>0</v>
          </cell>
        </row>
        <row r="731">
          <cell r="A731">
            <v>169009</v>
          </cell>
          <cell r="B731">
            <v>37824</v>
          </cell>
          <cell r="D731" t="str">
            <v>ENTEL CHILE - 1600001848</v>
          </cell>
          <cell r="E731">
            <v>3956198</v>
          </cell>
          <cell r="I731">
            <v>0.56999999999999995</v>
          </cell>
          <cell r="K731" t="str">
            <v xml:space="preserve">7.9 </v>
          </cell>
          <cell r="M731" t="str">
            <v>MEM-NPE-400-D-128M</v>
          </cell>
          <cell r="N731" t="str">
            <v>128MB Memory for NPE-400 in 7200 Series</v>
          </cell>
          <cell r="O731">
            <v>0</v>
          </cell>
          <cell r="P731">
            <v>0</v>
          </cell>
          <cell r="Q731">
            <v>1</v>
          </cell>
          <cell r="R731">
            <v>0</v>
          </cell>
          <cell r="AG731" t="e">
            <v>#N/A</v>
          </cell>
          <cell r="AH731">
            <v>15</v>
          </cell>
          <cell r="AI731">
            <v>0</v>
          </cell>
          <cell r="AJ731">
            <v>0</v>
          </cell>
        </row>
        <row r="732">
          <cell r="A732">
            <v>169009</v>
          </cell>
          <cell r="B732">
            <v>37824</v>
          </cell>
          <cell r="D732" t="str">
            <v>ENTEL CHILE - 1600001848</v>
          </cell>
          <cell r="E732">
            <v>3956198</v>
          </cell>
          <cell r="I732">
            <v>0.56999999999999995</v>
          </cell>
          <cell r="K732" t="str">
            <v xml:space="preserve">8.0 </v>
          </cell>
          <cell r="M732" t="str">
            <v>NM-1FE2W=</v>
          </cell>
          <cell r="N732" t="str">
            <v>1 10/100 Ethernet 2 WAN Card Slot Network Module /</v>
          </cell>
          <cell r="O732">
            <v>2300</v>
          </cell>
          <cell r="P732">
            <v>989.00000000000011</v>
          </cell>
          <cell r="Q732">
            <v>6</v>
          </cell>
          <cell r="R732">
            <v>5934.0000000000009</v>
          </cell>
          <cell r="AG732" t="e">
            <v>#N/A</v>
          </cell>
          <cell r="AH732">
            <v>4</v>
          </cell>
          <cell r="AI732">
            <v>1136</v>
          </cell>
          <cell r="AJ732">
            <v>6816</v>
          </cell>
        </row>
        <row r="733">
          <cell r="A733">
            <v>169009</v>
          </cell>
          <cell r="B733">
            <v>37824</v>
          </cell>
          <cell r="D733" t="str">
            <v>ENTEL CHILE - 1600001848</v>
          </cell>
          <cell r="E733">
            <v>3956198</v>
          </cell>
          <cell r="I733">
            <v>0.56999999999999995</v>
          </cell>
          <cell r="K733" t="str">
            <v xml:space="preserve">9.0 </v>
          </cell>
          <cell r="M733" t="str">
            <v>CSS-11152-AC</v>
          </cell>
          <cell r="N733" t="str">
            <v>CSS 11152, 16 pt FE (TX), 128MB, HD, AC /</v>
          </cell>
          <cell r="O733">
            <v>24995</v>
          </cell>
          <cell r="P733">
            <v>10747.85</v>
          </cell>
          <cell r="Q733">
            <v>1</v>
          </cell>
          <cell r="R733">
            <v>10747.85</v>
          </cell>
          <cell r="AG733" t="e">
            <v>#N/A</v>
          </cell>
          <cell r="AH733">
            <v>11</v>
          </cell>
          <cell r="AI733">
            <v>12348</v>
          </cell>
          <cell r="AJ733">
            <v>12348</v>
          </cell>
        </row>
        <row r="734">
          <cell r="A734">
            <v>169009</v>
          </cell>
          <cell r="B734">
            <v>37824</v>
          </cell>
          <cell r="D734" t="str">
            <v>ENTEL CHILE - 1600001848</v>
          </cell>
          <cell r="E734">
            <v>3956198</v>
          </cell>
          <cell r="I734">
            <v>0.56999999999999995</v>
          </cell>
          <cell r="K734" t="str">
            <v xml:space="preserve">9.1 </v>
          </cell>
          <cell r="M734" t="str">
            <v>CSS-PWR-IT</v>
          </cell>
          <cell r="N734" t="str">
            <v>Power Cable- Italy</v>
          </cell>
          <cell r="O734">
            <v>0</v>
          </cell>
          <cell r="P734">
            <v>0</v>
          </cell>
          <cell r="Q734">
            <v>1</v>
          </cell>
          <cell r="R734">
            <v>0</v>
          </cell>
          <cell r="AG734" t="e">
            <v>#N/A</v>
          </cell>
          <cell r="AH734">
            <v>11</v>
          </cell>
          <cell r="AI734">
            <v>0</v>
          </cell>
          <cell r="AJ734">
            <v>0</v>
          </cell>
        </row>
        <row r="735">
          <cell r="A735">
            <v>169009</v>
          </cell>
          <cell r="B735">
            <v>37824</v>
          </cell>
          <cell r="D735" t="str">
            <v>ENTEL CHILE - 1600001848</v>
          </cell>
          <cell r="E735">
            <v>3956198</v>
          </cell>
          <cell r="I735">
            <v>0.56999999999999995</v>
          </cell>
          <cell r="K735" t="str">
            <v xml:space="preserve">9.2 </v>
          </cell>
          <cell r="M735" t="str">
            <v>S11K-150ST-5.0</v>
          </cell>
          <cell r="N735" t="str">
            <v>WebNS V5.0x Standard Feature Set for CSS-1115x</v>
          </cell>
          <cell r="O735">
            <v>0</v>
          </cell>
          <cell r="P735">
            <v>0</v>
          </cell>
          <cell r="Q735">
            <v>1</v>
          </cell>
          <cell r="R735">
            <v>0</v>
          </cell>
          <cell r="AG735" t="e">
            <v>#N/A</v>
          </cell>
          <cell r="AH735">
            <v>11</v>
          </cell>
          <cell r="AI735">
            <v>0</v>
          </cell>
          <cell r="AJ735">
            <v>0</v>
          </cell>
        </row>
        <row r="736">
          <cell r="A736">
            <v>169009</v>
          </cell>
          <cell r="B736">
            <v>37824</v>
          </cell>
          <cell r="D736" t="str">
            <v>ENTEL CHILE - 1600001848</v>
          </cell>
          <cell r="E736">
            <v>3956198</v>
          </cell>
          <cell r="I736">
            <v>0.56999999999999995</v>
          </cell>
          <cell r="K736" t="str">
            <v xml:space="preserve">10.0 </v>
          </cell>
          <cell r="M736" t="str">
            <v>WS-C2950-12</v>
          </cell>
          <cell r="N736" t="str">
            <v>12 port, 10/100 Catalyst Switch, Standard Image only /</v>
          </cell>
          <cell r="O736">
            <v>895</v>
          </cell>
          <cell r="P736">
            <v>384.85</v>
          </cell>
          <cell r="Q736">
            <v>22</v>
          </cell>
          <cell r="R736">
            <v>8466.7000000000007</v>
          </cell>
          <cell r="AG736" t="e">
            <v>#N/A</v>
          </cell>
          <cell r="AH736">
            <v>2</v>
          </cell>
          <cell r="AI736">
            <v>442</v>
          </cell>
          <cell r="AJ736">
            <v>9724</v>
          </cell>
        </row>
        <row r="737">
          <cell r="A737">
            <v>169009</v>
          </cell>
          <cell r="B737">
            <v>37824</v>
          </cell>
          <cell r="D737" t="str">
            <v>ENTEL CHILE - 1600001848</v>
          </cell>
          <cell r="E737">
            <v>3956198</v>
          </cell>
          <cell r="I737">
            <v>0.56999999999999995</v>
          </cell>
          <cell r="K737" t="str">
            <v xml:space="preserve">10.1 </v>
          </cell>
          <cell r="M737" t="str">
            <v>CAB-ACI</v>
          </cell>
          <cell r="N737" t="str">
            <v>Power Cord-Italian</v>
          </cell>
          <cell r="O737">
            <v>0</v>
          </cell>
          <cell r="P737">
            <v>0</v>
          </cell>
          <cell r="Q737">
            <v>22</v>
          </cell>
          <cell r="R737">
            <v>0</v>
          </cell>
          <cell r="AG737" t="e">
            <v>#N/A</v>
          </cell>
          <cell r="AH737">
            <v>2</v>
          </cell>
          <cell r="AI737">
            <v>0</v>
          </cell>
          <cell r="AJ737">
            <v>0</v>
          </cell>
        </row>
        <row r="738">
          <cell r="A738">
            <v>169009</v>
          </cell>
          <cell r="B738">
            <v>37824</v>
          </cell>
          <cell r="D738" t="str">
            <v>ENTEL CHILE - 1600001848</v>
          </cell>
          <cell r="E738">
            <v>3956198</v>
          </cell>
          <cell r="I738">
            <v>0.56999999999999995</v>
          </cell>
          <cell r="K738" t="str">
            <v xml:space="preserve">11.0 </v>
          </cell>
          <cell r="M738" t="str">
            <v>NM-HDV-1E1-30=</v>
          </cell>
          <cell r="N738" t="str">
            <v>Single-Port 30 Channel E1 Voice/Fax Network Module /</v>
          </cell>
          <cell r="O738">
            <v>7800</v>
          </cell>
          <cell r="P738">
            <v>3354.0000000000005</v>
          </cell>
          <cell r="Q738">
            <v>1</v>
          </cell>
          <cell r="R738">
            <v>3354.0000000000005</v>
          </cell>
          <cell r="AG738" t="e">
            <v>#N/A</v>
          </cell>
          <cell r="AH738">
            <v>14</v>
          </cell>
          <cell r="AI738">
            <v>3853</v>
          </cell>
          <cell r="AJ738">
            <v>3853</v>
          </cell>
        </row>
        <row r="739">
          <cell r="A739">
            <v>169009</v>
          </cell>
          <cell r="B739">
            <v>37824</v>
          </cell>
          <cell r="D739" t="str">
            <v>ENTEL CHILE - 1600001848</v>
          </cell>
          <cell r="E739">
            <v>3956198</v>
          </cell>
          <cell r="I739">
            <v>0.56999999999999995</v>
          </cell>
          <cell r="K739" t="str">
            <v xml:space="preserve">12.0 </v>
          </cell>
          <cell r="M739" t="str">
            <v>CISCO827</v>
          </cell>
          <cell r="N739" t="str">
            <v>Cisco 827 ADSL router 1E, 1ADSL /</v>
          </cell>
          <cell r="O739">
            <v>649</v>
          </cell>
          <cell r="P739">
            <v>279.07000000000005</v>
          </cell>
          <cell r="Q739">
            <v>5</v>
          </cell>
          <cell r="R739">
            <v>1395.3500000000004</v>
          </cell>
          <cell r="AG739" t="e">
            <v>#N/A</v>
          </cell>
          <cell r="AH739">
            <v>8</v>
          </cell>
          <cell r="AI739">
            <v>321</v>
          </cell>
          <cell r="AJ739">
            <v>1605</v>
          </cell>
        </row>
        <row r="740">
          <cell r="A740">
            <v>169009</v>
          </cell>
          <cell r="B740">
            <v>37824</v>
          </cell>
          <cell r="D740" t="str">
            <v>ENTEL CHILE - 1600001848</v>
          </cell>
          <cell r="E740">
            <v>3956198</v>
          </cell>
          <cell r="I740">
            <v>0.56999999999999995</v>
          </cell>
          <cell r="K740" t="str">
            <v xml:space="preserve">12.1 </v>
          </cell>
          <cell r="M740" t="str">
            <v>CAB-ACI</v>
          </cell>
          <cell r="N740" t="str">
            <v>Power Cord-Italian</v>
          </cell>
          <cell r="O740">
            <v>0</v>
          </cell>
          <cell r="P740">
            <v>0</v>
          </cell>
          <cell r="Q740">
            <v>5</v>
          </cell>
          <cell r="R740">
            <v>0</v>
          </cell>
          <cell r="AG740" t="e">
            <v>#N/A</v>
          </cell>
          <cell r="AH740">
            <v>8</v>
          </cell>
          <cell r="AI740">
            <v>0</v>
          </cell>
          <cell r="AJ740">
            <v>0</v>
          </cell>
        </row>
        <row r="741">
          <cell r="A741">
            <v>169009</v>
          </cell>
          <cell r="B741">
            <v>37824</v>
          </cell>
          <cell r="D741" t="str">
            <v>ENTEL CHILE - 1600001848</v>
          </cell>
          <cell r="E741">
            <v>3956198</v>
          </cell>
          <cell r="I741">
            <v>0.56999999999999995</v>
          </cell>
          <cell r="K741" t="str">
            <v xml:space="preserve">12.2 </v>
          </cell>
          <cell r="M741" t="str">
            <v>MEM820-16U32D</v>
          </cell>
          <cell r="N741" t="str">
            <v>Cisco 820/806 DRAM upgrade 16Mbyte-32Mbyte</v>
          </cell>
          <cell r="O741">
            <v>0</v>
          </cell>
          <cell r="P741">
            <v>0</v>
          </cell>
          <cell r="Q741">
            <v>5</v>
          </cell>
          <cell r="R741">
            <v>0</v>
          </cell>
          <cell r="AG741" t="e">
            <v>#N/A</v>
          </cell>
          <cell r="AH741">
            <v>8</v>
          </cell>
          <cell r="AI741">
            <v>0</v>
          </cell>
          <cell r="AJ741">
            <v>0</v>
          </cell>
        </row>
        <row r="742">
          <cell r="A742">
            <v>169009</v>
          </cell>
          <cell r="B742">
            <v>37824</v>
          </cell>
          <cell r="D742" t="str">
            <v>ENTEL CHILE - 1600001848</v>
          </cell>
          <cell r="E742">
            <v>3956198</v>
          </cell>
          <cell r="I742">
            <v>0.56999999999999995</v>
          </cell>
          <cell r="K742" t="str">
            <v xml:space="preserve">12.3 </v>
          </cell>
          <cell r="M742" t="str">
            <v>S820C-12204YA</v>
          </cell>
          <cell r="N742" t="str">
            <v>Cisco 820 Ser IOS IP</v>
          </cell>
          <cell r="O742">
            <v>0</v>
          </cell>
          <cell r="P742">
            <v>0</v>
          </cell>
          <cell r="Q742">
            <v>5</v>
          </cell>
          <cell r="R742">
            <v>0</v>
          </cell>
          <cell r="AG742" t="e">
            <v>#N/A</v>
          </cell>
          <cell r="AH742">
            <v>8</v>
          </cell>
          <cell r="AI742">
            <v>0</v>
          </cell>
          <cell r="AJ742">
            <v>0</v>
          </cell>
        </row>
        <row r="743">
          <cell r="A743">
            <v>169009</v>
          </cell>
          <cell r="B743">
            <v>37824</v>
          </cell>
          <cell r="D743" t="str">
            <v>ENTEL CHILE - 1600001848</v>
          </cell>
          <cell r="E743">
            <v>3956198</v>
          </cell>
          <cell r="I743">
            <v>0.56999999999999995</v>
          </cell>
          <cell r="K743" t="str">
            <v xml:space="preserve">12.4 </v>
          </cell>
          <cell r="M743" t="str">
            <v>CAB-ADSL-RJ11</v>
          </cell>
          <cell r="N743" t="str">
            <v>Lavender Cable for xDSL, Straight-through, RJ-11, 6 feet</v>
          </cell>
          <cell r="O743">
            <v>0</v>
          </cell>
          <cell r="P743">
            <v>0</v>
          </cell>
          <cell r="Q743">
            <v>5</v>
          </cell>
          <cell r="R743">
            <v>0</v>
          </cell>
          <cell r="AG743" t="e">
            <v>#N/A</v>
          </cell>
          <cell r="AH743">
            <v>8</v>
          </cell>
          <cell r="AI743">
            <v>0</v>
          </cell>
          <cell r="AJ743">
            <v>0</v>
          </cell>
        </row>
        <row r="744">
          <cell r="A744">
            <v>169009</v>
          </cell>
          <cell r="B744">
            <v>37824</v>
          </cell>
          <cell r="D744" t="str">
            <v>ENTEL CHILE - 1600001848</v>
          </cell>
          <cell r="E744">
            <v>3956198</v>
          </cell>
          <cell r="I744">
            <v>0.56999999999999995</v>
          </cell>
          <cell r="K744" t="str">
            <v xml:space="preserve">13.0 </v>
          </cell>
          <cell r="M744" t="str">
            <v>WIC-1ADSL=</v>
          </cell>
          <cell r="N744" t="str">
            <v>1-port ADSL WAN Interface Card /</v>
          </cell>
          <cell r="O744">
            <v>750</v>
          </cell>
          <cell r="P744">
            <v>322.50000000000006</v>
          </cell>
          <cell r="Q744">
            <v>2</v>
          </cell>
          <cell r="R744">
            <v>645.00000000000011</v>
          </cell>
          <cell r="AG744" t="e">
            <v>#N/A</v>
          </cell>
          <cell r="AH744">
            <v>10</v>
          </cell>
          <cell r="AI744">
            <v>371</v>
          </cell>
          <cell r="AJ744">
            <v>742</v>
          </cell>
        </row>
        <row r="745">
          <cell r="A745">
            <v>169009</v>
          </cell>
          <cell r="B745">
            <v>37824</v>
          </cell>
          <cell r="D745" t="str">
            <v>ENTEL CHILE - 1600001848</v>
          </cell>
          <cell r="E745">
            <v>3956198</v>
          </cell>
          <cell r="I745">
            <v>0.56999999999999995</v>
          </cell>
          <cell r="K745" t="str">
            <v xml:space="preserve">14.0 </v>
          </cell>
          <cell r="M745" t="str">
            <v>CISCO827-4V</v>
          </cell>
          <cell r="N745" t="str">
            <v>Cisco 827-4V ADSL router 1E, 1ADSL, 4 Voice /</v>
          </cell>
          <cell r="O745">
            <v>999</v>
          </cell>
          <cell r="P745">
            <v>429.57000000000005</v>
          </cell>
          <cell r="Q745">
            <v>11</v>
          </cell>
          <cell r="R745">
            <v>4725.2700000000004</v>
          </cell>
          <cell r="AG745" t="e">
            <v>#N/A</v>
          </cell>
          <cell r="AH745">
            <v>12</v>
          </cell>
          <cell r="AI745">
            <v>494</v>
          </cell>
          <cell r="AJ745">
            <v>5434</v>
          </cell>
        </row>
        <row r="746">
          <cell r="A746">
            <v>169009</v>
          </cell>
          <cell r="B746">
            <v>37824</v>
          </cell>
          <cell r="D746" t="str">
            <v>ENTEL CHILE - 1600001848</v>
          </cell>
          <cell r="E746">
            <v>3956198</v>
          </cell>
          <cell r="I746">
            <v>0.56999999999999995</v>
          </cell>
          <cell r="K746" t="str">
            <v xml:space="preserve">14.1 </v>
          </cell>
          <cell r="M746" t="str">
            <v>CAB-ACI</v>
          </cell>
          <cell r="N746" t="str">
            <v>Power Cord-Italian</v>
          </cell>
          <cell r="O746">
            <v>0</v>
          </cell>
          <cell r="P746">
            <v>0</v>
          </cell>
          <cell r="Q746">
            <v>11</v>
          </cell>
          <cell r="R746">
            <v>0</v>
          </cell>
          <cell r="AG746" t="e">
            <v>#N/A</v>
          </cell>
          <cell r="AJ746">
            <v>0</v>
          </cell>
        </row>
        <row r="747">
          <cell r="A747">
            <v>169009</v>
          </cell>
          <cell r="B747">
            <v>37824</v>
          </cell>
          <cell r="D747" t="str">
            <v>ENTEL CHILE - 1600001848</v>
          </cell>
          <cell r="E747">
            <v>3956198</v>
          </cell>
          <cell r="I747">
            <v>0.56999999999999995</v>
          </cell>
          <cell r="K747" t="str">
            <v xml:space="preserve">14.2 </v>
          </cell>
          <cell r="M747" t="str">
            <v>MEM820-16U48D</v>
          </cell>
          <cell r="N747" t="str">
            <v>Special 16MB to 48MB memroy upgrade for 827-4V</v>
          </cell>
          <cell r="O747">
            <v>0</v>
          </cell>
          <cell r="P747">
            <v>0</v>
          </cell>
          <cell r="Q747">
            <v>11</v>
          </cell>
          <cell r="R747">
            <v>0</v>
          </cell>
          <cell r="AG747" t="e">
            <v>#N/A</v>
          </cell>
          <cell r="AJ747">
            <v>0</v>
          </cell>
        </row>
        <row r="748">
          <cell r="A748">
            <v>169009</v>
          </cell>
          <cell r="B748">
            <v>37824</v>
          </cell>
          <cell r="D748" t="str">
            <v>ENTEL CHILE - 1600001848</v>
          </cell>
          <cell r="E748">
            <v>3956198</v>
          </cell>
          <cell r="I748">
            <v>0.56999999999999995</v>
          </cell>
          <cell r="K748" t="str">
            <v xml:space="preserve">14.3 </v>
          </cell>
          <cell r="M748" t="str">
            <v>S820CHV-12208YN</v>
          </cell>
          <cell r="N748" t="str">
            <v>Cisco 820 Ser IOS IP/FW/VOICE</v>
          </cell>
          <cell r="O748">
            <v>0</v>
          </cell>
          <cell r="P748">
            <v>0</v>
          </cell>
          <cell r="Q748">
            <v>11</v>
          </cell>
          <cell r="R748">
            <v>0</v>
          </cell>
          <cell r="AG748" t="e">
            <v>#N/A</v>
          </cell>
          <cell r="AJ748">
            <v>0</v>
          </cell>
        </row>
        <row r="749">
          <cell r="A749">
            <v>169009</v>
          </cell>
          <cell r="B749">
            <v>37824</v>
          </cell>
          <cell r="D749" t="str">
            <v>ENTEL CHILE - 1600001848</v>
          </cell>
          <cell r="E749">
            <v>3956198</v>
          </cell>
          <cell r="I749">
            <v>0.56999999999999995</v>
          </cell>
          <cell r="K749" t="str">
            <v xml:space="preserve">14.4 </v>
          </cell>
          <cell r="M749" t="str">
            <v>CAB-ADSL-RJ11</v>
          </cell>
          <cell r="N749" t="str">
            <v>Lavender Cable for xDSL, Straight-through, RJ-11, 6 feet</v>
          </cell>
          <cell r="O749">
            <v>0</v>
          </cell>
          <cell r="P749">
            <v>0</v>
          </cell>
          <cell r="Q749">
            <v>11</v>
          </cell>
          <cell r="R749">
            <v>0</v>
          </cell>
          <cell r="AG749" t="e">
            <v>#N/A</v>
          </cell>
          <cell r="AJ749">
            <v>0</v>
          </cell>
        </row>
        <row r="750">
          <cell r="A750">
            <v>169009</v>
          </cell>
          <cell r="B750">
            <v>37824</v>
          </cell>
          <cell r="D750" t="str">
            <v>ENTEL CHILE - 1600001848</v>
          </cell>
          <cell r="E750">
            <v>3956198</v>
          </cell>
          <cell r="I750">
            <v>0.56999999999999995</v>
          </cell>
          <cell r="K750" t="str">
            <v xml:space="preserve">14.5 </v>
          </cell>
          <cell r="M750" t="str">
            <v>MEM820-8U12F</v>
          </cell>
          <cell r="N750" t="str">
            <v>Cisco 820 Series 8MB to 12MB flash upgrade</v>
          </cell>
          <cell r="O750">
            <v>0</v>
          </cell>
          <cell r="P750">
            <v>0</v>
          </cell>
          <cell r="Q750">
            <v>11</v>
          </cell>
          <cell r="R750">
            <v>0</v>
          </cell>
          <cell r="AG750" t="e">
            <v>#N/A</v>
          </cell>
          <cell r="AJ750">
            <v>0</v>
          </cell>
        </row>
        <row r="751">
          <cell r="A751">
            <v>169009</v>
          </cell>
          <cell r="B751">
            <v>37824</v>
          </cell>
          <cell r="D751" t="str">
            <v>ENTEL CHILE - 1600001847</v>
          </cell>
          <cell r="E751">
            <v>3956198</v>
          </cell>
          <cell r="I751">
            <v>0.56999999999999995</v>
          </cell>
          <cell r="K751" t="str">
            <v xml:space="preserve">15.0 </v>
          </cell>
          <cell r="M751" t="str">
            <v>CISCO2611XM</v>
          </cell>
          <cell r="N751" t="str">
            <v>Dual 10/100 Ethernet Router w/ Cisco IOS IP /</v>
          </cell>
          <cell r="O751">
            <v>2495</v>
          </cell>
          <cell r="P751">
            <v>1072.8500000000001</v>
          </cell>
          <cell r="Q751">
            <v>1</v>
          </cell>
          <cell r="R751">
            <v>1072.8500000000001</v>
          </cell>
          <cell r="AG751" t="e">
            <v>#N/A</v>
          </cell>
          <cell r="AH751">
            <v>6</v>
          </cell>
          <cell r="AI751">
            <v>1233</v>
          </cell>
          <cell r="AJ751">
            <v>1233</v>
          </cell>
        </row>
        <row r="752">
          <cell r="A752">
            <v>169009</v>
          </cell>
          <cell r="B752">
            <v>37824</v>
          </cell>
          <cell r="D752" t="str">
            <v>ENTEL CHILE - 1600001847</v>
          </cell>
          <cell r="E752">
            <v>3956198</v>
          </cell>
          <cell r="I752">
            <v>0.56999999999999995</v>
          </cell>
          <cell r="K752" t="str">
            <v xml:space="preserve">15.1 </v>
          </cell>
          <cell r="M752" t="str">
            <v>CAB-ACI</v>
          </cell>
          <cell r="N752" t="str">
            <v>Power Cord-Italian</v>
          </cell>
          <cell r="O752">
            <v>0</v>
          </cell>
          <cell r="P752">
            <v>0</v>
          </cell>
          <cell r="Q752">
            <v>1</v>
          </cell>
          <cell r="R752">
            <v>0</v>
          </cell>
          <cell r="AG752" t="e">
            <v>#N/A</v>
          </cell>
          <cell r="AH752">
            <v>6</v>
          </cell>
          <cell r="AI752">
            <v>0</v>
          </cell>
          <cell r="AJ752">
            <v>0</v>
          </cell>
        </row>
        <row r="753">
          <cell r="A753">
            <v>169009</v>
          </cell>
          <cell r="B753">
            <v>37824</v>
          </cell>
          <cell r="D753" t="str">
            <v>ENTEL CHILE - 1600001847</v>
          </cell>
          <cell r="E753">
            <v>3956198</v>
          </cell>
          <cell r="I753">
            <v>0.56999999999999995</v>
          </cell>
          <cell r="K753" t="str">
            <v xml:space="preserve">15.2 </v>
          </cell>
          <cell r="M753" t="str">
            <v>S26C-12117</v>
          </cell>
          <cell r="N753" t="str">
            <v>Cisco 2600 Series IOS IP</v>
          </cell>
          <cell r="O753">
            <v>0</v>
          </cell>
          <cell r="P753">
            <v>0</v>
          </cell>
          <cell r="Q753">
            <v>1</v>
          </cell>
          <cell r="R753">
            <v>0</v>
          </cell>
          <cell r="AG753" t="e">
            <v>#N/A</v>
          </cell>
          <cell r="AH753">
            <v>6</v>
          </cell>
          <cell r="AI753">
            <v>0</v>
          </cell>
          <cell r="AJ753">
            <v>0</v>
          </cell>
        </row>
        <row r="754">
          <cell r="A754">
            <v>169009</v>
          </cell>
          <cell r="B754">
            <v>37824</v>
          </cell>
          <cell r="D754" t="str">
            <v>ENTEL CHILE - 1600001847</v>
          </cell>
          <cell r="E754">
            <v>3956198</v>
          </cell>
          <cell r="I754">
            <v>0.56999999999999995</v>
          </cell>
          <cell r="K754" t="str">
            <v xml:space="preserve">15.3 </v>
          </cell>
          <cell r="M754" t="str">
            <v>MEM2600XM-32D-INC</v>
          </cell>
          <cell r="N754" t="str">
            <v>32MB DRAM Memory factory default for the Cisco 261x/2xXM</v>
          </cell>
          <cell r="O754">
            <v>0</v>
          </cell>
          <cell r="P754">
            <v>0</v>
          </cell>
          <cell r="Q754">
            <v>1</v>
          </cell>
          <cell r="R754">
            <v>0</v>
          </cell>
          <cell r="AG754" t="e">
            <v>#N/A</v>
          </cell>
          <cell r="AH754">
            <v>6</v>
          </cell>
          <cell r="AI754">
            <v>0</v>
          </cell>
          <cell r="AJ754">
            <v>0</v>
          </cell>
        </row>
        <row r="755">
          <cell r="A755">
            <v>169009</v>
          </cell>
          <cell r="B755">
            <v>37824</v>
          </cell>
          <cell r="D755" t="str">
            <v>ENTEL CHILE - 1600001847</v>
          </cell>
          <cell r="E755">
            <v>3956198</v>
          </cell>
          <cell r="I755">
            <v>0.56999999999999995</v>
          </cell>
          <cell r="K755" t="str">
            <v xml:space="preserve">15.4 </v>
          </cell>
          <cell r="M755" t="str">
            <v>MEM2600XM-16FS-INC</v>
          </cell>
          <cell r="N755" t="str">
            <v>16MB Flash factory default for the Cisco 2600XM</v>
          </cell>
          <cell r="O755">
            <v>0</v>
          </cell>
          <cell r="P755">
            <v>0</v>
          </cell>
          <cell r="Q755">
            <v>1</v>
          </cell>
          <cell r="R755">
            <v>0</v>
          </cell>
          <cell r="AG755" t="e">
            <v>#N/A</v>
          </cell>
          <cell r="AH755">
            <v>6</v>
          </cell>
          <cell r="AI755">
            <v>0</v>
          </cell>
          <cell r="AJ755">
            <v>0</v>
          </cell>
        </row>
        <row r="756">
          <cell r="A756">
            <v>169009</v>
          </cell>
          <cell r="B756">
            <v>37824</v>
          </cell>
          <cell r="D756" t="str">
            <v>ENTEL CHILE - 1600001847</v>
          </cell>
          <cell r="E756">
            <v>3956198</v>
          </cell>
          <cell r="I756">
            <v>0.56999999999999995</v>
          </cell>
          <cell r="K756" t="str">
            <v xml:space="preserve">16.0 </v>
          </cell>
          <cell r="M756" t="str">
            <v>WS-C3550-24-EMI</v>
          </cell>
          <cell r="N756" t="str">
            <v>24-10/100 and 2 GBIC ports:Enhanced Multilayer SW Image /</v>
          </cell>
          <cell r="O756">
            <v>4990</v>
          </cell>
          <cell r="P756">
            <v>2145.7000000000003</v>
          </cell>
          <cell r="Q756">
            <v>2</v>
          </cell>
          <cell r="R756">
            <v>4291.4000000000005</v>
          </cell>
          <cell r="AG756" t="e">
            <v>#N/A</v>
          </cell>
          <cell r="AH756">
            <v>4</v>
          </cell>
          <cell r="AI756">
            <v>2465</v>
          </cell>
          <cell r="AJ756">
            <v>4930</v>
          </cell>
        </row>
        <row r="757">
          <cell r="A757">
            <v>169009</v>
          </cell>
          <cell r="B757">
            <v>37824</v>
          </cell>
          <cell r="D757" t="str">
            <v>ENTEL CHILE - 1600001847</v>
          </cell>
          <cell r="E757">
            <v>3956198</v>
          </cell>
          <cell r="I757">
            <v>0.56999999999999995</v>
          </cell>
          <cell r="K757" t="str">
            <v xml:space="preserve">16.1 </v>
          </cell>
          <cell r="M757" t="str">
            <v>CAB-ACI</v>
          </cell>
          <cell r="N757" t="str">
            <v>Power Cord-Italian</v>
          </cell>
          <cell r="O757">
            <v>0</v>
          </cell>
          <cell r="P757">
            <v>0</v>
          </cell>
          <cell r="Q757">
            <v>2</v>
          </cell>
          <cell r="R757">
            <v>0</v>
          </cell>
          <cell r="AG757" t="e">
            <v>#N/A</v>
          </cell>
          <cell r="AH757">
            <v>4</v>
          </cell>
          <cell r="AI757">
            <v>0</v>
          </cell>
          <cell r="AJ757">
            <v>0</v>
          </cell>
        </row>
        <row r="758">
          <cell r="A758">
            <v>169009</v>
          </cell>
          <cell r="B758">
            <v>37824</v>
          </cell>
          <cell r="D758" t="str">
            <v>ENTEL CHILE - 1600001847</v>
          </cell>
          <cell r="E758">
            <v>3956198</v>
          </cell>
          <cell r="I758">
            <v>0.56999999999999995</v>
          </cell>
          <cell r="K758" t="str">
            <v xml:space="preserve">17.0 </v>
          </cell>
          <cell r="M758" t="str">
            <v>WS-G5486=</v>
          </cell>
          <cell r="N758" t="str">
            <v>1000BASE-LX/LH long haul GBIC (singlemode or multimode) /</v>
          </cell>
          <cell r="O758">
            <v>995</v>
          </cell>
          <cell r="P758">
            <v>427.85</v>
          </cell>
          <cell r="Q758">
            <v>4</v>
          </cell>
          <cell r="R758">
            <v>1711.4</v>
          </cell>
          <cell r="AG758" t="e">
            <v>#N/A</v>
          </cell>
          <cell r="AH758">
            <v>1</v>
          </cell>
          <cell r="AI758">
            <v>492</v>
          </cell>
          <cell r="AJ758">
            <v>1968</v>
          </cell>
        </row>
        <row r="759">
          <cell r="A759">
            <v>169009</v>
          </cell>
          <cell r="B759">
            <v>37824</v>
          </cell>
          <cell r="D759" t="str">
            <v>ENTEL CHILE - 1600001847</v>
          </cell>
          <cell r="E759">
            <v>3956198</v>
          </cell>
          <cell r="I759">
            <v>0.56999999999999995</v>
          </cell>
          <cell r="K759" t="str">
            <v xml:space="preserve">18.0 </v>
          </cell>
          <cell r="M759" t="str">
            <v>CISCO2651XM-V</v>
          </cell>
          <cell r="N759" t="str">
            <v>CISCO2651XM, AIM-VOICE-30, IOS IP Plus, 96D/32F /</v>
          </cell>
          <cell r="O759">
            <v>5995</v>
          </cell>
          <cell r="P759">
            <v>2577.8500000000004</v>
          </cell>
          <cell r="Q759">
            <v>3</v>
          </cell>
          <cell r="R759">
            <v>7733.5500000000011</v>
          </cell>
          <cell r="AG759" t="e">
            <v>#N/A</v>
          </cell>
          <cell r="AH759">
            <v>10</v>
          </cell>
          <cell r="AI759">
            <v>2962</v>
          </cell>
          <cell r="AJ759">
            <v>8886</v>
          </cell>
        </row>
        <row r="760">
          <cell r="A760">
            <v>169009</v>
          </cell>
          <cell r="B760">
            <v>37824</v>
          </cell>
          <cell r="D760" t="str">
            <v>ENTEL CHILE - 1600001847</v>
          </cell>
          <cell r="E760">
            <v>3956198</v>
          </cell>
          <cell r="I760">
            <v>0.56999999999999995</v>
          </cell>
          <cell r="K760" t="str">
            <v xml:space="preserve">18.1 </v>
          </cell>
          <cell r="M760" t="str">
            <v>CAB-ACI</v>
          </cell>
          <cell r="N760" t="str">
            <v>Power Cord-Italian</v>
          </cell>
          <cell r="O760">
            <v>0</v>
          </cell>
          <cell r="P760">
            <v>0</v>
          </cell>
          <cell r="Q760">
            <v>3</v>
          </cell>
          <cell r="R760">
            <v>0</v>
          </cell>
          <cell r="AG760" t="e">
            <v>#N/A</v>
          </cell>
          <cell r="AH760">
            <v>10</v>
          </cell>
          <cell r="AI760">
            <v>0</v>
          </cell>
          <cell r="AJ760">
            <v>0</v>
          </cell>
        </row>
        <row r="761">
          <cell r="A761">
            <v>169009</v>
          </cell>
          <cell r="B761">
            <v>37824</v>
          </cell>
          <cell r="D761" t="str">
            <v>ENTEL CHILE - 1600001847</v>
          </cell>
          <cell r="E761">
            <v>3956198</v>
          </cell>
          <cell r="I761">
            <v>0.56999999999999995</v>
          </cell>
          <cell r="K761" t="str">
            <v xml:space="preserve">18.2 </v>
          </cell>
          <cell r="M761" t="str">
            <v>VWIC-1MFT-E1</v>
          </cell>
          <cell r="N761" t="str">
            <v>1-Port RJ-48 Multiflex Trunk - E1</v>
          </cell>
          <cell r="O761">
            <v>1300</v>
          </cell>
          <cell r="P761">
            <v>559.00000000000011</v>
          </cell>
          <cell r="Q761">
            <v>3</v>
          </cell>
          <cell r="R761">
            <v>1677.0000000000005</v>
          </cell>
          <cell r="AG761" t="e">
            <v>#N/A</v>
          </cell>
          <cell r="AH761">
            <v>3</v>
          </cell>
          <cell r="AI761">
            <v>642</v>
          </cell>
          <cell r="AJ761">
            <v>1926</v>
          </cell>
        </row>
        <row r="762">
          <cell r="A762">
            <v>169009</v>
          </cell>
          <cell r="B762">
            <v>37824</v>
          </cell>
          <cell r="D762" t="str">
            <v>ENTEL CHILE - 1600001847</v>
          </cell>
          <cell r="E762">
            <v>3956198</v>
          </cell>
          <cell r="I762">
            <v>0.56999999999999995</v>
          </cell>
          <cell r="K762" t="str">
            <v xml:space="preserve">18.3 </v>
          </cell>
          <cell r="M762" t="str">
            <v>S26CP-12213T</v>
          </cell>
          <cell r="N762" t="str">
            <v>Cisco 2600 Ser IOS IP PLUS</v>
          </cell>
          <cell r="O762">
            <v>0</v>
          </cell>
          <cell r="P762">
            <v>0</v>
          </cell>
          <cell r="Q762">
            <v>3</v>
          </cell>
          <cell r="R762">
            <v>0</v>
          </cell>
          <cell r="AG762" t="e">
            <v>#N/A</v>
          </cell>
          <cell r="AH762">
            <v>10</v>
          </cell>
          <cell r="AI762">
            <v>0</v>
          </cell>
          <cell r="AJ762">
            <v>0</v>
          </cell>
        </row>
        <row r="763">
          <cell r="A763">
            <v>169009</v>
          </cell>
          <cell r="B763">
            <v>37824</v>
          </cell>
          <cell r="D763" t="str">
            <v>ENTEL CHILE - 1600001847</v>
          </cell>
          <cell r="E763">
            <v>3956198</v>
          </cell>
          <cell r="I763">
            <v>0.56999999999999995</v>
          </cell>
          <cell r="K763" t="str">
            <v xml:space="preserve">18.4 </v>
          </cell>
          <cell r="M763" t="str">
            <v>MEM2600XM-64U96D</v>
          </cell>
          <cell r="N763" t="str">
            <v>64 to 96MB DRAM factory upgrade - 265xXM/XM VPN Bundles</v>
          </cell>
          <cell r="O763">
            <v>0</v>
          </cell>
          <cell r="P763">
            <v>0</v>
          </cell>
          <cell r="Q763">
            <v>3</v>
          </cell>
          <cell r="R763">
            <v>0</v>
          </cell>
          <cell r="AG763" t="e">
            <v>#N/A</v>
          </cell>
          <cell r="AH763">
            <v>10</v>
          </cell>
          <cell r="AI763">
            <v>0</v>
          </cell>
          <cell r="AJ763">
            <v>0</v>
          </cell>
        </row>
        <row r="764">
          <cell r="A764">
            <v>169009</v>
          </cell>
          <cell r="B764">
            <v>37824</v>
          </cell>
          <cell r="D764" t="str">
            <v>ENTEL CHILE - 1600001847</v>
          </cell>
          <cell r="E764">
            <v>3956198</v>
          </cell>
          <cell r="I764">
            <v>0.56999999999999995</v>
          </cell>
          <cell r="K764" t="str">
            <v xml:space="preserve">18.5 </v>
          </cell>
          <cell r="M764" t="str">
            <v>MEM2600XM-16U32FS</v>
          </cell>
          <cell r="N764" t="str">
            <v>16 to 32 MB Flash Factory Upgrade for the Cisco 2600XM</v>
          </cell>
          <cell r="O764">
            <v>0</v>
          </cell>
          <cell r="P764">
            <v>0</v>
          </cell>
          <cell r="Q764">
            <v>3</v>
          </cell>
          <cell r="R764">
            <v>0</v>
          </cell>
          <cell r="AG764" t="e">
            <v>#N/A</v>
          </cell>
          <cell r="AH764">
            <v>10</v>
          </cell>
          <cell r="AI764">
            <v>0</v>
          </cell>
          <cell r="AJ764">
            <v>0</v>
          </cell>
        </row>
        <row r="765">
          <cell r="A765">
            <v>169009</v>
          </cell>
          <cell r="B765">
            <v>37824</v>
          </cell>
          <cell r="D765" t="str">
            <v>ENTEL CHILE - 1600001847</v>
          </cell>
          <cell r="E765">
            <v>3956198</v>
          </cell>
          <cell r="I765">
            <v>0.56999999999999995</v>
          </cell>
          <cell r="K765" t="str">
            <v xml:space="preserve">18.6 </v>
          </cell>
          <cell r="M765" t="str">
            <v>AIM-VOICE-30</v>
          </cell>
          <cell r="N765" t="str">
            <v>30 Channel Voice/Fax AIM</v>
          </cell>
          <cell r="O765">
            <v>0</v>
          </cell>
          <cell r="P765">
            <v>0</v>
          </cell>
          <cell r="Q765">
            <v>3</v>
          </cell>
          <cell r="R765">
            <v>0</v>
          </cell>
          <cell r="AG765" t="e">
            <v>#N/A</v>
          </cell>
          <cell r="AH765">
            <v>10</v>
          </cell>
          <cell r="AI765">
            <v>0</v>
          </cell>
          <cell r="AJ765">
            <v>0</v>
          </cell>
        </row>
        <row r="766">
          <cell r="A766">
            <v>169009</v>
          </cell>
          <cell r="B766">
            <v>37824</v>
          </cell>
          <cell r="D766" t="str">
            <v>ENTEL CHILE - 1600001847</v>
          </cell>
          <cell r="E766">
            <v>3956198</v>
          </cell>
          <cell r="I766">
            <v>0.56999999999999995</v>
          </cell>
          <cell r="K766" t="str">
            <v xml:space="preserve">19.0 </v>
          </cell>
          <cell r="M766" t="str">
            <v>CISCO828</v>
          </cell>
          <cell r="N766" t="str">
            <v>Cisco 828 G.SHDSL Router 1E, 1G.SHDSL /</v>
          </cell>
          <cell r="O766">
            <v>749</v>
          </cell>
          <cell r="P766">
            <v>322.07000000000005</v>
          </cell>
          <cell r="Q766">
            <v>1</v>
          </cell>
          <cell r="R766">
            <v>322.07000000000005</v>
          </cell>
          <cell r="AG766" t="e">
            <v>#N/A</v>
          </cell>
          <cell r="AH766">
            <v>7</v>
          </cell>
          <cell r="AI766">
            <v>370</v>
          </cell>
          <cell r="AJ766">
            <v>370</v>
          </cell>
        </row>
        <row r="767">
          <cell r="A767">
            <v>169009</v>
          </cell>
          <cell r="B767">
            <v>37824</v>
          </cell>
          <cell r="D767" t="str">
            <v>ENTEL CHILE - 1600001847</v>
          </cell>
          <cell r="E767">
            <v>3956198</v>
          </cell>
          <cell r="I767">
            <v>0.56999999999999995</v>
          </cell>
          <cell r="K767" t="str">
            <v xml:space="preserve">19.1 </v>
          </cell>
          <cell r="M767" t="str">
            <v>CAB-ACI</v>
          </cell>
          <cell r="N767" t="str">
            <v>Power Cord-Italian</v>
          </cell>
          <cell r="O767">
            <v>0</v>
          </cell>
          <cell r="P767">
            <v>0</v>
          </cell>
          <cell r="Q767">
            <v>1</v>
          </cell>
          <cell r="R767">
            <v>0</v>
          </cell>
          <cell r="AG767" t="e">
            <v>#N/A</v>
          </cell>
          <cell r="AI767">
            <v>0</v>
          </cell>
          <cell r="AJ767">
            <v>0</v>
          </cell>
        </row>
        <row r="768">
          <cell r="A768">
            <v>169009</v>
          </cell>
          <cell r="B768">
            <v>37824</v>
          </cell>
          <cell r="D768" t="str">
            <v>ENTEL CHILE - 1600001847</v>
          </cell>
          <cell r="E768">
            <v>3956198</v>
          </cell>
          <cell r="I768">
            <v>0.56999999999999995</v>
          </cell>
          <cell r="K768" t="str">
            <v xml:space="preserve">19.2 </v>
          </cell>
          <cell r="M768" t="str">
            <v>MEM820-16U32D</v>
          </cell>
          <cell r="N768" t="str">
            <v>Cisco 820/806 DRAM upgrade 16Mbyte-32Mbyte</v>
          </cell>
          <cell r="O768">
            <v>0</v>
          </cell>
          <cell r="P768">
            <v>0</v>
          </cell>
          <cell r="Q768">
            <v>1</v>
          </cell>
          <cell r="R768">
            <v>0</v>
          </cell>
          <cell r="AG768" t="e">
            <v>#N/A</v>
          </cell>
          <cell r="AI768">
            <v>0</v>
          </cell>
          <cell r="AJ768">
            <v>0</v>
          </cell>
        </row>
        <row r="769">
          <cell r="A769">
            <v>169009</v>
          </cell>
          <cell r="B769">
            <v>37824</v>
          </cell>
          <cell r="D769" t="str">
            <v>ENTEL CHILE - 1600001847</v>
          </cell>
          <cell r="E769">
            <v>3956198</v>
          </cell>
          <cell r="I769">
            <v>0.56999999999999995</v>
          </cell>
          <cell r="K769" t="str">
            <v xml:space="preserve">19.3 </v>
          </cell>
          <cell r="M769" t="str">
            <v>S828CH-12208YM</v>
          </cell>
          <cell r="N769" t="str">
            <v>Cisco 828 Series IOS IP/FW</v>
          </cell>
          <cell r="O769">
            <v>0</v>
          </cell>
          <cell r="P769">
            <v>0</v>
          </cell>
          <cell r="Q769">
            <v>1</v>
          </cell>
          <cell r="R769">
            <v>0</v>
          </cell>
          <cell r="AG769" t="e">
            <v>#N/A</v>
          </cell>
          <cell r="AI769">
            <v>0</v>
          </cell>
          <cell r="AJ769">
            <v>0</v>
          </cell>
        </row>
        <row r="770">
          <cell r="A770">
            <v>169009</v>
          </cell>
          <cell r="B770">
            <v>37824</v>
          </cell>
          <cell r="D770" t="str">
            <v>ENTEL CHILE - 1600001847</v>
          </cell>
          <cell r="E770">
            <v>3956198</v>
          </cell>
          <cell r="I770">
            <v>0.56999999999999995</v>
          </cell>
          <cell r="K770" t="str">
            <v xml:space="preserve">20.0 </v>
          </cell>
          <cell r="M770" t="str">
            <v>ATA186-I1</v>
          </cell>
          <cell r="N770" t="str">
            <v>Cisco ATA 186 2-Port Adaptor, 600 Ohm Impedance /</v>
          </cell>
          <cell r="O770">
            <v>170</v>
          </cell>
          <cell r="P770">
            <v>73.100000000000009</v>
          </cell>
          <cell r="Q770">
            <v>2</v>
          </cell>
          <cell r="R770">
            <v>146.20000000000002</v>
          </cell>
          <cell r="AG770" t="e">
            <v>#N/A</v>
          </cell>
          <cell r="AH770">
            <v>11</v>
          </cell>
          <cell r="AI770">
            <v>85</v>
          </cell>
          <cell r="AJ770">
            <v>170</v>
          </cell>
        </row>
        <row r="771">
          <cell r="A771">
            <v>169009</v>
          </cell>
          <cell r="B771">
            <v>37824</v>
          </cell>
          <cell r="D771" t="str">
            <v>ENTEL CHILE - 1600001847</v>
          </cell>
          <cell r="E771">
            <v>3956198</v>
          </cell>
          <cell r="I771">
            <v>0.56999999999999995</v>
          </cell>
          <cell r="K771" t="str">
            <v xml:space="preserve">20.1 </v>
          </cell>
          <cell r="M771" t="str">
            <v>ATACAB-EU</v>
          </cell>
          <cell r="N771" t="str">
            <v>ATA Power Supply Cable for Continental Europe</v>
          </cell>
          <cell r="O771">
            <v>0</v>
          </cell>
          <cell r="P771">
            <v>0</v>
          </cell>
          <cell r="Q771">
            <v>2</v>
          </cell>
          <cell r="R771">
            <v>0</v>
          </cell>
          <cell r="AG771" t="e">
            <v>#N/A</v>
          </cell>
          <cell r="AH771">
            <v>11</v>
          </cell>
          <cell r="AI771">
            <v>0</v>
          </cell>
          <cell r="AJ771">
            <v>0</v>
          </cell>
        </row>
        <row r="772">
          <cell r="A772">
            <v>169009</v>
          </cell>
          <cell r="B772">
            <v>37824</v>
          </cell>
          <cell r="D772" t="str">
            <v>ENTEL CHILE - 1600001847</v>
          </cell>
          <cell r="E772">
            <v>3956198</v>
          </cell>
          <cell r="I772">
            <v>0.56999999999999995</v>
          </cell>
          <cell r="K772" t="str">
            <v xml:space="preserve">20.2 </v>
          </cell>
          <cell r="M772" t="str">
            <v>SW-CCM-UL-ANA</v>
          </cell>
          <cell r="N772" t="str">
            <v>CallManager Unit license for single SCCP analog port</v>
          </cell>
          <cell r="O772">
            <v>40</v>
          </cell>
          <cell r="P772">
            <v>17.200000000000003</v>
          </cell>
          <cell r="Q772">
            <v>2</v>
          </cell>
          <cell r="R772">
            <v>34.400000000000006</v>
          </cell>
          <cell r="AG772" t="e">
            <v>#N/A</v>
          </cell>
          <cell r="AH772">
            <v>5</v>
          </cell>
          <cell r="AI772">
            <v>20</v>
          </cell>
          <cell r="AJ772">
            <v>40</v>
          </cell>
        </row>
        <row r="773">
          <cell r="A773">
            <v>169009</v>
          </cell>
          <cell r="B773">
            <v>37824</v>
          </cell>
          <cell r="D773" t="str">
            <v>ENTEL CHILE - 1600001847</v>
          </cell>
          <cell r="E773">
            <v>3956198</v>
          </cell>
          <cell r="I773">
            <v>0.56999999999999995</v>
          </cell>
          <cell r="K773" t="str">
            <v xml:space="preserve">21.0 </v>
          </cell>
          <cell r="M773" t="str">
            <v>CISCO1751-V</v>
          </cell>
          <cell r="N773" t="str">
            <v>10/100 Modular Router w/Voice,32F/64D /</v>
          </cell>
          <cell r="O773">
            <v>2495</v>
          </cell>
          <cell r="P773">
            <v>1072.8500000000001</v>
          </cell>
          <cell r="Q773">
            <v>1</v>
          </cell>
          <cell r="R773">
            <v>1072.8500000000001</v>
          </cell>
          <cell r="AG773" t="e">
            <v>#N/A</v>
          </cell>
          <cell r="AH773">
            <v>9</v>
          </cell>
          <cell r="AI773">
            <v>1233</v>
          </cell>
          <cell r="AJ773">
            <v>1233</v>
          </cell>
        </row>
        <row r="774">
          <cell r="A774">
            <v>169009</v>
          </cell>
          <cell r="B774">
            <v>37824</v>
          </cell>
          <cell r="D774" t="str">
            <v>ENTEL CHILE - 1600001847</v>
          </cell>
          <cell r="E774">
            <v>3956198</v>
          </cell>
          <cell r="I774">
            <v>0.56999999999999995</v>
          </cell>
          <cell r="K774" t="str">
            <v xml:space="preserve">21.1 </v>
          </cell>
          <cell r="M774" t="str">
            <v>FL-SRST-SMALL</v>
          </cell>
          <cell r="N774" t="str">
            <v>Feat Lic Survivable Remote Site Telephony up to 24 phones</v>
          </cell>
          <cell r="O774">
            <v>750</v>
          </cell>
          <cell r="P774">
            <v>322.50000000000006</v>
          </cell>
          <cell r="Q774">
            <v>1</v>
          </cell>
          <cell r="R774">
            <v>322.50000000000006</v>
          </cell>
          <cell r="AG774" t="e">
            <v>#N/A</v>
          </cell>
          <cell r="AH774">
            <v>2</v>
          </cell>
          <cell r="AI774">
            <v>371</v>
          </cell>
          <cell r="AJ774">
            <v>371</v>
          </cell>
        </row>
        <row r="775">
          <cell r="A775">
            <v>169009</v>
          </cell>
          <cell r="B775">
            <v>37824</v>
          </cell>
          <cell r="D775" t="str">
            <v>ENTEL CHILE - 1600001847</v>
          </cell>
          <cell r="E775">
            <v>3956198</v>
          </cell>
          <cell r="I775">
            <v>0.56999999999999995</v>
          </cell>
          <cell r="K775" t="str">
            <v xml:space="preserve">21.2 </v>
          </cell>
          <cell r="M775" t="str">
            <v>CAB-ACI</v>
          </cell>
          <cell r="N775" t="str">
            <v>Power Cord-Italian</v>
          </cell>
          <cell r="O775">
            <v>0</v>
          </cell>
          <cell r="P775">
            <v>0</v>
          </cell>
          <cell r="Q775">
            <v>1</v>
          </cell>
          <cell r="R775">
            <v>0</v>
          </cell>
          <cell r="AG775" t="e">
            <v>#N/A</v>
          </cell>
          <cell r="AH775">
            <v>9</v>
          </cell>
          <cell r="AI775">
            <v>0</v>
          </cell>
          <cell r="AJ775">
            <v>0</v>
          </cell>
        </row>
        <row r="776">
          <cell r="A776">
            <v>169009</v>
          </cell>
          <cell r="B776">
            <v>37824</v>
          </cell>
          <cell r="D776" t="str">
            <v>ENTEL CHILE - 1600001847</v>
          </cell>
          <cell r="E776">
            <v>3956198</v>
          </cell>
          <cell r="I776">
            <v>0.56999999999999995</v>
          </cell>
          <cell r="K776" t="str">
            <v xml:space="preserve">21.3 </v>
          </cell>
          <cell r="M776" t="str">
            <v>S17CV8P-12215T</v>
          </cell>
          <cell r="N776" t="str">
            <v>Cisco 1700 IOS IP/VOX PLUS</v>
          </cell>
          <cell r="O776">
            <v>0</v>
          </cell>
          <cell r="P776">
            <v>0</v>
          </cell>
          <cell r="Q776">
            <v>1</v>
          </cell>
          <cell r="R776">
            <v>0</v>
          </cell>
          <cell r="AG776" t="e">
            <v>#N/A</v>
          </cell>
          <cell r="AH776">
            <v>9</v>
          </cell>
          <cell r="AI776">
            <v>0</v>
          </cell>
          <cell r="AJ776">
            <v>0</v>
          </cell>
        </row>
        <row r="777">
          <cell r="A777">
            <v>169009</v>
          </cell>
          <cell r="B777">
            <v>37824</v>
          </cell>
          <cell r="D777" t="str">
            <v>ENTEL CHILE - 1600001847</v>
          </cell>
          <cell r="E777">
            <v>3956198</v>
          </cell>
          <cell r="I777">
            <v>0.56999999999999995</v>
          </cell>
          <cell r="K777" t="str">
            <v xml:space="preserve">21.4 </v>
          </cell>
          <cell r="M777" t="str">
            <v>PVDM-256K-4</v>
          </cell>
          <cell r="N777" t="str">
            <v>4-Channel Packet Voice/Fax DSP Module</v>
          </cell>
          <cell r="O777">
            <v>0</v>
          </cell>
          <cell r="P777">
            <v>0</v>
          </cell>
          <cell r="Q777">
            <v>1</v>
          </cell>
          <cell r="R777">
            <v>0</v>
          </cell>
          <cell r="AG777" t="e">
            <v>#N/A</v>
          </cell>
          <cell r="AH777">
            <v>9</v>
          </cell>
          <cell r="AI777">
            <v>0</v>
          </cell>
          <cell r="AJ777">
            <v>0</v>
          </cell>
        </row>
        <row r="778">
          <cell r="A778">
            <v>169009</v>
          </cell>
          <cell r="B778">
            <v>37824</v>
          </cell>
          <cell r="D778" t="str">
            <v>ENTEL CHILE - 1600001847</v>
          </cell>
          <cell r="E778">
            <v>3956198</v>
          </cell>
          <cell r="I778">
            <v>0.56999999999999995</v>
          </cell>
          <cell r="K778" t="str">
            <v xml:space="preserve">22.0 </v>
          </cell>
          <cell r="M778" t="str">
            <v>WS-G5486=</v>
          </cell>
          <cell r="N778" t="str">
            <v>1000BASE-LX/LH long haul GBIC (singlemode or multimode) /</v>
          </cell>
          <cell r="O778">
            <v>995</v>
          </cell>
          <cell r="P778">
            <v>427.85</v>
          </cell>
          <cell r="Q778">
            <v>2</v>
          </cell>
          <cell r="R778">
            <v>855.7</v>
          </cell>
          <cell r="AG778" t="e">
            <v>#N/A</v>
          </cell>
          <cell r="AH778">
            <v>1</v>
          </cell>
          <cell r="AI778">
            <v>492</v>
          </cell>
          <cell r="AJ778">
            <v>984</v>
          </cell>
        </row>
        <row r="779">
          <cell r="A779">
            <v>169009</v>
          </cell>
          <cell r="B779">
            <v>37824</v>
          </cell>
          <cell r="D779" t="str">
            <v>ENTEL CHILE - 1600001849</v>
          </cell>
          <cell r="E779">
            <v>3956198</v>
          </cell>
          <cell r="I779">
            <v>0.56999999999999995</v>
          </cell>
          <cell r="K779" t="str">
            <v xml:space="preserve">26.0 </v>
          </cell>
          <cell r="M779" t="str">
            <v>CISCO1751-V</v>
          </cell>
          <cell r="N779" t="str">
            <v>10/100 Modular Router w/Voice,32F/64D /</v>
          </cell>
          <cell r="O779">
            <v>2495</v>
          </cell>
          <cell r="P779">
            <v>1072.8500000000001</v>
          </cell>
          <cell r="Q779">
            <v>17</v>
          </cell>
          <cell r="R779">
            <v>18238.45</v>
          </cell>
          <cell r="AG779" t="e">
            <v>#N/A</v>
          </cell>
          <cell r="AH779">
            <v>2</v>
          </cell>
          <cell r="AI779">
            <v>1233</v>
          </cell>
          <cell r="AJ779">
            <v>20961</v>
          </cell>
        </row>
        <row r="780">
          <cell r="A780">
            <v>169009</v>
          </cell>
          <cell r="B780">
            <v>37824</v>
          </cell>
          <cell r="D780" t="str">
            <v>ENTEL CHILE - 1600001849</v>
          </cell>
          <cell r="E780">
            <v>3956198</v>
          </cell>
          <cell r="I780">
            <v>0.56999999999999995</v>
          </cell>
          <cell r="K780" t="str">
            <v xml:space="preserve">26.1 </v>
          </cell>
          <cell r="M780" t="str">
            <v>S17CV8P-12215T</v>
          </cell>
          <cell r="N780" t="str">
            <v>Cisco 1700 IOS IP/VOX PLUS</v>
          </cell>
          <cell r="O780">
            <v>0</v>
          </cell>
          <cell r="P780">
            <v>0</v>
          </cell>
          <cell r="Q780">
            <v>17</v>
          </cell>
          <cell r="R780">
            <v>0</v>
          </cell>
          <cell r="AG780" t="e">
            <v>#N/A</v>
          </cell>
          <cell r="AH780">
            <v>2</v>
          </cell>
          <cell r="AI780">
            <v>0</v>
          </cell>
          <cell r="AJ780">
            <v>0</v>
          </cell>
        </row>
        <row r="781">
          <cell r="A781">
            <v>169009</v>
          </cell>
          <cell r="B781">
            <v>37824</v>
          </cell>
          <cell r="D781" t="str">
            <v>ENTEL CHILE - 1600001849</v>
          </cell>
          <cell r="E781">
            <v>3956198</v>
          </cell>
          <cell r="I781">
            <v>0.56999999999999995</v>
          </cell>
          <cell r="K781" t="str">
            <v xml:space="preserve">26.2 </v>
          </cell>
          <cell r="M781" t="str">
            <v>WIC-1T</v>
          </cell>
          <cell r="N781" t="str">
            <v>1-Port Serial WAN Interface Card</v>
          </cell>
          <cell r="O781">
            <v>400</v>
          </cell>
          <cell r="P781">
            <v>172.00000000000003</v>
          </cell>
          <cell r="Q781">
            <v>17</v>
          </cell>
          <cell r="R781">
            <v>2924.0000000000005</v>
          </cell>
          <cell r="AG781" t="e">
            <v>#N/A</v>
          </cell>
          <cell r="AH781">
            <v>3</v>
          </cell>
          <cell r="AI781">
            <v>198</v>
          </cell>
          <cell r="AJ781">
            <v>3366</v>
          </cell>
        </row>
        <row r="782">
          <cell r="A782">
            <v>169009</v>
          </cell>
          <cell r="B782">
            <v>37824</v>
          </cell>
          <cell r="D782" t="str">
            <v>ENTEL CHILE - 1600001849</v>
          </cell>
          <cell r="E782">
            <v>3956198</v>
          </cell>
          <cell r="I782">
            <v>0.56999999999999995</v>
          </cell>
          <cell r="K782" t="str">
            <v xml:space="preserve">26.3 </v>
          </cell>
          <cell r="M782" t="str">
            <v>VIC-2FXS</v>
          </cell>
          <cell r="N782" t="str">
            <v>Two-port Voice Interface Card - FXS</v>
          </cell>
          <cell r="O782">
            <v>400</v>
          </cell>
          <cell r="P782">
            <v>172.00000000000003</v>
          </cell>
          <cell r="Q782">
            <v>17</v>
          </cell>
          <cell r="R782">
            <v>2924.0000000000005</v>
          </cell>
          <cell r="AG782" t="e">
            <v>#N/A</v>
          </cell>
          <cell r="AH782">
            <v>4</v>
          </cell>
          <cell r="AI782">
            <v>198</v>
          </cell>
          <cell r="AJ782">
            <v>3366</v>
          </cell>
        </row>
        <row r="783">
          <cell r="A783">
            <v>169009</v>
          </cell>
          <cell r="B783">
            <v>37824</v>
          </cell>
          <cell r="D783" t="str">
            <v>ENTEL CHILE - 1600001849</v>
          </cell>
          <cell r="E783">
            <v>3956198</v>
          </cell>
          <cell r="I783">
            <v>0.56999999999999995</v>
          </cell>
          <cell r="K783" t="str">
            <v xml:space="preserve">26.4 </v>
          </cell>
          <cell r="M783" t="str">
            <v>PVDM-256K-4</v>
          </cell>
          <cell r="N783" t="str">
            <v>4-Channel Packet Voice/Fax DSP Module</v>
          </cell>
          <cell r="O783">
            <v>400</v>
          </cell>
          <cell r="P783">
            <v>172.00000000000003</v>
          </cell>
          <cell r="Q783">
            <v>17</v>
          </cell>
          <cell r="R783">
            <v>2924.0000000000005</v>
          </cell>
          <cell r="AG783" t="e">
            <v>#N/A</v>
          </cell>
          <cell r="AH783">
            <v>1</v>
          </cell>
          <cell r="AI783">
            <v>198</v>
          </cell>
          <cell r="AJ783">
            <v>3366</v>
          </cell>
        </row>
        <row r="784">
          <cell r="A784">
            <v>169009</v>
          </cell>
          <cell r="B784">
            <v>37824</v>
          </cell>
          <cell r="D784" t="str">
            <v>ENTEL CHILE - 1600001849</v>
          </cell>
          <cell r="E784">
            <v>3956198</v>
          </cell>
          <cell r="I784">
            <v>0.56999999999999995</v>
          </cell>
          <cell r="K784" t="str">
            <v xml:space="preserve">26.5 </v>
          </cell>
          <cell r="M784" t="str">
            <v>CAB-ACI</v>
          </cell>
          <cell r="N784" t="str">
            <v>Power Cord-Italian</v>
          </cell>
          <cell r="O784">
            <v>0</v>
          </cell>
          <cell r="P784">
            <v>0</v>
          </cell>
          <cell r="Q784">
            <v>17</v>
          </cell>
          <cell r="R784">
            <v>0</v>
          </cell>
          <cell r="AG784" t="e">
            <v>#N/A</v>
          </cell>
          <cell r="AH784">
            <v>2</v>
          </cell>
          <cell r="AI784">
            <v>0</v>
          </cell>
          <cell r="AJ784">
            <v>0</v>
          </cell>
        </row>
        <row r="785">
          <cell r="A785">
            <v>169009</v>
          </cell>
          <cell r="B785">
            <v>37824</v>
          </cell>
          <cell r="D785" t="str">
            <v>ENTEL CHILE - 1600001849</v>
          </cell>
          <cell r="E785">
            <v>3956198</v>
          </cell>
          <cell r="I785">
            <v>0.56999999999999995</v>
          </cell>
          <cell r="K785" t="str">
            <v xml:space="preserve">26.6 </v>
          </cell>
          <cell r="M785" t="str">
            <v>PVDM-256K-4</v>
          </cell>
          <cell r="N785" t="str">
            <v>4-Channel Packet Voice/Fax DSP Module</v>
          </cell>
          <cell r="O785">
            <v>0</v>
          </cell>
          <cell r="P785">
            <v>0</v>
          </cell>
          <cell r="Q785">
            <v>17</v>
          </cell>
          <cell r="R785">
            <v>0</v>
          </cell>
          <cell r="AG785" t="e">
            <v>#N/A</v>
          </cell>
          <cell r="AH785">
            <v>2</v>
          </cell>
          <cell r="AI785">
            <v>0</v>
          </cell>
          <cell r="AJ785">
            <v>0</v>
          </cell>
        </row>
        <row r="786">
          <cell r="A786">
            <v>169009</v>
          </cell>
          <cell r="B786">
            <v>37824</v>
          </cell>
          <cell r="D786" t="str">
            <v>ENTEL CHILE - 1600001849</v>
          </cell>
          <cell r="E786">
            <v>3956198</v>
          </cell>
          <cell r="I786">
            <v>0.56999999999999995</v>
          </cell>
          <cell r="K786" t="str">
            <v xml:space="preserve">27.0 </v>
          </cell>
          <cell r="M786" t="str">
            <v>CISCO3620</v>
          </cell>
          <cell r="N786" t="str">
            <v>Cisco 3600 2-slot Modular Router-AC with IP Software /</v>
          </cell>
          <cell r="O786">
            <v>2900</v>
          </cell>
          <cell r="P786">
            <v>1247.0000000000002</v>
          </cell>
          <cell r="Q786">
            <v>2</v>
          </cell>
          <cell r="R786">
            <v>2494.0000000000005</v>
          </cell>
          <cell r="AG786" t="e">
            <v>#N/A</v>
          </cell>
          <cell r="AH786">
            <v>7</v>
          </cell>
          <cell r="AI786">
            <v>1433</v>
          </cell>
          <cell r="AJ786">
            <v>2866</v>
          </cell>
        </row>
        <row r="787">
          <cell r="A787">
            <v>169009</v>
          </cell>
          <cell r="B787">
            <v>37824</v>
          </cell>
          <cell r="D787" t="str">
            <v>ENTEL CHILE - 1600001849</v>
          </cell>
          <cell r="E787">
            <v>3956198</v>
          </cell>
          <cell r="I787">
            <v>0.56999999999999995</v>
          </cell>
          <cell r="K787" t="str">
            <v xml:space="preserve">27.1 </v>
          </cell>
          <cell r="M787" t="str">
            <v>CAB-ACI</v>
          </cell>
          <cell r="N787" t="str">
            <v>Power Cord-Italian</v>
          </cell>
          <cell r="O787">
            <v>0</v>
          </cell>
          <cell r="P787">
            <v>0</v>
          </cell>
          <cell r="Q787">
            <v>2</v>
          </cell>
          <cell r="R787">
            <v>0</v>
          </cell>
          <cell r="AG787" t="e">
            <v>#N/A</v>
          </cell>
          <cell r="AH787">
            <v>7</v>
          </cell>
          <cell r="AI787">
            <v>0</v>
          </cell>
          <cell r="AJ787">
            <v>0</v>
          </cell>
        </row>
        <row r="788">
          <cell r="A788">
            <v>169009</v>
          </cell>
          <cell r="B788">
            <v>37824</v>
          </cell>
          <cell r="D788" t="str">
            <v>ENTEL CHILE - 1600001849</v>
          </cell>
          <cell r="E788">
            <v>3956198</v>
          </cell>
          <cell r="I788">
            <v>0.56999999999999995</v>
          </cell>
          <cell r="K788" t="str">
            <v xml:space="preserve">27.2 </v>
          </cell>
          <cell r="M788" t="str">
            <v>NM-1E2W</v>
          </cell>
          <cell r="N788" t="str">
            <v>1 Ethernet 2 WAN Card Slot Network Module</v>
          </cell>
          <cell r="O788">
            <v>1500</v>
          </cell>
          <cell r="P788">
            <v>645.00000000000011</v>
          </cell>
          <cell r="Q788">
            <v>2</v>
          </cell>
          <cell r="R788">
            <v>1290.0000000000002</v>
          </cell>
          <cell r="AG788" t="e">
            <v>#N/A</v>
          </cell>
          <cell r="AH788">
            <v>8</v>
          </cell>
          <cell r="AI788">
            <v>741</v>
          </cell>
          <cell r="AJ788">
            <v>1482</v>
          </cell>
        </row>
        <row r="789">
          <cell r="A789">
            <v>169009</v>
          </cell>
          <cell r="B789">
            <v>37824</v>
          </cell>
          <cell r="D789" t="str">
            <v>ENTEL CHILE - 1600001849</v>
          </cell>
          <cell r="E789">
            <v>3956198</v>
          </cell>
          <cell r="I789">
            <v>0.56999999999999995</v>
          </cell>
          <cell r="K789" t="str">
            <v xml:space="preserve">27.3 </v>
          </cell>
          <cell r="M789" t="str">
            <v>WIC-1T</v>
          </cell>
          <cell r="N789" t="str">
            <v>1-Port Serial WAN Interface Card</v>
          </cell>
          <cell r="O789">
            <v>400</v>
          </cell>
          <cell r="P789">
            <v>172.00000000000003</v>
          </cell>
          <cell r="Q789">
            <v>2</v>
          </cell>
          <cell r="R789">
            <v>344.00000000000006</v>
          </cell>
          <cell r="AG789" t="e">
            <v>#N/A</v>
          </cell>
          <cell r="AH789">
            <v>3</v>
          </cell>
          <cell r="AI789">
            <v>198</v>
          </cell>
          <cell r="AJ789">
            <v>396</v>
          </cell>
        </row>
        <row r="790">
          <cell r="A790">
            <v>169009</v>
          </cell>
          <cell r="B790">
            <v>37824</v>
          </cell>
          <cell r="D790" t="str">
            <v>ENTEL CHILE - 1600001849</v>
          </cell>
          <cell r="E790">
            <v>3956198</v>
          </cell>
          <cell r="I790">
            <v>0.56999999999999995</v>
          </cell>
          <cell r="K790" t="str">
            <v xml:space="preserve">27.4 </v>
          </cell>
          <cell r="M790" t="str">
            <v>S362C-12205</v>
          </cell>
          <cell r="N790" t="str">
            <v>Cisco 3620 Series IOS IP</v>
          </cell>
          <cell r="O790">
            <v>0</v>
          </cell>
          <cell r="P790">
            <v>0</v>
          </cell>
          <cell r="Q790">
            <v>2</v>
          </cell>
          <cell r="R790">
            <v>0</v>
          </cell>
          <cell r="AG790" t="e">
            <v>#N/A</v>
          </cell>
          <cell r="AH790">
            <v>7</v>
          </cell>
          <cell r="AI790">
            <v>0</v>
          </cell>
          <cell r="AJ790">
            <v>0</v>
          </cell>
        </row>
        <row r="791">
          <cell r="A791">
            <v>169009</v>
          </cell>
          <cell r="B791">
            <v>37824</v>
          </cell>
          <cell r="D791" t="str">
            <v>ENTEL CHILE - 1600001849</v>
          </cell>
          <cell r="E791">
            <v>3956198</v>
          </cell>
          <cell r="I791">
            <v>0.56999999999999995</v>
          </cell>
          <cell r="K791" t="str">
            <v xml:space="preserve">28.0 </v>
          </cell>
          <cell r="M791" t="str">
            <v>S362CP-12208T=</v>
          </cell>
          <cell r="N791" t="str">
            <v>Cisco 3620 Series IOS IP PLUS /</v>
          </cell>
          <cell r="O791">
            <v>700</v>
          </cell>
          <cell r="P791">
            <v>301.00000000000006</v>
          </cell>
          <cell r="Q791">
            <v>2</v>
          </cell>
          <cell r="R791">
            <v>602.00000000000011</v>
          </cell>
          <cell r="AG791" t="e">
            <v>#N/A</v>
          </cell>
          <cell r="AH791">
            <v>6</v>
          </cell>
          <cell r="AI791">
            <v>346</v>
          </cell>
          <cell r="AJ791">
            <v>692</v>
          </cell>
        </row>
        <row r="792">
          <cell r="A792">
            <v>169009</v>
          </cell>
          <cell r="B792">
            <v>37824</v>
          </cell>
          <cell r="D792" t="str">
            <v>ENTEL CHILE - 1600001849</v>
          </cell>
          <cell r="E792">
            <v>3956198</v>
          </cell>
          <cell r="I792">
            <v>0.56999999999999995</v>
          </cell>
          <cell r="K792" t="str">
            <v xml:space="preserve">29.0 </v>
          </cell>
          <cell r="M792" t="str">
            <v>NM-HDV-1E1-30=</v>
          </cell>
          <cell r="N792" t="str">
            <v>Single-Port 30 Channel E1 Voice/Fax Network Module /</v>
          </cell>
          <cell r="O792">
            <v>7800</v>
          </cell>
          <cell r="P792">
            <v>3354.0000000000005</v>
          </cell>
          <cell r="Q792">
            <v>2</v>
          </cell>
          <cell r="R792">
            <v>6708.0000000000009</v>
          </cell>
          <cell r="AG792" t="e">
            <v>#N/A</v>
          </cell>
          <cell r="AH792">
            <v>5</v>
          </cell>
          <cell r="AI792">
            <v>3853</v>
          </cell>
          <cell r="AJ792">
            <v>7706</v>
          </cell>
        </row>
        <row r="793">
          <cell r="A793">
            <v>169009</v>
          </cell>
          <cell r="B793">
            <v>37824</v>
          </cell>
          <cell r="D793" t="str">
            <v>ENTEL CHILE - 1600001847</v>
          </cell>
          <cell r="E793">
            <v>3956198</v>
          </cell>
          <cell r="I793">
            <v>0.56999999999999995</v>
          </cell>
          <cell r="K793" t="str">
            <v xml:space="preserve">30.0 </v>
          </cell>
          <cell r="M793" t="str">
            <v>VIC-2FXO=</v>
          </cell>
          <cell r="N793" t="str">
            <v>Two-port Voice Interface Card - FXO-Spare /</v>
          </cell>
          <cell r="O793">
            <v>400</v>
          </cell>
          <cell r="P793">
            <v>172.00000000000003</v>
          </cell>
          <cell r="Q793">
            <v>1</v>
          </cell>
          <cell r="R793">
            <v>172.00000000000003</v>
          </cell>
          <cell r="AG793" t="e">
            <v>#N/A</v>
          </cell>
          <cell r="AH793">
            <v>8</v>
          </cell>
          <cell r="AI793">
            <v>198</v>
          </cell>
          <cell r="AJ793">
            <v>198</v>
          </cell>
        </row>
        <row r="794">
          <cell r="A794">
            <v>169009</v>
          </cell>
          <cell r="B794">
            <v>37824</v>
          </cell>
          <cell r="D794" t="str">
            <v>ENTEL CHILE - 1600001848</v>
          </cell>
          <cell r="E794">
            <v>3956198</v>
          </cell>
          <cell r="I794">
            <v>0.56999999999999995</v>
          </cell>
          <cell r="K794" t="str">
            <v xml:space="preserve">31.0 </v>
          </cell>
          <cell r="M794" t="str">
            <v>NM-4E1-IMA=</v>
          </cell>
          <cell r="N794" t="str">
            <v>4-port E1 ATM Network Module with IMA /</v>
          </cell>
          <cell r="O794">
            <v>4000</v>
          </cell>
          <cell r="P794">
            <v>1720.0000000000002</v>
          </cell>
          <cell r="Q794">
            <v>1</v>
          </cell>
          <cell r="R794">
            <v>1720.0000000000002</v>
          </cell>
          <cell r="AG794" t="e">
            <v>#N/A</v>
          </cell>
          <cell r="AH794">
            <v>17</v>
          </cell>
          <cell r="AI794">
            <v>1976</v>
          </cell>
          <cell r="AJ794">
            <v>1976</v>
          </cell>
        </row>
        <row r="795">
          <cell r="A795">
            <v>169010</v>
          </cell>
          <cell r="B795">
            <v>37860</v>
          </cell>
          <cell r="D795" t="str">
            <v>ENTEL CHILE - 1600001859</v>
          </cell>
          <cell r="E795">
            <v>4072908</v>
          </cell>
          <cell r="F795">
            <v>8157689</v>
          </cell>
          <cell r="G795">
            <v>2612815</v>
          </cell>
          <cell r="H795">
            <v>37873</v>
          </cell>
          <cell r="I795">
            <v>0.56000000000000005</v>
          </cell>
          <cell r="M795" t="str">
            <v>WS-C2924M-XL-EN-DC</v>
          </cell>
          <cell r="N795" t="str">
            <v>24-port 10/100 Switch w/ Two Module Slots (DC-Powered) /</v>
          </cell>
          <cell r="O795">
            <v>4495</v>
          </cell>
          <cell r="P795">
            <v>1977.7999999999997</v>
          </cell>
          <cell r="Q795">
            <v>1</v>
          </cell>
          <cell r="R795">
            <v>1977.7999999999997</v>
          </cell>
          <cell r="S795">
            <v>37886</v>
          </cell>
          <cell r="AH795">
            <v>1</v>
          </cell>
          <cell r="AI795">
            <v>2251.5500000000002</v>
          </cell>
          <cell r="AJ795">
            <v>2251.5500000000002</v>
          </cell>
        </row>
        <row r="796">
          <cell r="A796">
            <v>169011</v>
          </cell>
          <cell r="B796">
            <v>37860</v>
          </cell>
          <cell r="D796" t="str">
            <v>ENTEL CHILE - 1600001864</v>
          </cell>
          <cell r="E796">
            <v>4072994</v>
          </cell>
          <cell r="F796">
            <v>8159250</v>
          </cell>
          <cell r="G796">
            <v>2612859</v>
          </cell>
          <cell r="H796">
            <v>37875</v>
          </cell>
          <cell r="I796">
            <v>0.56000000000000005</v>
          </cell>
          <cell r="M796" t="str">
            <v>AIR-AP1220B-A-K9</v>
          </cell>
          <cell r="N796" t="str">
            <v>802.11b AP w/Avail CBus Slot, FCC Cnfg /</v>
          </cell>
          <cell r="O796">
            <v>899</v>
          </cell>
          <cell r="P796">
            <v>395.55999999999995</v>
          </cell>
          <cell r="Q796">
            <v>5</v>
          </cell>
          <cell r="R796">
            <v>1977.7999999999997</v>
          </cell>
          <cell r="AH796">
            <v>1</v>
          </cell>
          <cell r="AI796">
            <v>441</v>
          </cell>
          <cell r="AJ796">
            <v>2205</v>
          </cell>
        </row>
        <row r="797">
          <cell r="A797">
            <v>169011</v>
          </cell>
          <cell r="B797">
            <v>37860</v>
          </cell>
          <cell r="D797" t="str">
            <v>ENTEL CHILE - 1600001864</v>
          </cell>
          <cell r="E797">
            <v>4072994</v>
          </cell>
          <cell r="F797">
            <v>8159250</v>
          </cell>
          <cell r="G797">
            <v>2612859</v>
          </cell>
          <cell r="H797">
            <v>37875</v>
          </cell>
          <cell r="I797">
            <v>0.56000000000000005</v>
          </cell>
          <cell r="M797" t="str">
            <v>AIR-PWR-CORD-IT</v>
          </cell>
          <cell r="N797" t="str">
            <v>AIR Line Cord Italy</v>
          </cell>
          <cell r="O797">
            <v>0</v>
          </cell>
          <cell r="P797">
            <v>0</v>
          </cell>
          <cell r="Q797">
            <v>5</v>
          </cell>
          <cell r="R797">
            <v>0</v>
          </cell>
          <cell r="AI797">
            <v>0</v>
          </cell>
          <cell r="AJ797">
            <v>0</v>
          </cell>
        </row>
        <row r="798">
          <cell r="A798">
            <v>169011</v>
          </cell>
          <cell r="B798">
            <v>37860</v>
          </cell>
          <cell r="D798" t="str">
            <v>ENTEL CHILE - 1600001864</v>
          </cell>
          <cell r="E798">
            <v>4072994</v>
          </cell>
          <cell r="F798">
            <v>8159250</v>
          </cell>
          <cell r="G798">
            <v>2612859</v>
          </cell>
          <cell r="H798">
            <v>37875</v>
          </cell>
          <cell r="I798">
            <v>0.56000000000000005</v>
          </cell>
          <cell r="M798" t="str">
            <v>AIR-ANT1728</v>
          </cell>
          <cell r="N798" t="str">
            <v>2.4 GHz, 5.2 dBi Ceiling Omni Ant. w/RP-TNC Connector /</v>
          </cell>
          <cell r="O798">
            <v>159</v>
          </cell>
          <cell r="P798">
            <v>69.959999999999994</v>
          </cell>
          <cell r="Q798">
            <v>5</v>
          </cell>
          <cell r="R798">
            <v>349.79999999999995</v>
          </cell>
          <cell r="AH798">
            <v>3</v>
          </cell>
          <cell r="AI798">
            <v>78</v>
          </cell>
          <cell r="AJ798">
            <v>390</v>
          </cell>
        </row>
        <row r="799">
          <cell r="A799">
            <v>169011</v>
          </cell>
          <cell r="B799">
            <v>37860</v>
          </cell>
          <cell r="D799" t="str">
            <v>ENTEL CHILE - 1600001864</v>
          </cell>
          <cell r="E799">
            <v>4072994</v>
          </cell>
          <cell r="F799">
            <v>8159250</v>
          </cell>
          <cell r="G799">
            <v>2612859</v>
          </cell>
          <cell r="H799">
            <v>37875</v>
          </cell>
          <cell r="I799">
            <v>0.56000000000000005</v>
          </cell>
          <cell r="M799" t="str">
            <v>AIR-PCM352</v>
          </cell>
          <cell r="N799" t="str">
            <v>802.11b PC Card w/Integrated Antenna /</v>
          </cell>
          <cell r="O799">
            <v>169</v>
          </cell>
          <cell r="P799">
            <v>74.359999999999985</v>
          </cell>
          <cell r="Q799">
            <v>10</v>
          </cell>
          <cell r="R799">
            <v>743.59999999999991</v>
          </cell>
          <cell r="AH799">
            <v>2</v>
          </cell>
          <cell r="AI799">
            <v>83</v>
          </cell>
          <cell r="AJ799">
            <v>830</v>
          </cell>
        </row>
        <row r="800">
          <cell r="A800">
            <v>169011</v>
          </cell>
          <cell r="B800">
            <v>37860</v>
          </cell>
          <cell r="D800" t="str">
            <v>ENTEL CHILE - 1600001864</v>
          </cell>
          <cell r="E800">
            <v>4072994</v>
          </cell>
          <cell r="F800">
            <v>8159250</v>
          </cell>
          <cell r="G800">
            <v>2612859</v>
          </cell>
          <cell r="H800">
            <v>37875</v>
          </cell>
          <cell r="I800">
            <v>0.56000000000000005</v>
          </cell>
          <cell r="M800" t="str">
            <v>AIR-AMERICAS</v>
          </cell>
          <cell r="N800" t="str">
            <v>Regulatory Domain Configuration for Americas (FCC)</v>
          </cell>
          <cell r="O800">
            <v>0</v>
          </cell>
          <cell r="P800">
            <v>0</v>
          </cell>
          <cell r="Q800">
            <v>10</v>
          </cell>
          <cell r="R800">
            <v>0</v>
          </cell>
          <cell r="AI800">
            <v>0</v>
          </cell>
          <cell r="AJ800">
            <v>0</v>
          </cell>
        </row>
        <row r="801">
          <cell r="A801">
            <v>169012</v>
          </cell>
          <cell r="B801">
            <v>37860</v>
          </cell>
          <cell r="D801" t="str">
            <v>ENTEL CHILE - 1600001865</v>
          </cell>
          <cell r="E801">
            <v>4073096</v>
          </cell>
          <cell r="F801">
            <v>8157696</v>
          </cell>
          <cell r="G801">
            <v>2612816</v>
          </cell>
          <cell r="H801">
            <v>37873</v>
          </cell>
          <cell r="I801">
            <v>0.56000000000000005</v>
          </cell>
          <cell r="M801" t="str">
            <v>C7206VXR/400/2FE</v>
          </cell>
          <cell r="N801" t="str">
            <v>7206VXR with NPE-400 and I/O Controller with 2 FE/E Ports /</v>
          </cell>
          <cell r="O801">
            <v>17500</v>
          </cell>
          <cell r="P801">
            <v>7699.9999999999991</v>
          </cell>
          <cell r="Q801">
            <v>1</v>
          </cell>
          <cell r="R801">
            <v>7699.9999999999991</v>
          </cell>
          <cell r="S801">
            <v>37907</v>
          </cell>
          <cell r="AH801" t="str">
            <v>3, 9, 10 y 15</v>
          </cell>
          <cell r="AI801">
            <v>9457</v>
          </cell>
          <cell r="AJ801">
            <v>9457</v>
          </cell>
        </row>
        <row r="802">
          <cell r="A802">
            <v>169012</v>
          </cell>
          <cell r="B802">
            <v>37860</v>
          </cell>
          <cell r="D802" t="str">
            <v>ENTEL CHILE - 1600001865</v>
          </cell>
          <cell r="E802">
            <v>4073096</v>
          </cell>
          <cell r="F802">
            <v>8157696</v>
          </cell>
          <cell r="G802">
            <v>2612816</v>
          </cell>
          <cell r="H802">
            <v>37873</v>
          </cell>
          <cell r="I802">
            <v>0.56000000000000005</v>
          </cell>
          <cell r="M802" t="str">
            <v>PWR-7200</v>
          </cell>
          <cell r="N802" t="str">
            <v>Cisco 7200 AC Power Supply Option</v>
          </cell>
          <cell r="O802">
            <v>0</v>
          </cell>
          <cell r="P802">
            <v>0</v>
          </cell>
          <cell r="Q802">
            <v>1</v>
          </cell>
          <cell r="R802">
            <v>0</v>
          </cell>
          <cell r="S802">
            <v>37907</v>
          </cell>
          <cell r="AI802">
            <v>0</v>
          </cell>
          <cell r="AJ802">
            <v>0</v>
          </cell>
        </row>
        <row r="803">
          <cell r="A803">
            <v>169012</v>
          </cell>
          <cell r="B803">
            <v>37860</v>
          </cell>
          <cell r="D803" t="str">
            <v>ENTEL CHILE - 1600001865</v>
          </cell>
          <cell r="E803">
            <v>4073096</v>
          </cell>
          <cell r="F803">
            <v>8157696</v>
          </cell>
          <cell r="G803">
            <v>2612816</v>
          </cell>
          <cell r="H803">
            <v>37873</v>
          </cell>
          <cell r="I803">
            <v>0.56000000000000005</v>
          </cell>
          <cell r="M803" t="str">
            <v>CAB-ACI</v>
          </cell>
          <cell r="N803" t="str">
            <v>Power Cord-Italian</v>
          </cell>
          <cell r="O803">
            <v>0</v>
          </cell>
          <cell r="P803">
            <v>0</v>
          </cell>
          <cell r="Q803">
            <v>1</v>
          </cell>
          <cell r="R803">
            <v>0</v>
          </cell>
          <cell r="S803">
            <v>37907</v>
          </cell>
          <cell r="AI803">
            <v>0</v>
          </cell>
          <cell r="AJ803">
            <v>0</v>
          </cell>
        </row>
        <row r="804">
          <cell r="A804">
            <v>169012</v>
          </cell>
          <cell r="B804">
            <v>37860</v>
          </cell>
          <cell r="D804" t="str">
            <v>ENTEL CHILE - 1600001865</v>
          </cell>
          <cell r="E804">
            <v>4073096</v>
          </cell>
          <cell r="F804">
            <v>8157696</v>
          </cell>
          <cell r="G804">
            <v>2612816</v>
          </cell>
          <cell r="H804">
            <v>37873</v>
          </cell>
          <cell r="I804">
            <v>0.56000000000000005</v>
          </cell>
          <cell r="M804" t="str">
            <v>S72AR1P-12213T</v>
          </cell>
          <cell r="N804" t="str">
            <v>Cisco 7200 Series IOS ENTERPRISE/SNASW PLUS</v>
          </cell>
          <cell r="O804">
            <v>10000</v>
          </cell>
          <cell r="P804">
            <v>4399.9999999999991</v>
          </cell>
          <cell r="Q804">
            <v>1</v>
          </cell>
          <cell r="R804">
            <v>4399.9999999999991</v>
          </cell>
          <cell r="S804">
            <v>37907</v>
          </cell>
          <cell r="AH804">
            <v>4</v>
          </cell>
          <cell r="AI804">
            <v>4900</v>
          </cell>
          <cell r="AJ804">
            <v>4900</v>
          </cell>
        </row>
        <row r="805">
          <cell r="A805">
            <v>169012</v>
          </cell>
          <cell r="B805">
            <v>37860</v>
          </cell>
          <cell r="D805" t="str">
            <v>ENTEL CHILE - 1600001865</v>
          </cell>
          <cell r="E805">
            <v>4073096</v>
          </cell>
          <cell r="F805">
            <v>8157696</v>
          </cell>
          <cell r="G805">
            <v>2612816</v>
          </cell>
          <cell r="H805">
            <v>37873</v>
          </cell>
          <cell r="I805">
            <v>0.56000000000000005</v>
          </cell>
          <cell r="M805" t="str">
            <v>MEM-I/O-D-FLD48M</v>
          </cell>
          <cell r="N805" t="str">
            <v>Cisco 7200 I/O PCMCIA Flash Disk, 48 MB Option (Default)</v>
          </cell>
          <cell r="O805">
            <v>0</v>
          </cell>
          <cell r="P805">
            <v>0</v>
          </cell>
          <cell r="Q805">
            <v>1</v>
          </cell>
          <cell r="R805">
            <v>0</v>
          </cell>
          <cell r="S805">
            <v>37907</v>
          </cell>
          <cell r="AI805">
            <v>0</v>
          </cell>
          <cell r="AJ805">
            <v>0</v>
          </cell>
        </row>
        <row r="806">
          <cell r="A806">
            <v>169012</v>
          </cell>
          <cell r="B806">
            <v>37860</v>
          </cell>
          <cell r="D806" t="str">
            <v>ENTEL CHILE - 1600001865</v>
          </cell>
          <cell r="E806">
            <v>4073096</v>
          </cell>
          <cell r="F806">
            <v>8157696</v>
          </cell>
          <cell r="G806">
            <v>2612816</v>
          </cell>
          <cell r="H806">
            <v>37873</v>
          </cell>
          <cell r="I806">
            <v>0.56000000000000005</v>
          </cell>
          <cell r="M806" t="str">
            <v>MEM-NPE-400-D-128M</v>
          </cell>
          <cell r="N806" t="str">
            <v>128MB Memory for NPE-400 in 7200 Series</v>
          </cell>
          <cell r="O806">
            <v>0</v>
          </cell>
          <cell r="P806">
            <v>0</v>
          </cell>
          <cell r="Q806">
            <v>1</v>
          </cell>
          <cell r="R806">
            <v>0</v>
          </cell>
          <cell r="S806">
            <v>37907</v>
          </cell>
          <cell r="AI806">
            <v>0</v>
          </cell>
          <cell r="AJ806">
            <v>0</v>
          </cell>
        </row>
        <row r="807">
          <cell r="A807">
            <v>169012</v>
          </cell>
          <cell r="B807">
            <v>37860</v>
          </cell>
          <cell r="D807" t="str">
            <v>ENTEL CHILE - 1600001865</v>
          </cell>
          <cell r="E807">
            <v>4073096</v>
          </cell>
          <cell r="F807">
            <v>8157696</v>
          </cell>
          <cell r="G807">
            <v>2612816</v>
          </cell>
          <cell r="H807">
            <v>37873</v>
          </cell>
          <cell r="I807">
            <v>0.56000000000000005</v>
          </cell>
          <cell r="M807" t="str">
            <v>PA-VXA-1TE1-30+</v>
          </cell>
          <cell r="N807" t="str">
            <v>1 Port T1/E1 Digital Voice Port Adapter with 30 Channels</v>
          </cell>
          <cell r="O807">
            <v>8500</v>
          </cell>
          <cell r="P807">
            <v>3739.9999999999995</v>
          </cell>
          <cell r="Q807">
            <v>3</v>
          </cell>
          <cell r="R807">
            <v>11219.999999999998</v>
          </cell>
          <cell r="S807">
            <v>37907</v>
          </cell>
          <cell r="AH807">
            <v>19</v>
          </cell>
          <cell r="AI807">
            <v>4165</v>
          </cell>
          <cell r="AJ807">
            <v>12495</v>
          </cell>
        </row>
        <row r="808">
          <cell r="A808">
            <v>169012</v>
          </cell>
          <cell r="B808">
            <v>37860</v>
          </cell>
          <cell r="D808" t="str">
            <v>ENTEL CHILE - 1600001865</v>
          </cell>
          <cell r="E808">
            <v>4073096</v>
          </cell>
          <cell r="F808">
            <v>8157696</v>
          </cell>
          <cell r="G808">
            <v>2612816</v>
          </cell>
          <cell r="H808">
            <v>37873</v>
          </cell>
          <cell r="I808">
            <v>0.56000000000000005</v>
          </cell>
          <cell r="M808" t="str">
            <v>PA-A3-OC3SMI=</v>
          </cell>
          <cell r="N808" t="str">
            <v>1-Port ATM Enhanced OC3c/STM1 Singlemode(IR)Port Adapter /</v>
          </cell>
          <cell r="O808">
            <v>10000</v>
          </cell>
          <cell r="P808">
            <v>4399.9999999999991</v>
          </cell>
          <cell r="Q808">
            <v>1</v>
          </cell>
          <cell r="R808">
            <v>4399.9999999999991</v>
          </cell>
          <cell r="S808">
            <v>37907</v>
          </cell>
          <cell r="AH808">
            <v>1</v>
          </cell>
          <cell r="AI808">
            <v>4900</v>
          </cell>
          <cell r="AJ808">
            <v>4900</v>
          </cell>
        </row>
        <row r="809">
          <cell r="A809">
            <v>169012</v>
          </cell>
          <cell r="B809">
            <v>37860</v>
          </cell>
          <cell r="D809" t="str">
            <v>ENTEL CHILE - 1600001865</v>
          </cell>
          <cell r="E809">
            <v>4073096</v>
          </cell>
          <cell r="F809">
            <v>8157696</v>
          </cell>
          <cell r="G809">
            <v>2612816</v>
          </cell>
          <cell r="H809">
            <v>37873</v>
          </cell>
          <cell r="I809">
            <v>0.56000000000000005</v>
          </cell>
          <cell r="M809" t="str">
            <v>CISCO1760-V</v>
          </cell>
          <cell r="N809" t="str">
            <v>10/100 Modular Router w/Voice,19-in Chassis,32MB FL/96MB DR /</v>
          </cell>
          <cell r="O809">
            <v>2595</v>
          </cell>
          <cell r="P809">
            <v>1141.8</v>
          </cell>
          <cell r="Q809">
            <v>13</v>
          </cell>
          <cell r="R809">
            <v>14843.4</v>
          </cell>
          <cell r="S809">
            <v>37907</v>
          </cell>
          <cell r="AH809">
            <v>11</v>
          </cell>
          <cell r="AI809">
            <v>1272</v>
          </cell>
          <cell r="AJ809">
            <v>16536</v>
          </cell>
        </row>
        <row r="810">
          <cell r="A810">
            <v>169012</v>
          </cell>
          <cell r="B810">
            <v>37860</v>
          </cell>
          <cell r="D810" t="str">
            <v>ENTEL CHILE - 1600001865</v>
          </cell>
          <cell r="E810">
            <v>4073096</v>
          </cell>
          <cell r="F810">
            <v>8157696</v>
          </cell>
          <cell r="G810">
            <v>2612816</v>
          </cell>
          <cell r="H810">
            <v>37873</v>
          </cell>
          <cell r="I810">
            <v>0.56000000000000005</v>
          </cell>
          <cell r="M810" t="str">
            <v>S17Q7HVK9-12211T</v>
          </cell>
          <cell r="N810" t="str">
            <v>Cisco 1700 IOS IP/ADSL/IPX/AT/IBM/VOICE/FW/IDS PLUSIPSEC3DES</v>
          </cell>
          <cell r="O810">
            <v>1800</v>
          </cell>
          <cell r="P810">
            <v>791.99999999999989</v>
          </cell>
          <cell r="Q810">
            <v>13</v>
          </cell>
          <cell r="R810">
            <v>10295.999999999998</v>
          </cell>
          <cell r="S810">
            <v>37907</v>
          </cell>
          <cell r="AH810">
            <v>17</v>
          </cell>
          <cell r="AI810">
            <v>882</v>
          </cell>
          <cell r="AJ810">
            <v>11466</v>
          </cell>
        </row>
        <row r="811">
          <cell r="A811">
            <v>169012</v>
          </cell>
          <cell r="B811">
            <v>37860</v>
          </cell>
          <cell r="D811" t="str">
            <v>ENTEL CHILE - 1600001865</v>
          </cell>
          <cell r="E811">
            <v>4073096</v>
          </cell>
          <cell r="F811">
            <v>8157696</v>
          </cell>
          <cell r="G811">
            <v>2612816</v>
          </cell>
          <cell r="H811">
            <v>37873</v>
          </cell>
          <cell r="I811">
            <v>0.56000000000000005</v>
          </cell>
          <cell r="M811" t="str">
            <v>PVDM-256K-4U12</v>
          </cell>
          <cell r="N811" t="str">
            <v>Cisco 1760-V 4-Channel to 12-Channel PVDM Factory Upgrade</v>
          </cell>
          <cell r="O811">
            <v>700</v>
          </cell>
          <cell r="P811">
            <v>307.99999999999994</v>
          </cell>
          <cell r="Q811">
            <v>13</v>
          </cell>
          <cell r="R811">
            <v>4003.9999999999991</v>
          </cell>
          <cell r="S811">
            <v>37907</v>
          </cell>
          <cell r="AH811">
            <v>16</v>
          </cell>
          <cell r="AI811">
            <v>343</v>
          </cell>
          <cell r="AJ811">
            <v>4459</v>
          </cell>
        </row>
        <row r="812">
          <cell r="A812">
            <v>169012</v>
          </cell>
          <cell r="B812">
            <v>37860</v>
          </cell>
          <cell r="D812" t="str">
            <v>ENTEL CHILE - 1600001865</v>
          </cell>
          <cell r="E812">
            <v>4073096</v>
          </cell>
          <cell r="F812">
            <v>8157696</v>
          </cell>
          <cell r="G812">
            <v>2612816</v>
          </cell>
          <cell r="H812">
            <v>37873</v>
          </cell>
          <cell r="I812">
            <v>0.56000000000000005</v>
          </cell>
          <cell r="M812" t="str">
            <v>VIC-2E/M</v>
          </cell>
          <cell r="N812" t="str">
            <v>Two-port Voice Interface Card - EandM</v>
          </cell>
          <cell r="O812">
            <v>400</v>
          </cell>
          <cell r="P812">
            <v>175.99999999999997</v>
          </cell>
          <cell r="Q812">
            <v>13</v>
          </cell>
          <cell r="R812">
            <v>2287.9999999999995</v>
          </cell>
          <cell r="S812">
            <v>37907</v>
          </cell>
          <cell r="AH812">
            <v>13</v>
          </cell>
          <cell r="AI812">
            <v>196</v>
          </cell>
          <cell r="AJ812">
            <v>2548</v>
          </cell>
        </row>
        <row r="813">
          <cell r="A813">
            <v>169012</v>
          </cell>
          <cell r="B813">
            <v>37860</v>
          </cell>
          <cell r="D813" t="str">
            <v>ENTEL CHILE - 1600001865</v>
          </cell>
          <cell r="E813">
            <v>4073096</v>
          </cell>
          <cell r="F813">
            <v>8157696</v>
          </cell>
          <cell r="G813">
            <v>2612816</v>
          </cell>
          <cell r="H813">
            <v>37873</v>
          </cell>
          <cell r="I813">
            <v>0.56000000000000005</v>
          </cell>
          <cell r="M813" t="str">
            <v>WIC-1T</v>
          </cell>
          <cell r="N813" t="str">
            <v>1-Port Serial WAN Interface Card</v>
          </cell>
          <cell r="O813">
            <v>400</v>
          </cell>
          <cell r="P813">
            <v>175.99999999999997</v>
          </cell>
          <cell r="Q813">
            <v>13</v>
          </cell>
          <cell r="R813">
            <v>2287.9999999999995</v>
          </cell>
          <cell r="S813">
            <v>37907</v>
          </cell>
          <cell r="AH813">
            <v>7</v>
          </cell>
          <cell r="AI813">
            <v>196</v>
          </cell>
          <cell r="AJ813">
            <v>2548</v>
          </cell>
        </row>
        <row r="814">
          <cell r="A814">
            <v>169012</v>
          </cell>
          <cell r="B814">
            <v>37860</v>
          </cell>
          <cell r="D814" t="str">
            <v>ENTEL CHILE - 1600001865</v>
          </cell>
          <cell r="E814">
            <v>4073096</v>
          </cell>
          <cell r="F814">
            <v>8157696</v>
          </cell>
          <cell r="G814">
            <v>2612816</v>
          </cell>
          <cell r="H814">
            <v>37873</v>
          </cell>
          <cell r="I814">
            <v>0.56000000000000005</v>
          </cell>
          <cell r="M814" t="str">
            <v>VIC-2E/M</v>
          </cell>
          <cell r="N814" t="str">
            <v>Two-port Voice Interface Card - EandM</v>
          </cell>
          <cell r="O814">
            <v>400</v>
          </cell>
          <cell r="P814">
            <v>175.99999999999997</v>
          </cell>
          <cell r="Q814">
            <v>13</v>
          </cell>
          <cell r="R814">
            <v>2287.9999999999995</v>
          </cell>
          <cell r="S814">
            <v>37907</v>
          </cell>
          <cell r="AH814">
            <v>13</v>
          </cell>
          <cell r="AI814">
            <v>196</v>
          </cell>
          <cell r="AJ814">
            <v>2548</v>
          </cell>
        </row>
        <row r="815">
          <cell r="A815">
            <v>169012</v>
          </cell>
          <cell r="B815">
            <v>37860</v>
          </cell>
          <cell r="D815" t="str">
            <v>ENTEL CHILE - 1600001865</v>
          </cell>
          <cell r="E815">
            <v>4073096</v>
          </cell>
          <cell r="F815">
            <v>8157696</v>
          </cell>
          <cell r="G815">
            <v>2612816</v>
          </cell>
          <cell r="H815">
            <v>37873</v>
          </cell>
          <cell r="I815">
            <v>0.56000000000000005</v>
          </cell>
          <cell r="M815" t="str">
            <v>VIC-2E/M</v>
          </cell>
          <cell r="N815" t="str">
            <v>Two-port Voice Interface Card - EandM</v>
          </cell>
          <cell r="O815">
            <v>400</v>
          </cell>
          <cell r="P815">
            <v>175.99999999999997</v>
          </cell>
          <cell r="Q815">
            <v>13</v>
          </cell>
          <cell r="R815">
            <v>2287.9999999999995</v>
          </cell>
          <cell r="S815">
            <v>37907</v>
          </cell>
          <cell r="AH815">
            <v>13</v>
          </cell>
          <cell r="AI815">
            <v>196</v>
          </cell>
          <cell r="AJ815">
            <v>2548</v>
          </cell>
        </row>
        <row r="816">
          <cell r="A816">
            <v>169012</v>
          </cell>
          <cell r="B816">
            <v>37860</v>
          </cell>
          <cell r="D816" t="str">
            <v>ENTEL CHILE - 1600001865</v>
          </cell>
          <cell r="E816">
            <v>4073096</v>
          </cell>
          <cell r="F816">
            <v>8157696</v>
          </cell>
          <cell r="G816">
            <v>2612816</v>
          </cell>
          <cell r="H816">
            <v>37873</v>
          </cell>
          <cell r="I816">
            <v>0.56000000000000005</v>
          </cell>
          <cell r="M816" t="str">
            <v>CAB-V35MT</v>
          </cell>
          <cell r="N816" t="str">
            <v>V.35 Cable, DTE, Male, 10 Feet</v>
          </cell>
          <cell r="O816">
            <v>100</v>
          </cell>
          <cell r="P816">
            <v>43.999999999999993</v>
          </cell>
          <cell r="Q816">
            <v>13</v>
          </cell>
          <cell r="R816">
            <v>571.99999999999989</v>
          </cell>
          <cell r="S816">
            <v>37907</v>
          </cell>
          <cell r="AH816">
            <v>2</v>
          </cell>
          <cell r="AI816">
            <v>49</v>
          </cell>
          <cell r="AJ816">
            <v>637</v>
          </cell>
        </row>
        <row r="817">
          <cell r="A817">
            <v>169012</v>
          </cell>
          <cell r="B817">
            <v>37860</v>
          </cell>
          <cell r="D817" t="str">
            <v>ENTEL CHILE - 1600001865</v>
          </cell>
          <cell r="E817">
            <v>4073096</v>
          </cell>
          <cell r="F817">
            <v>8157696</v>
          </cell>
          <cell r="G817">
            <v>2612816</v>
          </cell>
          <cell r="H817">
            <v>37873</v>
          </cell>
          <cell r="I817">
            <v>0.56000000000000005</v>
          </cell>
          <cell r="M817" t="str">
            <v>CAB-ACI</v>
          </cell>
          <cell r="N817" t="str">
            <v>Power Cord-Italian</v>
          </cell>
          <cell r="O817">
            <v>0</v>
          </cell>
          <cell r="P817">
            <v>0</v>
          </cell>
          <cell r="Q817">
            <v>13</v>
          </cell>
          <cell r="R817">
            <v>0</v>
          </cell>
          <cell r="S817">
            <v>37907</v>
          </cell>
          <cell r="AI817">
            <v>0</v>
          </cell>
          <cell r="AJ817">
            <v>0</v>
          </cell>
        </row>
        <row r="818">
          <cell r="A818">
            <v>169012</v>
          </cell>
          <cell r="B818">
            <v>37860</v>
          </cell>
          <cell r="D818" t="str">
            <v>ENTEL CHILE - 1600001865</v>
          </cell>
          <cell r="E818">
            <v>4073096</v>
          </cell>
          <cell r="F818">
            <v>8157696</v>
          </cell>
          <cell r="G818">
            <v>2612816</v>
          </cell>
          <cell r="H818">
            <v>37873</v>
          </cell>
          <cell r="I818">
            <v>0.56000000000000005</v>
          </cell>
          <cell r="M818" t="str">
            <v>MEM1700-64U96D</v>
          </cell>
          <cell r="N818" t="str">
            <v>Cisco 1700 64MB to 96MB DRAM Factory Upgrade</v>
          </cell>
          <cell r="O818">
            <v>0</v>
          </cell>
          <cell r="P818">
            <v>0</v>
          </cell>
          <cell r="Q818">
            <v>13</v>
          </cell>
          <cell r="R818">
            <v>0</v>
          </cell>
          <cell r="S818">
            <v>37907</v>
          </cell>
          <cell r="AI818">
            <v>0</v>
          </cell>
          <cell r="AJ818">
            <v>0</v>
          </cell>
        </row>
        <row r="819">
          <cell r="A819">
            <v>169012</v>
          </cell>
          <cell r="B819">
            <v>37860</v>
          </cell>
          <cell r="D819" t="str">
            <v>ENTEL CHILE - 1600001865</v>
          </cell>
          <cell r="E819">
            <v>4073096</v>
          </cell>
          <cell r="F819">
            <v>8157696</v>
          </cell>
          <cell r="G819">
            <v>2612816</v>
          </cell>
          <cell r="H819">
            <v>37873</v>
          </cell>
          <cell r="I819">
            <v>0.56000000000000005</v>
          </cell>
          <cell r="M819" t="str">
            <v>CISCO3745</v>
          </cell>
          <cell r="N819" t="str">
            <v>3700 Series, 4-Slot, Dual FE, Multiservice Access Router /</v>
          </cell>
          <cell r="O819">
            <v>12000</v>
          </cell>
          <cell r="P819">
            <v>5279.9999999999991</v>
          </cell>
          <cell r="Q819">
            <v>1</v>
          </cell>
          <cell r="R819">
            <v>5279.9999999999991</v>
          </cell>
          <cell r="S819">
            <v>37907</v>
          </cell>
          <cell r="AH819">
            <v>12</v>
          </cell>
          <cell r="AI819">
            <v>5880</v>
          </cell>
          <cell r="AJ819">
            <v>5880</v>
          </cell>
        </row>
        <row r="820">
          <cell r="A820">
            <v>169012</v>
          </cell>
          <cell r="B820">
            <v>37860</v>
          </cell>
          <cell r="D820" t="str">
            <v>ENTEL CHILE - 1600001865</v>
          </cell>
          <cell r="E820">
            <v>4073096</v>
          </cell>
          <cell r="F820">
            <v>8157696</v>
          </cell>
          <cell r="G820">
            <v>2612816</v>
          </cell>
          <cell r="H820">
            <v>37873</v>
          </cell>
          <cell r="I820">
            <v>0.56000000000000005</v>
          </cell>
          <cell r="M820" t="str">
            <v>PWR-3745-AC</v>
          </cell>
          <cell r="N820" t="str">
            <v>AC Power Supply for the Cisco 3745</v>
          </cell>
          <cell r="O820">
            <v>0</v>
          </cell>
          <cell r="P820">
            <v>0</v>
          </cell>
          <cell r="Q820">
            <v>1</v>
          </cell>
          <cell r="R820">
            <v>0</v>
          </cell>
          <cell r="S820">
            <v>37907</v>
          </cell>
          <cell r="AI820">
            <v>0</v>
          </cell>
          <cell r="AJ820">
            <v>0</v>
          </cell>
        </row>
        <row r="821">
          <cell r="A821">
            <v>169012</v>
          </cell>
          <cell r="B821">
            <v>37860</v>
          </cell>
          <cell r="D821" t="str">
            <v>ENTEL CHILE - 1600001865</v>
          </cell>
          <cell r="E821">
            <v>4073096</v>
          </cell>
          <cell r="F821">
            <v>8157696</v>
          </cell>
          <cell r="G821">
            <v>2612816</v>
          </cell>
          <cell r="H821">
            <v>37873</v>
          </cell>
          <cell r="I821">
            <v>0.56000000000000005</v>
          </cell>
          <cell r="M821" t="str">
            <v>CAB-ACI</v>
          </cell>
          <cell r="N821" t="str">
            <v>Power Cord-Italian</v>
          </cell>
          <cell r="O821">
            <v>0</v>
          </cell>
          <cell r="P821">
            <v>0</v>
          </cell>
          <cell r="Q821">
            <v>1</v>
          </cell>
          <cell r="R821">
            <v>0</v>
          </cell>
          <cell r="S821">
            <v>37907</v>
          </cell>
          <cell r="AI821">
            <v>0</v>
          </cell>
          <cell r="AJ821">
            <v>0</v>
          </cell>
        </row>
        <row r="822">
          <cell r="A822">
            <v>169012</v>
          </cell>
          <cell r="B822">
            <v>37860</v>
          </cell>
          <cell r="D822" t="str">
            <v>ENTEL CHILE - 1600001865</v>
          </cell>
          <cell r="E822">
            <v>4073096</v>
          </cell>
          <cell r="F822">
            <v>8157696</v>
          </cell>
          <cell r="G822">
            <v>2612816</v>
          </cell>
          <cell r="H822">
            <v>37873</v>
          </cell>
          <cell r="I822">
            <v>0.56000000000000005</v>
          </cell>
          <cell r="M822" t="str">
            <v>S374BP-12213T</v>
          </cell>
          <cell r="N822" t="str">
            <v>Cisco 3745 Series IOS IP/IPX/APPLETALK PLUS</v>
          </cell>
          <cell r="O822">
            <v>1100</v>
          </cell>
          <cell r="P822">
            <v>483.99999999999994</v>
          </cell>
          <cell r="Q822">
            <v>1</v>
          </cell>
          <cell r="R822">
            <v>483.99999999999994</v>
          </cell>
          <cell r="S822">
            <v>37907</v>
          </cell>
          <cell r="AH822">
            <v>18</v>
          </cell>
          <cell r="AI822">
            <v>539</v>
          </cell>
          <cell r="AJ822">
            <v>539</v>
          </cell>
        </row>
        <row r="823">
          <cell r="A823">
            <v>169012</v>
          </cell>
          <cell r="B823">
            <v>37860</v>
          </cell>
          <cell r="D823" t="str">
            <v>ENTEL CHILE - 1600001865</v>
          </cell>
          <cell r="E823">
            <v>4073096</v>
          </cell>
          <cell r="F823">
            <v>8157696</v>
          </cell>
          <cell r="G823">
            <v>2612816</v>
          </cell>
          <cell r="H823">
            <v>37873</v>
          </cell>
          <cell r="I823">
            <v>0.56000000000000005</v>
          </cell>
          <cell r="M823" t="str">
            <v>NM-2V</v>
          </cell>
          <cell r="N823" t="str">
            <v>Two-Slot Voice/fax Network Module</v>
          </cell>
          <cell r="O823">
            <v>1000</v>
          </cell>
          <cell r="P823">
            <v>439.99999999999994</v>
          </cell>
          <cell r="Q823">
            <v>2</v>
          </cell>
          <cell r="R823">
            <v>879.99999999999989</v>
          </cell>
          <cell r="S823">
            <v>37907</v>
          </cell>
          <cell r="AH823">
            <v>6</v>
          </cell>
          <cell r="AI823">
            <v>539</v>
          </cell>
          <cell r="AJ823">
            <v>1078</v>
          </cell>
        </row>
        <row r="824">
          <cell r="A824">
            <v>169012</v>
          </cell>
          <cell r="B824">
            <v>37860</v>
          </cell>
          <cell r="D824" t="str">
            <v>ENTEL CHILE - 1600001865</v>
          </cell>
          <cell r="E824">
            <v>4073096</v>
          </cell>
          <cell r="F824">
            <v>8157696</v>
          </cell>
          <cell r="G824">
            <v>2612816</v>
          </cell>
          <cell r="H824">
            <v>37873</v>
          </cell>
          <cell r="I824">
            <v>0.56000000000000005</v>
          </cell>
          <cell r="M824" t="str">
            <v>NM-2W</v>
          </cell>
          <cell r="N824" t="str">
            <v>2 WAN Card Slot Network Module(no LAN)</v>
          </cell>
          <cell r="O824">
            <v>1500</v>
          </cell>
          <cell r="P824">
            <v>659.99999999999989</v>
          </cell>
          <cell r="Q824">
            <v>1</v>
          </cell>
          <cell r="R824">
            <v>659.99999999999989</v>
          </cell>
          <cell r="S824">
            <v>37907</v>
          </cell>
          <cell r="AH824">
            <v>14</v>
          </cell>
          <cell r="AI824">
            <v>735</v>
          </cell>
          <cell r="AJ824">
            <v>735</v>
          </cell>
        </row>
        <row r="825">
          <cell r="A825">
            <v>169012</v>
          </cell>
          <cell r="B825">
            <v>37860</v>
          </cell>
          <cell r="D825" t="str">
            <v>ENTEL CHILE - 1600001865</v>
          </cell>
          <cell r="E825">
            <v>4073096</v>
          </cell>
          <cell r="F825">
            <v>8157696</v>
          </cell>
          <cell r="G825">
            <v>2612816</v>
          </cell>
          <cell r="H825">
            <v>37873</v>
          </cell>
          <cell r="I825">
            <v>0.56000000000000005</v>
          </cell>
          <cell r="M825" t="str">
            <v>WIC-1T</v>
          </cell>
          <cell r="N825" t="str">
            <v>1-Port Serial WAN Interface Card</v>
          </cell>
          <cell r="O825">
            <v>400</v>
          </cell>
          <cell r="P825">
            <v>175.99999999999997</v>
          </cell>
          <cell r="Q825">
            <v>1</v>
          </cell>
          <cell r="R825">
            <v>175.99999999999997</v>
          </cell>
          <cell r="S825">
            <v>37907</v>
          </cell>
          <cell r="AH825">
            <v>7</v>
          </cell>
          <cell r="AI825">
            <v>196</v>
          </cell>
          <cell r="AJ825">
            <v>196</v>
          </cell>
        </row>
        <row r="826">
          <cell r="A826">
            <v>169012</v>
          </cell>
          <cell r="B826">
            <v>37860</v>
          </cell>
          <cell r="D826" t="str">
            <v>ENTEL CHILE - 1600001865</v>
          </cell>
          <cell r="E826">
            <v>4073096</v>
          </cell>
          <cell r="F826">
            <v>8157696</v>
          </cell>
          <cell r="G826">
            <v>2612816</v>
          </cell>
          <cell r="H826">
            <v>37873</v>
          </cell>
          <cell r="I826">
            <v>0.56000000000000005</v>
          </cell>
          <cell r="M826" t="str">
            <v>VIC-2E/M</v>
          </cell>
          <cell r="N826" t="str">
            <v>Two-port Voice Interface Card - EandM</v>
          </cell>
          <cell r="O826">
            <v>400</v>
          </cell>
          <cell r="P826">
            <v>175.99999999999997</v>
          </cell>
          <cell r="Q826">
            <v>4</v>
          </cell>
          <cell r="R826">
            <v>703.99999999999989</v>
          </cell>
          <cell r="S826">
            <v>37907</v>
          </cell>
          <cell r="AH826">
            <v>13</v>
          </cell>
          <cell r="AI826">
            <v>196</v>
          </cell>
          <cell r="AJ826">
            <v>784</v>
          </cell>
        </row>
        <row r="827">
          <cell r="A827">
            <v>169012</v>
          </cell>
          <cell r="B827">
            <v>37860</v>
          </cell>
          <cell r="D827" t="str">
            <v>ENTEL CHILE - 1600001865</v>
          </cell>
          <cell r="E827">
            <v>4073096</v>
          </cell>
          <cell r="F827">
            <v>8157696</v>
          </cell>
          <cell r="G827">
            <v>2612816</v>
          </cell>
          <cell r="H827">
            <v>37873</v>
          </cell>
          <cell r="I827">
            <v>0.56000000000000005</v>
          </cell>
          <cell r="M827" t="str">
            <v>CAB-V35MT</v>
          </cell>
          <cell r="N827" t="str">
            <v>V.35 Cable, DTE, Male, 10 Feet</v>
          </cell>
          <cell r="O827">
            <v>100</v>
          </cell>
          <cell r="P827">
            <v>43.999999999999993</v>
          </cell>
          <cell r="Q827">
            <v>1</v>
          </cell>
          <cell r="R827">
            <v>43.999999999999993</v>
          </cell>
          <cell r="S827">
            <v>37907</v>
          </cell>
          <cell r="AH827">
            <v>2</v>
          </cell>
          <cell r="AI827">
            <v>49</v>
          </cell>
          <cell r="AJ827">
            <v>49</v>
          </cell>
        </row>
        <row r="828">
          <cell r="A828">
            <v>169012</v>
          </cell>
          <cell r="B828">
            <v>37860</v>
          </cell>
          <cell r="D828" t="str">
            <v>ENTEL CHILE - 1600001865</v>
          </cell>
          <cell r="E828">
            <v>4073096</v>
          </cell>
          <cell r="F828">
            <v>8157696</v>
          </cell>
          <cell r="G828">
            <v>2612816</v>
          </cell>
          <cell r="H828">
            <v>37873</v>
          </cell>
          <cell r="I828">
            <v>0.56000000000000005</v>
          </cell>
          <cell r="M828" t="str">
            <v>S26BP-12211T=</v>
          </cell>
          <cell r="N828" t="str">
            <v>Cisco 2600 Series IOS IP/IPX/APPLETALK PLUS /</v>
          </cell>
          <cell r="O828">
            <v>1100</v>
          </cell>
          <cell r="P828">
            <v>483.99999999999994</v>
          </cell>
          <cell r="Q828">
            <v>1</v>
          </cell>
          <cell r="R828">
            <v>483.99999999999994</v>
          </cell>
          <cell r="S828">
            <v>37907</v>
          </cell>
          <cell r="AH828">
            <v>8</v>
          </cell>
          <cell r="AI828">
            <v>539</v>
          </cell>
          <cell r="AJ828">
            <v>539</v>
          </cell>
        </row>
        <row r="829">
          <cell r="A829">
            <v>169012</v>
          </cell>
          <cell r="B829">
            <v>37860</v>
          </cell>
          <cell r="D829" t="str">
            <v>ENTEL CHILE - 1600001865</v>
          </cell>
          <cell r="E829">
            <v>4073096</v>
          </cell>
          <cell r="F829">
            <v>8157696</v>
          </cell>
          <cell r="G829">
            <v>2612816</v>
          </cell>
          <cell r="H829">
            <v>37873</v>
          </cell>
          <cell r="I829">
            <v>0.56000000000000005</v>
          </cell>
          <cell r="M829" t="str">
            <v>WIC-1T=</v>
          </cell>
          <cell r="N829" t="str">
            <v>1-Port Serial WAN Interface Card /</v>
          </cell>
          <cell r="O829">
            <v>400</v>
          </cell>
          <cell r="P829">
            <v>175.99999999999997</v>
          </cell>
          <cell r="Q829">
            <v>1</v>
          </cell>
          <cell r="R829">
            <v>175.99999999999997</v>
          </cell>
          <cell r="S829">
            <v>37907</v>
          </cell>
          <cell r="AH829">
            <v>7</v>
          </cell>
          <cell r="AI829">
            <v>196</v>
          </cell>
          <cell r="AJ829">
            <v>196</v>
          </cell>
        </row>
        <row r="830">
          <cell r="A830">
            <v>169012</v>
          </cell>
          <cell r="B830">
            <v>37860</v>
          </cell>
          <cell r="D830" t="str">
            <v>ENTEL CHILE - 1600001865</v>
          </cell>
          <cell r="E830">
            <v>4073096</v>
          </cell>
          <cell r="F830">
            <v>8157696</v>
          </cell>
          <cell r="G830">
            <v>2612816</v>
          </cell>
          <cell r="H830">
            <v>37873</v>
          </cell>
          <cell r="I830">
            <v>0.56000000000000005</v>
          </cell>
          <cell r="M830" t="str">
            <v>CISCO2611XM</v>
          </cell>
          <cell r="N830" t="str">
            <v>Dual 10/100 Ethernet Router w/ Cisco IOS IP /</v>
          </cell>
          <cell r="O830">
            <v>2495</v>
          </cell>
          <cell r="P830">
            <v>1097.8</v>
          </cell>
          <cell r="Q830">
            <v>1</v>
          </cell>
          <cell r="R830">
            <v>1097.8</v>
          </cell>
          <cell r="S830">
            <v>37907</v>
          </cell>
          <cell r="AH830">
            <v>5</v>
          </cell>
          <cell r="AI830">
            <v>1223</v>
          </cell>
          <cell r="AJ830">
            <v>1223</v>
          </cell>
        </row>
        <row r="831">
          <cell r="A831">
            <v>169012</v>
          </cell>
          <cell r="B831">
            <v>37860</v>
          </cell>
          <cell r="D831" t="str">
            <v>ENTEL CHILE - 1600001865</v>
          </cell>
          <cell r="E831">
            <v>4073096</v>
          </cell>
          <cell r="F831">
            <v>8157696</v>
          </cell>
          <cell r="G831">
            <v>2612816</v>
          </cell>
          <cell r="H831">
            <v>37873</v>
          </cell>
          <cell r="I831">
            <v>0.56000000000000005</v>
          </cell>
          <cell r="M831" t="str">
            <v>CAB-ACI</v>
          </cell>
          <cell r="N831" t="str">
            <v>Power Cord-Italian</v>
          </cell>
          <cell r="O831">
            <v>0</v>
          </cell>
          <cell r="P831">
            <v>0</v>
          </cell>
          <cell r="Q831">
            <v>1</v>
          </cell>
          <cell r="R831">
            <v>0</v>
          </cell>
          <cell r="S831">
            <v>37907</v>
          </cell>
          <cell r="AI831">
            <v>0</v>
          </cell>
          <cell r="AJ831">
            <v>0</v>
          </cell>
        </row>
        <row r="832">
          <cell r="A832">
            <v>169012</v>
          </cell>
          <cell r="B832">
            <v>37860</v>
          </cell>
          <cell r="D832" t="str">
            <v>ENTEL CHILE - 1600001865</v>
          </cell>
          <cell r="E832">
            <v>4073096</v>
          </cell>
          <cell r="F832">
            <v>8157696</v>
          </cell>
          <cell r="G832">
            <v>2612816</v>
          </cell>
          <cell r="H832">
            <v>37873</v>
          </cell>
          <cell r="I832">
            <v>0.56000000000000005</v>
          </cell>
          <cell r="M832" t="str">
            <v>S26C-12208T</v>
          </cell>
          <cell r="N832" t="str">
            <v>Cisco 2600 Series IOS IP</v>
          </cell>
          <cell r="O832">
            <v>0</v>
          </cell>
          <cell r="P832">
            <v>0</v>
          </cell>
          <cell r="Q832">
            <v>1</v>
          </cell>
          <cell r="R832">
            <v>0</v>
          </cell>
          <cell r="S832">
            <v>37907</v>
          </cell>
          <cell r="AI832">
            <v>0</v>
          </cell>
          <cell r="AJ832">
            <v>0</v>
          </cell>
        </row>
        <row r="833">
          <cell r="A833">
            <v>169012</v>
          </cell>
          <cell r="B833">
            <v>37860</v>
          </cell>
          <cell r="D833" t="str">
            <v>ENTEL CHILE - 1600001865</v>
          </cell>
          <cell r="E833">
            <v>4073096</v>
          </cell>
          <cell r="F833">
            <v>8157696</v>
          </cell>
          <cell r="G833">
            <v>2612816</v>
          </cell>
          <cell r="H833">
            <v>37873</v>
          </cell>
          <cell r="I833">
            <v>0.56000000000000005</v>
          </cell>
          <cell r="M833" t="str">
            <v>MEM2600XM-32U96D</v>
          </cell>
          <cell r="N833" t="str">
            <v>32 to 96MB DRAM factory upgrade for Cisco 261x/2xXM</v>
          </cell>
          <cell r="O833">
            <v>0</v>
          </cell>
          <cell r="P833">
            <v>0</v>
          </cell>
          <cell r="Q833">
            <v>1</v>
          </cell>
          <cell r="R833">
            <v>0</v>
          </cell>
          <cell r="S833">
            <v>37907</v>
          </cell>
          <cell r="AI833">
            <v>0</v>
          </cell>
          <cell r="AJ833">
            <v>0</v>
          </cell>
        </row>
        <row r="834">
          <cell r="A834">
            <v>169012</v>
          </cell>
          <cell r="B834">
            <v>37860</v>
          </cell>
          <cell r="D834" t="str">
            <v>ENTEL CHILE - 1600001865</v>
          </cell>
          <cell r="E834">
            <v>4073096</v>
          </cell>
          <cell r="F834">
            <v>8157696</v>
          </cell>
          <cell r="G834">
            <v>2612816</v>
          </cell>
          <cell r="H834">
            <v>37873</v>
          </cell>
          <cell r="I834">
            <v>0.56000000000000005</v>
          </cell>
          <cell r="M834" t="str">
            <v>MEM2600XM-16U32FS</v>
          </cell>
          <cell r="N834" t="str">
            <v>16 to 32 MB Flash Factory Upgrade for the Cisco 2600XM</v>
          </cell>
          <cell r="O834">
            <v>0</v>
          </cell>
          <cell r="P834">
            <v>0</v>
          </cell>
          <cell r="Q834">
            <v>1</v>
          </cell>
          <cell r="R834">
            <v>0</v>
          </cell>
          <cell r="S834">
            <v>37907</v>
          </cell>
          <cell r="AI834">
            <v>0</v>
          </cell>
          <cell r="AJ834">
            <v>0</v>
          </cell>
        </row>
        <row r="835">
          <cell r="A835">
            <v>169012</v>
          </cell>
          <cell r="B835">
            <v>37860</v>
          </cell>
          <cell r="D835" t="str">
            <v>ENTEL CHILE - 1600001865</v>
          </cell>
          <cell r="E835">
            <v>4073096</v>
          </cell>
          <cell r="F835">
            <v>8157696</v>
          </cell>
          <cell r="G835">
            <v>2612816</v>
          </cell>
          <cell r="H835">
            <v>37873</v>
          </cell>
          <cell r="I835">
            <v>0.56000000000000005</v>
          </cell>
          <cell r="M835" t="str">
            <v>CAB-V35MT=</v>
          </cell>
          <cell r="N835" t="str">
            <v>V.35 Cable, DTE, Male, 10 Feet /</v>
          </cell>
          <cell r="O835">
            <v>100</v>
          </cell>
          <cell r="P835">
            <v>43.999999999999993</v>
          </cell>
          <cell r="Q835">
            <v>1</v>
          </cell>
          <cell r="R835">
            <v>43.999999999999993</v>
          </cell>
          <cell r="S835">
            <v>37907</v>
          </cell>
          <cell r="AH835">
            <v>2</v>
          </cell>
          <cell r="AI835">
            <v>49</v>
          </cell>
          <cell r="AJ835">
            <v>49</v>
          </cell>
        </row>
        <row r="836">
          <cell r="A836">
            <v>169013</v>
          </cell>
          <cell r="B836">
            <v>37860</v>
          </cell>
          <cell r="D836" t="str">
            <v>ENTEL CHILE - 1600001866</v>
          </cell>
          <cell r="E836">
            <v>4073540</v>
          </cell>
          <cell r="F836">
            <v>8157688</v>
          </cell>
          <cell r="G836">
            <v>2612802</v>
          </cell>
          <cell r="H836">
            <v>37873</v>
          </cell>
          <cell r="I836">
            <v>0.56000000000000005</v>
          </cell>
          <cell r="M836" t="str">
            <v>CISCO1760-V</v>
          </cell>
          <cell r="N836" t="str">
            <v>10/100 Modular Router w/Voice,19-in Chassis,32MB FL/96MB DR /</v>
          </cell>
          <cell r="O836">
            <v>2595</v>
          </cell>
          <cell r="P836">
            <v>1141.8</v>
          </cell>
          <cell r="Q836">
            <v>13</v>
          </cell>
          <cell r="R836">
            <v>14843.4</v>
          </cell>
          <cell r="S836">
            <v>37902</v>
          </cell>
          <cell r="AH836">
            <v>2</v>
          </cell>
          <cell r="AI836">
            <v>1272</v>
          </cell>
          <cell r="AJ836">
            <v>16536</v>
          </cell>
        </row>
        <row r="837">
          <cell r="A837">
            <v>169013</v>
          </cell>
          <cell r="B837">
            <v>37860</v>
          </cell>
          <cell r="D837" t="str">
            <v>ENTEL CHILE - 1600001866</v>
          </cell>
          <cell r="E837">
            <v>4073540</v>
          </cell>
          <cell r="F837">
            <v>8157688</v>
          </cell>
          <cell r="G837">
            <v>2612802</v>
          </cell>
          <cell r="H837">
            <v>37873</v>
          </cell>
          <cell r="I837">
            <v>0.56000000000000005</v>
          </cell>
          <cell r="M837" t="str">
            <v>S17CV8P-12208YJ</v>
          </cell>
          <cell r="N837" t="str">
            <v>Cisco 1700 IOS IP/VOX PLUS</v>
          </cell>
          <cell r="O837">
            <v>0</v>
          </cell>
          <cell r="P837">
            <v>0</v>
          </cell>
          <cell r="Q837">
            <v>13</v>
          </cell>
          <cell r="R837">
            <v>0</v>
          </cell>
          <cell r="S837">
            <v>37902</v>
          </cell>
          <cell r="AI837">
            <v>0</v>
          </cell>
          <cell r="AJ837">
            <v>0</v>
          </cell>
        </row>
        <row r="838">
          <cell r="A838">
            <v>169013</v>
          </cell>
          <cell r="B838">
            <v>37860</v>
          </cell>
          <cell r="D838" t="str">
            <v>ENTEL CHILE - 1600001866</v>
          </cell>
          <cell r="E838">
            <v>4073540</v>
          </cell>
          <cell r="F838">
            <v>8157688</v>
          </cell>
          <cell r="G838">
            <v>2612802</v>
          </cell>
          <cell r="H838">
            <v>37873</v>
          </cell>
          <cell r="I838">
            <v>0.56000000000000005</v>
          </cell>
          <cell r="M838" t="str">
            <v>PVDM-256K-4U8</v>
          </cell>
          <cell r="N838" t="str">
            <v>Cisco 1760-V 4-Channel to 8-Channel PVDM Factory Upgrade</v>
          </cell>
          <cell r="O838">
            <v>350</v>
          </cell>
          <cell r="P838">
            <v>153.99999999999997</v>
          </cell>
          <cell r="Q838">
            <v>13</v>
          </cell>
          <cell r="R838">
            <v>2001.9999999999995</v>
          </cell>
          <cell r="S838">
            <v>37902</v>
          </cell>
          <cell r="AH838">
            <v>5</v>
          </cell>
          <cell r="AI838">
            <v>172</v>
          </cell>
          <cell r="AJ838">
            <v>2236</v>
          </cell>
        </row>
        <row r="839">
          <cell r="A839">
            <v>169013</v>
          </cell>
          <cell r="B839">
            <v>37860</v>
          </cell>
          <cell r="D839" t="str">
            <v>ENTEL CHILE - 1600001866</v>
          </cell>
          <cell r="E839">
            <v>4073540</v>
          </cell>
          <cell r="F839">
            <v>8157688</v>
          </cell>
          <cell r="G839">
            <v>2612802</v>
          </cell>
          <cell r="H839">
            <v>37873</v>
          </cell>
          <cell r="I839">
            <v>0.56000000000000005</v>
          </cell>
          <cell r="M839" t="str">
            <v>WIC-1ENET</v>
          </cell>
          <cell r="N839" t="str">
            <v>Single-Port Ethernet WAN Interface Card</v>
          </cell>
          <cell r="O839">
            <v>300</v>
          </cell>
          <cell r="P839">
            <v>131.99999999999997</v>
          </cell>
          <cell r="Q839">
            <v>13</v>
          </cell>
          <cell r="R839">
            <v>1715.9999999999995</v>
          </cell>
          <cell r="S839">
            <v>37902</v>
          </cell>
          <cell r="AH839">
            <v>3</v>
          </cell>
          <cell r="AI839">
            <v>147</v>
          </cell>
          <cell r="AJ839">
            <v>1911</v>
          </cell>
        </row>
        <row r="840">
          <cell r="A840">
            <v>169013</v>
          </cell>
          <cell r="B840">
            <v>37860</v>
          </cell>
          <cell r="D840" t="str">
            <v>ENTEL CHILE - 1600001866</v>
          </cell>
          <cell r="E840">
            <v>4073540</v>
          </cell>
          <cell r="F840">
            <v>8157688</v>
          </cell>
          <cell r="G840">
            <v>2612802</v>
          </cell>
          <cell r="H840">
            <v>37873</v>
          </cell>
          <cell r="I840">
            <v>0.56000000000000005</v>
          </cell>
          <cell r="M840" t="str">
            <v>WIC-1B-S/T</v>
          </cell>
          <cell r="N840" t="str">
            <v>1-Port ISDN WAN Interface Card(dial and leased line)</v>
          </cell>
          <cell r="O840">
            <v>500</v>
          </cell>
          <cell r="P840">
            <v>219.99999999999997</v>
          </cell>
          <cell r="Q840">
            <v>13</v>
          </cell>
          <cell r="R840">
            <v>2859.9999999999995</v>
          </cell>
          <cell r="S840">
            <v>37902</v>
          </cell>
          <cell r="AH840">
            <v>1</v>
          </cell>
          <cell r="AI840">
            <v>245</v>
          </cell>
          <cell r="AJ840">
            <v>3185</v>
          </cell>
        </row>
        <row r="841">
          <cell r="A841">
            <v>169013</v>
          </cell>
          <cell r="B841">
            <v>37860</v>
          </cell>
          <cell r="D841" t="str">
            <v>ENTEL CHILE - 1600001866</v>
          </cell>
          <cell r="E841">
            <v>4073540</v>
          </cell>
          <cell r="F841">
            <v>8157688</v>
          </cell>
          <cell r="G841">
            <v>2612802</v>
          </cell>
          <cell r="H841">
            <v>37873</v>
          </cell>
          <cell r="I841">
            <v>0.56000000000000005</v>
          </cell>
          <cell r="M841" t="str">
            <v>VIC-2FXS</v>
          </cell>
          <cell r="N841" t="str">
            <v>Two-port Voice Interface Card - FXS</v>
          </cell>
          <cell r="O841">
            <v>400</v>
          </cell>
          <cell r="P841">
            <v>175.99999999999997</v>
          </cell>
          <cell r="Q841">
            <v>13</v>
          </cell>
          <cell r="R841">
            <v>2287.9999999999995</v>
          </cell>
          <cell r="S841">
            <v>37902</v>
          </cell>
          <cell r="AH841">
            <v>6</v>
          </cell>
          <cell r="AI841">
            <v>196</v>
          </cell>
          <cell r="AJ841">
            <v>2548</v>
          </cell>
        </row>
        <row r="842">
          <cell r="A842">
            <v>169013</v>
          </cell>
          <cell r="B842">
            <v>37860</v>
          </cell>
          <cell r="D842" t="str">
            <v>ENTEL CHILE - 1600001866</v>
          </cell>
          <cell r="E842">
            <v>4073540</v>
          </cell>
          <cell r="F842">
            <v>8157688</v>
          </cell>
          <cell r="G842">
            <v>2612802</v>
          </cell>
          <cell r="H842">
            <v>37873</v>
          </cell>
          <cell r="I842">
            <v>0.56000000000000005</v>
          </cell>
          <cell r="M842" t="str">
            <v>CAB-ACI</v>
          </cell>
          <cell r="N842" t="str">
            <v>Power Cord-Italian</v>
          </cell>
          <cell r="O842">
            <v>0</v>
          </cell>
          <cell r="P842">
            <v>0</v>
          </cell>
          <cell r="Q842">
            <v>13</v>
          </cell>
          <cell r="R842">
            <v>0</v>
          </cell>
          <cell r="S842">
            <v>37902</v>
          </cell>
          <cell r="AJ842">
            <v>0</v>
          </cell>
        </row>
        <row r="843">
          <cell r="A843">
            <v>169013</v>
          </cell>
          <cell r="B843">
            <v>37860</v>
          </cell>
          <cell r="D843" t="str">
            <v>ENTEL CHILE - 1600001866</v>
          </cell>
          <cell r="E843">
            <v>4073540</v>
          </cell>
          <cell r="F843">
            <v>8157688</v>
          </cell>
          <cell r="G843">
            <v>2612802</v>
          </cell>
          <cell r="H843">
            <v>37873</v>
          </cell>
          <cell r="I843">
            <v>0.56000000000000005</v>
          </cell>
          <cell r="M843" t="str">
            <v>MEM1700-64U96D</v>
          </cell>
          <cell r="N843" t="str">
            <v>Cisco 1700 64MB to 96MB DRAM Factory Upgrade</v>
          </cell>
          <cell r="O843">
            <v>0</v>
          </cell>
          <cell r="P843">
            <v>0</v>
          </cell>
          <cell r="Q843">
            <v>13</v>
          </cell>
          <cell r="R843">
            <v>0</v>
          </cell>
          <cell r="S843">
            <v>37902</v>
          </cell>
          <cell r="AJ843">
            <v>0</v>
          </cell>
        </row>
        <row r="844">
          <cell r="A844">
            <v>169013</v>
          </cell>
          <cell r="B844">
            <v>37860</v>
          </cell>
          <cell r="D844" t="str">
            <v>ENTEL CHILE - 1600001866</v>
          </cell>
          <cell r="E844">
            <v>4073540</v>
          </cell>
          <cell r="F844">
            <v>8157688</v>
          </cell>
          <cell r="G844">
            <v>2612802</v>
          </cell>
          <cell r="H844">
            <v>37873</v>
          </cell>
          <cell r="I844">
            <v>0.56000000000000005</v>
          </cell>
          <cell r="M844" t="str">
            <v>MEM3600-8FC=</v>
          </cell>
          <cell r="N844" t="str">
            <v>8 MB Flash Card for the Cisco 3600 Series /</v>
          </cell>
          <cell r="O844">
            <v>350</v>
          </cell>
          <cell r="P844">
            <v>153.99999999999997</v>
          </cell>
          <cell r="Q844">
            <v>1</v>
          </cell>
          <cell r="R844">
            <v>153.99999999999997</v>
          </cell>
          <cell r="S844">
            <v>37902</v>
          </cell>
          <cell r="AH844">
            <v>7</v>
          </cell>
          <cell r="AI844">
            <v>172</v>
          </cell>
          <cell r="AJ844">
            <v>172</v>
          </cell>
        </row>
        <row r="845">
          <cell r="A845">
            <v>169013</v>
          </cell>
          <cell r="B845">
            <v>37860</v>
          </cell>
          <cell r="D845" t="str">
            <v>ENTEL CHILE - 1600001866</v>
          </cell>
          <cell r="E845">
            <v>4073540</v>
          </cell>
          <cell r="F845">
            <v>8157688</v>
          </cell>
          <cell r="G845">
            <v>2612802</v>
          </cell>
          <cell r="H845">
            <v>37873</v>
          </cell>
          <cell r="I845">
            <v>0.56000000000000005</v>
          </cell>
          <cell r="M845" t="str">
            <v>NM-1CE1B=</v>
          </cell>
          <cell r="N845" t="str">
            <v>1-Port Channelized E1/ISDN-PRI Balanced Network Module /</v>
          </cell>
          <cell r="O845">
            <v>2600</v>
          </cell>
          <cell r="P845">
            <v>1143.9999999999998</v>
          </cell>
          <cell r="Q845">
            <v>1</v>
          </cell>
          <cell r="R845">
            <v>1143.9999999999998</v>
          </cell>
          <cell r="S845">
            <v>37902</v>
          </cell>
          <cell r="AH845">
            <v>9</v>
          </cell>
          <cell r="AI845">
            <v>1274</v>
          </cell>
          <cell r="AJ845">
            <v>1274</v>
          </cell>
        </row>
        <row r="846">
          <cell r="A846">
            <v>169013</v>
          </cell>
          <cell r="B846">
            <v>37860</v>
          </cell>
          <cell r="D846" t="str">
            <v>ENTEL CHILE - 1600001866</v>
          </cell>
          <cell r="E846">
            <v>4073540</v>
          </cell>
          <cell r="F846">
            <v>8157688</v>
          </cell>
          <cell r="G846">
            <v>2612802</v>
          </cell>
          <cell r="H846">
            <v>37873</v>
          </cell>
          <cell r="I846">
            <v>0.56000000000000005</v>
          </cell>
          <cell r="M846" t="str">
            <v>MEM3600-4FC=</v>
          </cell>
          <cell r="N846" t="str">
            <v>4 MB Blank Flash PCMCIA Card for the Cisco 3600 Series /</v>
          </cell>
          <cell r="O846">
            <v>400</v>
          </cell>
          <cell r="P846">
            <v>175.99999999999997</v>
          </cell>
          <cell r="Q846">
            <v>2</v>
          </cell>
          <cell r="R846">
            <v>351.99999999999994</v>
          </cell>
          <cell r="S846">
            <v>37902</v>
          </cell>
          <cell r="AH846">
            <v>8</v>
          </cell>
          <cell r="AI846">
            <v>196</v>
          </cell>
          <cell r="AJ846">
            <v>392</v>
          </cell>
        </row>
        <row r="847">
          <cell r="A847">
            <v>169013</v>
          </cell>
          <cell r="B847">
            <v>37860</v>
          </cell>
          <cell r="D847" t="str">
            <v>ENTEL CHILE - 1600001866</v>
          </cell>
          <cell r="E847">
            <v>4073540</v>
          </cell>
          <cell r="F847">
            <v>8157688</v>
          </cell>
          <cell r="G847">
            <v>2612802</v>
          </cell>
          <cell r="H847">
            <v>37873</v>
          </cell>
          <cell r="I847">
            <v>0.56000000000000005</v>
          </cell>
          <cell r="M847" t="str">
            <v>MEM3620-16D=</v>
          </cell>
          <cell r="N847" t="str">
            <v>16 MB DRAM SIMM for the Cisco 3620 Series /</v>
          </cell>
          <cell r="O847">
            <v>500</v>
          </cell>
          <cell r="P847">
            <v>219.99999999999997</v>
          </cell>
          <cell r="Q847">
            <v>1</v>
          </cell>
          <cell r="R847">
            <v>219.99999999999997</v>
          </cell>
          <cell r="S847">
            <v>37902</v>
          </cell>
          <cell r="AH847">
            <v>4</v>
          </cell>
          <cell r="AI847">
            <v>245</v>
          </cell>
          <cell r="AJ847">
            <v>245</v>
          </cell>
        </row>
        <row r="848">
          <cell r="A848">
            <v>169013</v>
          </cell>
          <cell r="B848">
            <v>37860</v>
          </cell>
          <cell r="D848" t="str">
            <v>ENTEL CHILE - 1600001866</v>
          </cell>
          <cell r="E848">
            <v>4073540</v>
          </cell>
          <cell r="F848">
            <v>8157688</v>
          </cell>
          <cell r="G848">
            <v>2612802</v>
          </cell>
          <cell r="H848">
            <v>37873</v>
          </cell>
          <cell r="I848">
            <v>0.56000000000000005</v>
          </cell>
          <cell r="M848" t="str">
            <v>CAB-V35MT=</v>
          </cell>
          <cell r="N848" t="str">
            <v>V.35 Cable, DTE, Male, 10 Feet /</v>
          </cell>
          <cell r="O848">
            <v>100</v>
          </cell>
          <cell r="P848">
            <v>43.999999999999993</v>
          </cell>
          <cell r="Q848">
            <v>1</v>
          </cell>
          <cell r="R848">
            <v>43.999999999999993</v>
          </cell>
          <cell r="S848">
            <v>37902</v>
          </cell>
          <cell r="AH848">
            <v>10</v>
          </cell>
          <cell r="AI848">
            <v>49</v>
          </cell>
          <cell r="AJ848">
            <v>49</v>
          </cell>
        </row>
        <row r="849">
          <cell r="A849">
            <v>169014</v>
          </cell>
          <cell r="B849">
            <v>37860</v>
          </cell>
          <cell r="D849" t="str">
            <v>ENTEL CHILE - 1600001867</v>
          </cell>
          <cell r="E849">
            <v>4073845</v>
          </cell>
          <cell r="F849">
            <v>8157678</v>
          </cell>
          <cell r="G849">
            <v>2612803</v>
          </cell>
          <cell r="H849">
            <v>37873</v>
          </cell>
          <cell r="I849">
            <v>0.56000000000000005</v>
          </cell>
          <cell r="M849" t="str">
            <v>C3745-VPN/K9</v>
          </cell>
          <cell r="N849" t="str">
            <v>VPN Bundle,AIM-VPN/HPII,PlusIOS/FW/IPSEC3DES /</v>
          </cell>
          <cell r="O849">
            <v>14995</v>
          </cell>
          <cell r="P849">
            <v>6597.7999999999993</v>
          </cell>
          <cell r="Q849">
            <v>1</v>
          </cell>
          <cell r="R849">
            <v>6597.7999999999993</v>
          </cell>
          <cell r="S849">
            <v>37917</v>
          </cell>
          <cell r="AH849">
            <v>14</v>
          </cell>
          <cell r="AI849">
            <v>7348</v>
          </cell>
          <cell r="AJ849">
            <v>7348</v>
          </cell>
        </row>
        <row r="850">
          <cell r="A850">
            <v>169014</v>
          </cell>
          <cell r="B850">
            <v>37860</v>
          </cell>
          <cell r="D850" t="str">
            <v>ENTEL CHILE - 1600001867</v>
          </cell>
          <cell r="E850">
            <v>4073845</v>
          </cell>
          <cell r="F850">
            <v>8157678</v>
          </cell>
          <cell r="G850">
            <v>2612803</v>
          </cell>
          <cell r="H850">
            <v>37873</v>
          </cell>
          <cell r="I850">
            <v>0.56000000000000005</v>
          </cell>
          <cell r="M850" t="str">
            <v>PWR-3745-AC</v>
          </cell>
          <cell r="N850" t="str">
            <v>AC Power Supply for the Cisco 3745</v>
          </cell>
          <cell r="O850">
            <v>0</v>
          </cell>
          <cell r="P850">
            <v>0</v>
          </cell>
          <cell r="Q850">
            <v>1</v>
          </cell>
          <cell r="R850">
            <v>0</v>
          </cell>
          <cell r="S850">
            <v>37917</v>
          </cell>
          <cell r="AJ850">
            <v>0</v>
          </cell>
        </row>
        <row r="851">
          <cell r="A851">
            <v>169014</v>
          </cell>
          <cell r="B851">
            <v>37860</v>
          </cell>
          <cell r="D851" t="str">
            <v>ENTEL CHILE - 1600001867</v>
          </cell>
          <cell r="E851">
            <v>4073845</v>
          </cell>
          <cell r="F851">
            <v>8157678</v>
          </cell>
          <cell r="G851">
            <v>2612803</v>
          </cell>
          <cell r="H851">
            <v>37873</v>
          </cell>
          <cell r="I851">
            <v>0.56000000000000005</v>
          </cell>
          <cell r="M851" t="str">
            <v>PWR-3745-AC/2</v>
          </cell>
          <cell r="N851" t="str">
            <v>Redundant AC System Power Supply for the Cisco 3745</v>
          </cell>
          <cell r="O851">
            <v>800</v>
          </cell>
          <cell r="P851">
            <v>351.99999999999994</v>
          </cell>
          <cell r="Q851">
            <v>1</v>
          </cell>
          <cell r="R851">
            <v>351.99999999999994</v>
          </cell>
          <cell r="S851">
            <v>37917</v>
          </cell>
          <cell r="AH851">
            <v>6</v>
          </cell>
          <cell r="AI851">
            <v>392</v>
          </cell>
          <cell r="AJ851">
            <v>392</v>
          </cell>
        </row>
        <row r="852">
          <cell r="A852">
            <v>169014</v>
          </cell>
          <cell r="B852">
            <v>37860</v>
          </cell>
          <cell r="D852" t="str">
            <v>ENTEL CHILE - 1600001867</v>
          </cell>
          <cell r="E852">
            <v>4073845</v>
          </cell>
          <cell r="F852">
            <v>8157678</v>
          </cell>
          <cell r="G852">
            <v>2612803</v>
          </cell>
          <cell r="H852">
            <v>37873</v>
          </cell>
          <cell r="I852">
            <v>0.56000000000000005</v>
          </cell>
          <cell r="M852" t="str">
            <v>CAB-ACI</v>
          </cell>
          <cell r="N852" t="str">
            <v>Power Cord-Italian</v>
          </cell>
          <cell r="O852">
            <v>0</v>
          </cell>
          <cell r="P852">
            <v>0</v>
          </cell>
          <cell r="Q852">
            <v>2</v>
          </cell>
          <cell r="R852">
            <v>0</v>
          </cell>
          <cell r="S852">
            <v>37917</v>
          </cell>
          <cell r="AJ852">
            <v>0</v>
          </cell>
        </row>
        <row r="853">
          <cell r="A853">
            <v>169014</v>
          </cell>
          <cell r="B853">
            <v>37860</v>
          </cell>
          <cell r="D853" t="str">
            <v>ENTEL CHILE - 1600001867</v>
          </cell>
          <cell r="E853">
            <v>4073845</v>
          </cell>
          <cell r="F853">
            <v>8157678</v>
          </cell>
          <cell r="G853">
            <v>2612803</v>
          </cell>
          <cell r="H853">
            <v>37873</v>
          </cell>
          <cell r="I853">
            <v>0.56000000000000005</v>
          </cell>
          <cell r="M853" t="str">
            <v>S374CHK9-12215T</v>
          </cell>
          <cell r="N853" t="str">
            <v>Cisco 3745 Ser IOS IP/FW/IDS PLUS IPSEC 3DES</v>
          </cell>
          <cell r="O853">
            <v>0</v>
          </cell>
          <cell r="P853">
            <v>0</v>
          </cell>
          <cell r="Q853">
            <v>1</v>
          </cell>
          <cell r="R853">
            <v>0</v>
          </cell>
          <cell r="S853">
            <v>37917</v>
          </cell>
          <cell r="AJ853">
            <v>0</v>
          </cell>
        </row>
        <row r="854">
          <cell r="A854">
            <v>169014</v>
          </cell>
          <cell r="B854">
            <v>37860</v>
          </cell>
          <cell r="D854" t="str">
            <v>ENTEL CHILE - 1600001867</v>
          </cell>
          <cell r="E854">
            <v>4073845</v>
          </cell>
          <cell r="F854">
            <v>8157678</v>
          </cell>
          <cell r="G854">
            <v>2612803</v>
          </cell>
          <cell r="H854">
            <v>37873</v>
          </cell>
          <cell r="I854">
            <v>0.56000000000000005</v>
          </cell>
          <cell r="M854" t="str">
            <v>AIM-VPN/HPII</v>
          </cell>
          <cell r="N854" t="str">
            <v>VPN Encryption/Compression Module for 3660/3745</v>
          </cell>
          <cell r="O854">
            <v>0</v>
          </cell>
          <cell r="P854">
            <v>0</v>
          </cell>
          <cell r="Q854">
            <v>1</v>
          </cell>
          <cell r="R854">
            <v>0</v>
          </cell>
          <cell r="S854">
            <v>37917</v>
          </cell>
          <cell r="AJ854">
            <v>0</v>
          </cell>
        </row>
        <row r="855">
          <cell r="A855">
            <v>169014</v>
          </cell>
          <cell r="B855">
            <v>37860</v>
          </cell>
          <cell r="D855" t="str">
            <v>ENTEL CHILE - 1600001867</v>
          </cell>
          <cell r="E855">
            <v>4073845</v>
          </cell>
          <cell r="F855">
            <v>8157678</v>
          </cell>
          <cell r="G855">
            <v>2612803</v>
          </cell>
          <cell r="H855">
            <v>37873</v>
          </cell>
          <cell r="I855">
            <v>0.56000000000000005</v>
          </cell>
          <cell r="M855" t="str">
            <v>ROUTER-SDM</v>
          </cell>
          <cell r="N855" t="str">
            <v>Device manager for routers</v>
          </cell>
          <cell r="O855">
            <v>0</v>
          </cell>
          <cell r="P855">
            <v>0</v>
          </cell>
          <cell r="Q855">
            <v>1</v>
          </cell>
          <cell r="R855">
            <v>0</v>
          </cell>
          <cell r="S855">
            <v>37917</v>
          </cell>
          <cell r="AJ855">
            <v>0</v>
          </cell>
        </row>
        <row r="856">
          <cell r="A856">
            <v>169014</v>
          </cell>
          <cell r="B856">
            <v>37860</v>
          </cell>
          <cell r="D856" t="str">
            <v>ENTEL CHILE - 1600001867</v>
          </cell>
          <cell r="E856">
            <v>4073845</v>
          </cell>
          <cell r="F856">
            <v>8157678</v>
          </cell>
          <cell r="G856">
            <v>2612803</v>
          </cell>
          <cell r="H856">
            <v>37873</v>
          </cell>
          <cell r="I856">
            <v>0.56000000000000005</v>
          </cell>
          <cell r="M856" t="str">
            <v>CISCO3620</v>
          </cell>
          <cell r="N856" t="str">
            <v>Cisco 3600 2-slot Modular Router-AC with IP Software /</v>
          </cell>
          <cell r="O856">
            <v>2900</v>
          </cell>
          <cell r="P856">
            <v>1275.9999999999998</v>
          </cell>
          <cell r="Q856">
            <v>6</v>
          </cell>
          <cell r="R856">
            <v>7655.9999999999982</v>
          </cell>
          <cell r="S856">
            <v>37917</v>
          </cell>
          <cell r="AH856">
            <v>4</v>
          </cell>
          <cell r="AI856">
            <v>1421</v>
          </cell>
          <cell r="AJ856">
            <v>8526</v>
          </cell>
        </row>
        <row r="857">
          <cell r="A857">
            <v>169014</v>
          </cell>
          <cell r="B857">
            <v>37860</v>
          </cell>
          <cell r="D857" t="str">
            <v>ENTEL CHILE - 1600001867</v>
          </cell>
          <cell r="E857">
            <v>4073845</v>
          </cell>
          <cell r="F857">
            <v>8157678</v>
          </cell>
          <cell r="G857">
            <v>2612803</v>
          </cell>
          <cell r="H857">
            <v>37873</v>
          </cell>
          <cell r="I857">
            <v>0.56000000000000005</v>
          </cell>
          <cell r="M857" t="str">
            <v>CAB-ACI</v>
          </cell>
          <cell r="N857" t="str">
            <v>Power Cord-Italian</v>
          </cell>
          <cell r="O857">
            <v>0</v>
          </cell>
          <cell r="P857">
            <v>0</v>
          </cell>
          <cell r="Q857">
            <v>6</v>
          </cell>
          <cell r="R857">
            <v>0</v>
          </cell>
          <cell r="S857">
            <v>37917</v>
          </cell>
          <cell r="AJ857">
            <v>0</v>
          </cell>
        </row>
        <row r="858">
          <cell r="A858">
            <v>169014</v>
          </cell>
          <cell r="B858">
            <v>37860</v>
          </cell>
          <cell r="D858" t="str">
            <v>ENTEL CHILE - 1600001867</v>
          </cell>
          <cell r="E858">
            <v>4073845</v>
          </cell>
          <cell r="F858">
            <v>8157678</v>
          </cell>
          <cell r="G858">
            <v>2612803</v>
          </cell>
          <cell r="H858">
            <v>37873</v>
          </cell>
          <cell r="I858">
            <v>0.56000000000000005</v>
          </cell>
          <cell r="M858" t="str">
            <v>S362CK2-12105T</v>
          </cell>
          <cell r="N858" t="str">
            <v>Cisco 3620 Series IOS IP PLUS IPSEC 3DES</v>
          </cell>
          <cell r="O858">
            <v>2500</v>
          </cell>
          <cell r="P858">
            <v>1099.9999999999998</v>
          </cell>
          <cell r="Q858">
            <v>6</v>
          </cell>
          <cell r="R858">
            <v>6599.9999999999982</v>
          </cell>
          <cell r="S858">
            <v>37917</v>
          </cell>
          <cell r="AH858">
            <v>12</v>
          </cell>
          <cell r="AI858">
            <v>1225</v>
          </cell>
          <cell r="AJ858">
            <v>7350</v>
          </cell>
        </row>
        <row r="859">
          <cell r="A859">
            <v>169014</v>
          </cell>
          <cell r="B859">
            <v>37860</v>
          </cell>
          <cell r="D859" t="str">
            <v>ENTEL CHILE - 1600001867</v>
          </cell>
          <cell r="E859">
            <v>4073845</v>
          </cell>
          <cell r="F859">
            <v>8157678</v>
          </cell>
          <cell r="G859">
            <v>2612803</v>
          </cell>
          <cell r="H859">
            <v>37873</v>
          </cell>
          <cell r="I859">
            <v>0.56000000000000005</v>
          </cell>
          <cell r="M859" t="str">
            <v>MEM3620-32U48D</v>
          </cell>
          <cell r="N859" t="str">
            <v>32-to-48 MB DRAM Factory Upgrade for the Cisco 3620</v>
          </cell>
          <cell r="O859">
            <v>500</v>
          </cell>
          <cell r="P859">
            <v>219.99999999999997</v>
          </cell>
          <cell r="Q859">
            <v>6</v>
          </cell>
          <cell r="R859">
            <v>1319.9999999999998</v>
          </cell>
          <cell r="S859">
            <v>37917</v>
          </cell>
          <cell r="AH859">
            <v>2</v>
          </cell>
          <cell r="AI859">
            <v>245</v>
          </cell>
          <cell r="AJ859">
            <v>1470</v>
          </cell>
        </row>
        <row r="860">
          <cell r="A860">
            <v>169014</v>
          </cell>
          <cell r="B860">
            <v>37860</v>
          </cell>
          <cell r="D860" t="str">
            <v>ENTEL CHILE - 1600001867</v>
          </cell>
          <cell r="E860">
            <v>4073845</v>
          </cell>
          <cell r="F860">
            <v>8157678</v>
          </cell>
          <cell r="G860">
            <v>2612803</v>
          </cell>
          <cell r="H860">
            <v>37873</v>
          </cell>
          <cell r="I860">
            <v>0.56000000000000005</v>
          </cell>
          <cell r="M860" t="str">
            <v>NM-2FE2W</v>
          </cell>
          <cell r="N860" t="str">
            <v>2 10/100 Ethernet 2 WAN Card Slot Network Module</v>
          </cell>
          <cell r="O860">
            <v>3200</v>
          </cell>
          <cell r="P860">
            <v>1407.9999999999998</v>
          </cell>
          <cell r="Q860">
            <v>6</v>
          </cell>
          <cell r="R860">
            <v>8447.9999999999982</v>
          </cell>
          <cell r="S860">
            <v>37917</v>
          </cell>
          <cell r="AH860">
            <v>3</v>
          </cell>
          <cell r="AI860">
            <v>1568</v>
          </cell>
          <cell r="AJ860">
            <v>9408</v>
          </cell>
        </row>
        <row r="861">
          <cell r="A861">
            <v>169014</v>
          </cell>
          <cell r="B861">
            <v>37860</v>
          </cell>
          <cell r="D861" t="str">
            <v>ENTEL CHILE - 1600001867</v>
          </cell>
          <cell r="E861">
            <v>4073845</v>
          </cell>
          <cell r="F861">
            <v>8157678</v>
          </cell>
          <cell r="G861">
            <v>2612803</v>
          </cell>
          <cell r="H861">
            <v>37873</v>
          </cell>
          <cell r="I861">
            <v>0.56000000000000005</v>
          </cell>
          <cell r="M861" t="str">
            <v>WIC-2T</v>
          </cell>
          <cell r="N861" t="str">
            <v>2-Port Serial WAN Interface Card</v>
          </cell>
          <cell r="O861">
            <v>700</v>
          </cell>
          <cell r="P861">
            <v>307.99999999999994</v>
          </cell>
          <cell r="Q861">
            <v>6</v>
          </cell>
          <cell r="R861">
            <v>1847.9999999999995</v>
          </cell>
          <cell r="S861">
            <v>37917</v>
          </cell>
          <cell r="AH861">
            <v>8</v>
          </cell>
          <cell r="AI861">
            <v>343</v>
          </cell>
          <cell r="AJ861">
            <v>2058</v>
          </cell>
        </row>
        <row r="862">
          <cell r="A862">
            <v>169014</v>
          </cell>
          <cell r="B862">
            <v>37860</v>
          </cell>
          <cell r="D862" t="str">
            <v>ENTEL CHILE - 1600001867</v>
          </cell>
          <cell r="E862">
            <v>4073845</v>
          </cell>
          <cell r="F862">
            <v>8157678</v>
          </cell>
          <cell r="G862">
            <v>2612803</v>
          </cell>
          <cell r="H862">
            <v>37873</v>
          </cell>
          <cell r="I862">
            <v>0.56000000000000005</v>
          </cell>
          <cell r="M862" t="str">
            <v>CAB-SS-V35MT</v>
          </cell>
          <cell r="N862" t="str">
            <v>V.35 Cable, DTE Male to Smart Serial, 10 Feet</v>
          </cell>
          <cell r="O862">
            <v>100</v>
          </cell>
          <cell r="P862">
            <v>43.999999999999993</v>
          </cell>
          <cell r="Q862">
            <v>12</v>
          </cell>
          <cell r="R862">
            <v>527.99999999999989</v>
          </cell>
          <cell r="S862">
            <v>37917</v>
          </cell>
          <cell r="AH862">
            <v>11</v>
          </cell>
          <cell r="AI862">
            <v>49</v>
          </cell>
          <cell r="AJ862">
            <v>588</v>
          </cell>
        </row>
        <row r="863">
          <cell r="A863">
            <v>169014</v>
          </cell>
          <cell r="B863">
            <v>37860</v>
          </cell>
          <cell r="D863" t="str">
            <v>ENTEL CHILE - 1600001867</v>
          </cell>
          <cell r="E863">
            <v>4073845</v>
          </cell>
          <cell r="F863">
            <v>8157678</v>
          </cell>
          <cell r="G863">
            <v>2612803</v>
          </cell>
          <cell r="H863">
            <v>37873</v>
          </cell>
          <cell r="I863">
            <v>0.56000000000000005</v>
          </cell>
          <cell r="M863" t="str">
            <v>CISCO837-K9</v>
          </cell>
          <cell r="N863" t="str">
            <v>Cisco 837 ADSL Router /</v>
          </cell>
          <cell r="O863">
            <v>649</v>
          </cell>
          <cell r="P863">
            <v>285.55999999999995</v>
          </cell>
          <cell r="Q863">
            <v>14</v>
          </cell>
          <cell r="R863">
            <v>3997.8399999999992</v>
          </cell>
          <cell r="S863">
            <v>37917</v>
          </cell>
          <cell r="AH863">
            <v>9</v>
          </cell>
          <cell r="AI863">
            <v>318</v>
          </cell>
          <cell r="AJ863">
            <v>4452</v>
          </cell>
        </row>
        <row r="864">
          <cell r="A864">
            <v>169014</v>
          </cell>
          <cell r="B864">
            <v>37860</v>
          </cell>
          <cell r="D864" t="str">
            <v>ENTEL CHILE - 1600001867</v>
          </cell>
          <cell r="E864">
            <v>4073845</v>
          </cell>
          <cell r="F864">
            <v>8157678</v>
          </cell>
          <cell r="G864">
            <v>2612803</v>
          </cell>
          <cell r="H864">
            <v>37873</v>
          </cell>
          <cell r="I864">
            <v>0.56000000000000005</v>
          </cell>
          <cell r="M864" t="str">
            <v>S837CHPK9-12213ZH</v>
          </cell>
          <cell r="N864" t="str">
            <v>Cisco 837 Series IOS IP/FW/PLUS 3DES</v>
          </cell>
          <cell r="O864">
            <v>150</v>
          </cell>
          <cell r="P864">
            <v>65.999999999999986</v>
          </cell>
          <cell r="Q864">
            <v>14</v>
          </cell>
          <cell r="R864">
            <v>923.99999999999977</v>
          </cell>
          <cell r="S864">
            <v>37917</v>
          </cell>
          <cell r="AH864">
            <v>13</v>
          </cell>
          <cell r="AI864">
            <v>74</v>
          </cell>
          <cell r="AJ864">
            <v>1036</v>
          </cell>
        </row>
        <row r="865">
          <cell r="A865">
            <v>169014</v>
          </cell>
          <cell r="B865">
            <v>37860</v>
          </cell>
          <cell r="D865" t="str">
            <v>ENTEL CHILE - 1600001867</v>
          </cell>
          <cell r="E865">
            <v>4073845</v>
          </cell>
          <cell r="F865">
            <v>8157678</v>
          </cell>
          <cell r="G865">
            <v>2612803</v>
          </cell>
          <cell r="H865">
            <v>37873</v>
          </cell>
          <cell r="I865">
            <v>0.56000000000000005</v>
          </cell>
          <cell r="M865" t="str">
            <v>CAB-AC2I</v>
          </cell>
          <cell r="N865" t="str">
            <v>AC Power cord Italy</v>
          </cell>
          <cell r="O865">
            <v>0</v>
          </cell>
          <cell r="P865">
            <v>0</v>
          </cell>
          <cell r="Q865">
            <v>14</v>
          </cell>
          <cell r="R865">
            <v>0</v>
          </cell>
          <cell r="S865">
            <v>37917</v>
          </cell>
          <cell r="AJ865">
            <v>0</v>
          </cell>
        </row>
        <row r="866">
          <cell r="A866">
            <v>169014</v>
          </cell>
          <cell r="B866">
            <v>37860</v>
          </cell>
          <cell r="D866" t="str">
            <v>ENTEL CHILE - 1600001867</v>
          </cell>
          <cell r="E866">
            <v>4073845</v>
          </cell>
          <cell r="F866">
            <v>8157678</v>
          </cell>
          <cell r="G866">
            <v>2612803</v>
          </cell>
          <cell r="H866">
            <v>37873</v>
          </cell>
          <cell r="I866">
            <v>0.56000000000000005</v>
          </cell>
          <cell r="M866" t="str">
            <v>MEM830-8U12F</v>
          </cell>
          <cell r="N866" t="str">
            <v>Cisco 830 series 8MB to 12MB flash upgrade</v>
          </cell>
          <cell r="O866">
            <v>0</v>
          </cell>
          <cell r="P866">
            <v>0</v>
          </cell>
          <cell r="Q866">
            <v>14</v>
          </cell>
          <cell r="R866">
            <v>0</v>
          </cell>
          <cell r="S866">
            <v>37917</v>
          </cell>
          <cell r="AJ866">
            <v>0</v>
          </cell>
        </row>
        <row r="867">
          <cell r="A867">
            <v>169014</v>
          </cell>
          <cell r="B867">
            <v>37860</v>
          </cell>
          <cell r="D867" t="str">
            <v>ENTEL CHILE - 1600001867</v>
          </cell>
          <cell r="E867">
            <v>4073845</v>
          </cell>
          <cell r="F867">
            <v>8157678</v>
          </cell>
          <cell r="G867">
            <v>2612803</v>
          </cell>
          <cell r="H867">
            <v>37873</v>
          </cell>
          <cell r="I867">
            <v>0.56000000000000005</v>
          </cell>
          <cell r="M867" t="str">
            <v>CAB-ADSL-800-RJ11</v>
          </cell>
          <cell r="N867" t="str">
            <v>ADSL RJ11-to-RJ11 Straight Cable</v>
          </cell>
          <cell r="O867">
            <v>0</v>
          </cell>
          <cell r="P867">
            <v>0</v>
          </cell>
          <cell r="Q867">
            <v>14</v>
          </cell>
          <cell r="R867">
            <v>0</v>
          </cell>
          <cell r="S867">
            <v>37917</v>
          </cell>
          <cell r="AJ867">
            <v>0</v>
          </cell>
        </row>
        <row r="868">
          <cell r="A868">
            <v>169014</v>
          </cell>
          <cell r="B868">
            <v>37860</v>
          </cell>
          <cell r="D868" t="str">
            <v>ENTEL CHILE - 1600001867</v>
          </cell>
          <cell r="E868">
            <v>4073845</v>
          </cell>
          <cell r="F868">
            <v>8157678</v>
          </cell>
          <cell r="G868">
            <v>2612803</v>
          </cell>
          <cell r="H868">
            <v>37873</v>
          </cell>
          <cell r="I868">
            <v>0.56000000000000005</v>
          </cell>
          <cell r="M868" t="str">
            <v>CISCO831-K9</v>
          </cell>
          <cell r="N868" t="str">
            <v>Cisco 831 Ethernet Router /</v>
          </cell>
          <cell r="O868">
            <v>649</v>
          </cell>
          <cell r="P868">
            <v>285.55999999999995</v>
          </cell>
          <cell r="Q868">
            <v>3</v>
          </cell>
          <cell r="R868">
            <v>856.67999999999984</v>
          </cell>
          <cell r="S868">
            <v>37917</v>
          </cell>
          <cell r="AH868">
            <v>7</v>
          </cell>
          <cell r="AI868">
            <v>318</v>
          </cell>
          <cell r="AJ868">
            <v>954</v>
          </cell>
        </row>
        <row r="869">
          <cell r="A869">
            <v>169014</v>
          </cell>
          <cell r="B869">
            <v>37860</v>
          </cell>
          <cell r="D869" t="str">
            <v>ENTEL CHILE - 1600001867</v>
          </cell>
          <cell r="E869">
            <v>4073845</v>
          </cell>
          <cell r="F869">
            <v>8157678</v>
          </cell>
          <cell r="G869">
            <v>2612803</v>
          </cell>
          <cell r="H869">
            <v>37873</v>
          </cell>
          <cell r="I869">
            <v>0.56000000000000005</v>
          </cell>
          <cell r="M869" t="str">
            <v>S831CHK9-12213ZH</v>
          </cell>
          <cell r="N869" t="str">
            <v>Cisco 831 Series IOS IP/FW 3DES</v>
          </cell>
          <cell r="O869">
            <v>0</v>
          </cell>
          <cell r="P869">
            <v>0</v>
          </cell>
          <cell r="Q869">
            <v>3</v>
          </cell>
          <cell r="R869">
            <v>0</v>
          </cell>
          <cell r="S869">
            <v>37917</v>
          </cell>
          <cell r="AJ869">
            <v>0</v>
          </cell>
        </row>
        <row r="870">
          <cell r="A870">
            <v>169014</v>
          </cell>
          <cell r="B870">
            <v>37860</v>
          </cell>
          <cell r="D870" t="str">
            <v>ENTEL CHILE - 1600001867</v>
          </cell>
          <cell r="E870">
            <v>4073845</v>
          </cell>
          <cell r="F870">
            <v>8157678</v>
          </cell>
          <cell r="G870">
            <v>2612803</v>
          </cell>
          <cell r="H870">
            <v>37873</v>
          </cell>
          <cell r="I870">
            <v>0.56000000000000005</v>
          </cell>
          <cell r="M870" t="str">
            <v>CAB-AC2I</v>
          </cell>
          <cell r="N870" t="str">
            <v>AC Power cord Italy</v>
          </cell>
          <cell r="O870">
            <v>0</v>
          </cell>
          <cell r="P870">
            <v>0</v>
          </cell>
          <cell r="Q870">
            <v>3</v>
          </cell>
          <cell r="R870">
            <v>0</v>
          </cell>
          <cell r="S870">
            <v>37917</v>
          </cell>
          <cell r="AJ870">
            <v>0</v>
          </cell>
        </row>
        <row r="871">
          <cell r="A871">
            <v>169014</v>
          </cell>
          <cell r="B871">
            <v>37860</v>
          </cell>
          <cell r="D871" t="str">
            <v>ENTEL CHILE - 1600001867</v>
          </cell>
          <cell r="E871">
            <v>4073845</v>
          </cell>
          <cell r="F871">
            <v>8157678</v>
          </cell>
          <cell r="G871">
            <v>2612803</v>
          </cell>
          <cell r="H871">
            <v>37873</v>
          </cell>
          <cell r="I871">
            <v>0.56000000000000005</v>
          </cell>
          <cell r="M871" t="str">
            <v>MEM830-8U12F</v>
          </cell>
          <cell r="N871" t="str">
            <v>Cisco 830 series 8MB to 12MB flash upgrade</v>
          </cell>
          <cell r="O871">
            <v>0</v>
          </cell>
          <cell r="P871">
            <v>0</v>
          </cell>
          <cell r="Q871">
            <v>3</v>
          </cell>
          <cell r="R871">
            <v>0</v>
          </cell>
          <cell r="S871">
            <v>37917</v>
          </cell>
          <cell r="AJ871">
            <v>0</v>
          </cell>
        </row>
        <row r="872">
          <cell r="A872">
            <v>169014</v>
          </cell>
          <cell r="B872">
            <v>37860</v>
          </cell>
          <cell r="D872" t="str">
            <v>ENTEL CHILE - 1600001867</v>
          </cell>
          <cell r="E872">
            <v>4073845</v>
          </cell>
          <cell r="F872">
            <v>8157678</v>
          </cell>
          <cell r="G872">
            <v>2612803</v>
          </cell>
          <cell r="H872">
            <v>37873</v>
          </cell>
          <cell r="I872">
            <v>0.56000000000000005</v>
          </cell>
          <cell r="M872" t="str">
            <v>CISCO1721-VPN/K9-A</v>
          </cell>
          <cell r="N872" t="str">
            <v>1721 VPN Bnd w/ADSL WIC,VPN Mod,64MB DR,16MB FL,IP+/FW/3DES /</v>
          </cell>
          <cell r="O872">
            <v>2995</v>
          </cell>
          <cell r="P872">
            <v>1317.7999999999997</v>
          </cell>
          <cell r="Q872">
            <v>7</v>
          </cell>
          <cell r="R872">
            <v>9224.5999999999985</v>
          </cell>
          <cell r="S872">
            <v>37917</v>
          </cell>
          <cell r="AH872">
            <v>15</v>
          </cell>
          <cell r="AI872">
            <v>1468</v>
          </cell>
          <cell r="AJ872">
            <v>10276</v>
          </cell>
        </row>
        <row r="873">
          <cell r="A873">
            <v>169014</v>
          </cell>
          <cell r="B873">
            <v>37860</v>
          </cell>
          <cell r="D873" t="str">
            <v>ENTEL CHILE - 1600001867</v>
          </cell>
          <cell r="E873">
            <v>4073845</v>
          </cell>
          <cell r="F873">
            <v>8157678</v>
          </cell>
          <cell r="G873">
            <v>2612803</v>
          </cell>
          <cell r="H873">
            <v>37873</v>
          </cell>
          <cell r="I873">
            <v>0.56000000000000005</v>
          </cell>
          <cell r="M873" t="str">
            <v>WIC-1ADSL</v>
          </cell>
          <cell r="N873" t="str">
            <v>1-port ADSL WAN Interface Card</v>
          </cell>
          <cell r="O873">
            <v>750</v>
          </cell>
          <cell r="P873">
            <v>329.99999999999994</v>
          </cell>
          <cell r="Q873">
            <v>7</v>
          </cell>
          <cell r="R873">
            <v>2309.9999999999995</v>
          </cell>
          <cell r="S873">
            <v>37917</v>
          </cell>
          <cell r="AH873">
            <v>1</v>
          </cell>
          <cell r="AI873">
            <v>368</v>
          </cell>
          <cell r="AJ873">
            <v>2576</v>
          </cell>
        </row>
        <row r="874">
          <cell r="A874">
            <v>169014</v>
          </cell>
          <cell r="B874">
            <v>37860</v>
          </cell>
          <cell r="D874" t="str">
            <v>ENTEL CHILE - 1600001867</v>
          </cell>
          <cell r="E874">
            <v>4073845</v>
          </cell>
          <cell r="F874">
            <v>8157678</v>
          </cell>
          <cell r="G874">
            <v>2612803</v>
          </cell>
          <cell r="H874">
            <v>37873</v>
          </cell>
          <cell r="I874">
            <v>0.56000000000000005</v>
          </cell>
          <cell r="M874" t="str">
            <v>CAB-ACI</v>
          </cell>
          <cell r="N874" t="str">
            <v>Power Cord-Italian</v>
          </cell>
          <cell r="O874">
            <v>0</v>
          </cell>
          <cell r="P874">
            <v>0</v>
          </cell>
          <cell r="Q874">
            <v>7</v>
          </cell>
          <cell r="R874">
            <v>0</v>
          </cell>
          <cell r="S874">
            <v>37917</v>
          </cell>
          <cell r="AJ874">
            <v>0</v>
          </cell>
        </row>
        <row r="875">
          <cell r="A875">
            <v>169014</v>
          </cell>
          <cell r="B875">
            <v>37860</v>
          </cell>
          <cell r="D875" t="str">
            <v>ENTEL CHILE - 1600001867</v>
          </cell>
          <cell r="E875">
            <v>4073845</v>
          </cell>
          <cell r="F875">
            <v>8157678</v>
          </cell>
          <cell r="G875">
            <v>2612803</v>
          </cell>
          <cell r="H875">
            <v>37873</v>
          </cell>
          <cell r="I875">
            <v>0.56000000000000005</v>
          </cell>
          <cell r="M875" t="str">
            <v>MEM1700-64U96D</v>
          </cell>
          <cell r="N875" t="str">
            <v>Cisco 1700 64MB to 96MB DRAM Factory Upgrade</v>
          </cell>
          <cell r="O875">
            <v>0</v>
          </cell>
          <cell r="P875">
            <v>0</v>
          </cell>
          <cell r="Q875">
            <v>7</v>
          </cell>
          <cell r="R875">
            <v>0</v>
          </cell>
          <cell r="S875">
            <v>37917</v>
          </cell>
          <cell r="AJ875">
            <v>0</v>
          </cell>
        </row>
        <row r="876">
          <cell r="A876">
            <v>169014</v>
          </cell>
          <cell r="B876">
            <v>37860</v>
          </cell>
          <cell r="D876" t="str">
            <v>ENTEL CHILE - 1600001867</v>
          </cell>
          <cell r="E876">
            <v>4073845</v>
          </cell>
          <cell r="F876">
            <v>8157678</v>
          </cell>
          <cell r="G876">
            <v>2612803</v>
          </cell>
          <cell r="H876">
            <v>37873</v>
          </cell>
          <cell r="I876">
            <v>0.56000000000000005</v>
          </cell>
          <cell r="M876" t="str">
            <v>CAB-ADSL-RJ11</v>
          </cell>
          <cell r="N876" t="str">
            <v>Lavender Cable for xDSL, Straight-through, RJ-11, 6 feet</v>
          </cell>
          <cell r="O876">
            <v>0</v>
          </cell>
          <cell r="P876">
            <v>0</v>
          </cell>
          <cell r="Q876">
            <v>14</v>
          </cell>
          <cell r="R876">
            <v>0</v>
          </cell>
          <cell r="S876">
            <v>37917</v>
          </cell>
          <cell r="AJ876">
            <v>0</v>
          </cell>
        </row>
        <row r="877">
          <cell r="A877">
            <v>169014</v>
          </cell>
          <cell r="B877">
            <v>37860</v>
          </cell>
          <cell r="D877" t="str">
            <v>ENTEL CHILE - 1600001867</v>
          </cell>
          <cell r="E877">
            <v>4073845</v>
          </cell>
          <cell r="F877">
            <v>8157678</v>
          </cell>
          <cell r="G877">
            <v>2612803</v>
          </cell>
          <cell r="H877">
            <v>37873</v>
          </cell>
          <cell r="I877">
            <v>0.56000000000000005</v>
          </cell>
          <cell r="M877" t="str">
            <v>MOD1700-VPN</v>
          </cell>
          <cell r="N877" t="str">
            <v>Cisco 1700 Series VPN Module</v>
          </cell>
          <cell r="O877">
            <v>0</v>
          </cell>
          <cell r="P877">
            <v>0</v>
          </cell>
          <cell r="Q877">
            <v>7</v>
          </cell>
          <cell r="R877">
            <v>0</v>
          </cell>
          <cell r="S877">
            <v>37917</v>
          </cell>
          <cell r="AJ877">
            <v>0</v>
          </cell>
        </row>
        <row r="878">
          <cell r="A878">
            <v>169014</v>
          </cell>
          <cell r="B878">
            <v>37860</v>
          </cell>
          <cell r="D878" t="str">
            <v>ENTEL CHILE - 1600001867</v>
          </cell>
          <cell r="E878">
            <v>4073845</v>
          </cell>
          <cell r="F878">
            <v>8157678</v>
          </cell>
          <cell r="G878">
            <v>2612803</v>
          </cell>
          <cell r="H878">
            <v>37873</v>
          </cell>
          <cell r="I878">
            <v>0.56000000000000005</v>
          </cell>
          <cell r="M878" t="str">
            <v>WIC-1ADSL</v>
          </cell>
          <cell r="N878" t="str">
            <v>1-port ADSL WAN Interface Card</v>
          </cell>
          <cell r="O878">
            <v>0</v>
          </cell>
          <cell r="P878">
            <v>0</v>
          </cell>
          <cell r="Q878">
            <v>7</v>
          </cell>
          <cell r="R878">
            <v>0</v>
          </cell>
          <cell r="S878">
            <v>37917</v>
          </cell>
          <cell r="AJ878">
            <v>0</v>
          </cell>
        </row>
        <row r="879">
          <cell r="A879">
            <v>169014</v>
          </cell>
          <cell r="B879">
            <v>37860</v>
          </cell>
          <cell r="D879" t="str">
            <v>ENTEL CHILE - 1600001867</v>
          </cell>
          <cell r="E879">
            <v>4073845</v>
          </cell>
          <cell r="F879">
            <v>8157678</v>
          </cell>
          <cell r="G879">
            <v>2612803</v>
          </cell>
          <cell r="H879">
            <v>37873</v>
          </cell>
          <cell r="I879">
            <v>0.56000000000000005</v>
          </cell>
          <cell r="M879" t="str">
            <v>S17C7HK9-12301</v>
          </cell>
          <cell r="N879" t="str">
            <v>Cisco 1700 IOS IP/ADSL/FW/IDS PLUS IPSEC 3DES</v>
          </cell>
          <cell r="O879">
            <v>0</v>
          </cell>
          <cell r="P879">
            <v>0</v>
          </cell>
          <cell r="Q879">
            <v>7</v>
          </cell>
          <cell r="R879">
            <v>0</v>
          </cell>
          <cell r="S879">
            <v>37917</v>
          </cell>
          <cell r="AJ879">
            <v>0</v>
          </cell>
        </row>
        <row r="880">
          <cell r="A880">
            <v>169014</v>
          </cell>
          <cell r="B880">
            <v>37860</v>
          </cell>
          <cell r="D880" t="str">
            <v>ENTEL CHILE - 1600001867</v>
          </cell>
          <cell r="E880">
            <v>4073845</v>
          </cell>
          <cell r="F880">
            <v>8157678</v>
          </cell>
          <cell r="G880">
            <v>2612803</v>
          </cell>
          <cell r="H880">
            <v>37873</v>
          </cell>
          <cell r="I880">
            <v>0.56000000000000005</v>
          </cell>
          <cell r="M880" t="str">
            <v>ROUTER-SDM</v>
          </cell>
          <cell r="N880" t="str">
            <v>Device manager for routers</v>
          </cell>
          <cell r="O880">
            <v>0</v>
          </cell>
          <cell r="P880">
            <v>0</v>
          </cell>
          <cell r="Q880">
            <v>7</v>
          </cell>
          <cell r="R880">
            <v>0</v>
          </cell>
          <cell r="S880">
            <v>37917</v>
          </cell>
          <cell r="AJ880">
            <v>0</v>
          </cell>
        </row>
        <row r="881">
          <cell r="A881">
            <v>169014</v>
          </cell>
          <cell r="B881">
            <v>37860</v>
          </cell>
          <cell r="D881" t="str">
            <v>ENTEL CHILE - 1600001867</v>
          </cell>
          <cell r="E881">
            <v>4073845</v>
          </cell>
          <cell r="F881">
            <v>8157678</v>
          </cell>
          <cell r="G881">
            <v>2612803</v>
          </cell>
          <cell r="H881">
            <v>37873</v>
          </cell>
          <cell r="I881">
            <v>0.56000000000000005</v>
          </cell>
          <cell r="M881" t="str">
            <v>CISCO1721-VPN/K9</v>
          </cell>
          <cell r="N881" t="str">
            <v>1721 VPN Bndl w/VPN Mod,64MB DRAM,16MB Flash,IP Plus/FW/3DES /</v>
          </cell>
          <cell r="O881">
            <v>2495</v>
          </cell>
          <cell r="P881">
            <v>1097.8</v>
          </cell>
          <cell r="Q881">
            <v>55</v>
          </cell>
          <cell r="R881">
            <v>60379</v>
          </cell>
          <cell r="S881">
            <v>37917</v>
          </cell>
          <cell r="AH881">
            <v>10</v>
          </cell>
          <cell r="AI881">
            <v>1223</v>
          </cell>
          <cell r="AJ881">
            <v>67265</v>
          </cell>
        </row>
        <row r="882">
          <cell r="A882">
            <v>169014</v>
          </cell>
          <cell r="B882">
            <v>37860</v>
          </cell>
          <cell r="D882" t="str">
            <v>ENTEL CHILE - 1600001867</v>
          </cell>
          <cell r="E882">
            <v>4073845</v>
          </cell>
          <cell r="F882">
            <v>8157678</v>
          </cell>
          <cell r="G882">
            <v>2612803</v>
          </cell>
          <cell r="H882">
            <v>37873</v>
          </cell>
          <cell r="I882">
            <v>0.56000000000000005</v>
          </cell>
          <cell r="M882" t="str">
            <v>WIC-2T</v>
          </cell>
          <cell r="N882" t="str">
            <v>2-Port Serial WAN Interface Card</v>
          </cell>
          <cell r="O882">
            <v>700</v>
          </cell>
          <cell r="P882">
            <v>307.99999999999994</v>
          </cell>
          <cell r="Q882">
            <v>55</v>
          </cell>
          <cell r="R882">
            <v>16939.999999999996</v>
          </cell>
          <cell r="S882">
            <v>37917</v>
          </cell>
          <cell r="AH882">
            <v>8</v>
          </cell>
          <cell r="AI882">
            <v>343</v>
          </cell>
          <cell r="AJ882">
            <v>18865</v>
          </cell>
        </row>
        <row r="883">
          <cell r="A883">
            <v>169014</v>
          </cell>
          <cell r="B883">
            <v>37860</v>
          </cell>
          <cell r="D883" t="str">
            <v>ENTEL CHILE - 1600001867</v>
          </cell>
          <cell r="E883">
            <v>4073845</v>
          </cell>
          <cell r="F883">
            <v>8157678</v>
          </cell>
          <cell r="G883">
            <v>2612803</v>
          </cell>
          <cell r="H883">
            <v>37873</v>
          </cell>
          <cell r="I883">
            <v>0.56000000000000005</v>
          </cell>
          <cell r="M883" t="str">
            <v>CAB-AC</v>
          </cell>
          <cell r="N883" t="str">
            <v>Power Cord,110V</v>
          </cell>
          <cell r="O883">
            <v>0</v>
          </cell>
          <cell r="P883">
            <v>0</v>
          </cell>
          <cell r="Q883">
            <v>55</v>
          </cell>
          <cell r="R883">
            <v>0</v>
          </cell>
          <cell r="S883">
            <v>37917</v>
          </cell>
          <cell r="AJ883">
            <v>0</v>
          </cell>
        </row>
        <row r="884">
          <cell r="A884">
            <v>169014</v>
          </cell>
          <cell r="B884">
            <v>37860</v>
          </cell>
          <cell r="D884" t="str">
            <v>ENTEL CHILE - 1600001867</v>
          </cell>
          <cell r="E884">
            <v>4073845</v>
          </cell>
          <cell r="F884">
            <v>8157678</v>
          </cell>
          <cell r="G884">
            <v>2612803</v>
          </cell>
          <cell r="H884">
            <v>37873</v>
          </cell>
          <cell r="I884">
            <v>0.56000000000000005</v>
          </cell>
          <cell r="M884" t="str">
            <v>CAB-SS-V35MT</v>
          </cell>
          <cell r="N884" t="str">
            <v>V.35 Cable, DTE Male to Smart Serial, 10 Feet</v>
          </cell>
          <cell r="O884">
            <v>100</v>
          </cell>
          <cell r="P884">
            <v>43.999999999999993</v>
          </cell>
          <cell r="Q884">
            <v>110</v>
          </cell>
          <cell r="R884">
            <v>4839.9999999999991</v>
          </cell>
          <cell r="S884">
            <v>37917</v>
          </cell>
          <cell r="AH884">
            <v>11</v>
          </cell>
          <cell r="AI884">
            <v>49</v>
          </cell>
          <cell r="AJ884">
            <v>5390</v>
          </cell>
        </row>
        <row r="885">
          <cell r="A885">
            <v>169014</v>
          </cell>
          <cell r="B885">
            <v>37860</v>
          </cell>
          <cell r="D885" t="str">
            <v>ENTEL CHILE - 1600001867</v>
          </cell>
          <cell r="E885">
            <v>4073845</v>
          </cell>
          <cell r="F885">
            <v>8157678</v>
          </cell>
          <cell r="G885">
            <v>2612803</v>
          </cell>
          <cell r="H885">
            <v>37873</v>
          </cell>
          <cell r="I885">
            <v>0.56000000000000005</v>
          </cell>
          <cell r="M885" t="str">
            <v>MOD1700-VPN</v>
          </cell>
          <cell r="N885" t="str">
            <v>Cisco 1700 Series VPN Module</v>
          </cell>
          <cell r="O885">
            <v>0</v>
          </cell>
          <cell r="P885">
            <v>0</v>
          </cell>
          <cell r="Q885">
            <v>55</v>
          </cell>
          <cell r="R885">
            <v>0</v>
          </cell>
          <cell r="S885">
            <v>37917</v>
          </cell>
          <cell r="AJ885">
            <v>0</v>
          </cell>
        </row>
        <row r="886">
          <cell r="A886">
            <v>169014</v>
          </cell>
          <cell r="B886">
            <v>37860</v>
          </cell>
          <cell r="D886" t="str">
            <v>ENTEL CHILE - 1600001867</v>
          </cell>
          <cell r="E886">
            <v>4073845</v>
          </cell>
          <cell r="F886">
            <v>8157678</v>
          </cell>
          <cell r="G886">
            <v>2612803</v>
          </cell>
          <cell r="H886">
            <v>37873</v>
          </cell>
          <cell r="I886">
            <v>0.56000000000000005</v>
          </cell>
          <cell r="M886" t="str">
            <v>MEM1700-64U96D</v>
          </cell>
          <cell r="N886" t="str">
            <v>Cisco 1700 64MB to 96MB DRAM Factory Upgrade</v>
          </cell>
          <cell r="O886">
            <v>0</v>
          </cell>
          <cell r="P886">
            <v>0</v>
          </cell>
          <cell r="Q886">
            <v>55</v>
          </cell>
          <cell r="R886">
            <v>0</v>
          </cell>
          <cell r="S886">
            <v>37917</v>
          </cell>
          <cell r="AJ886">
            <v>0</v>
          </cell>
        </row>
        <row r="887">
          <cell r="A887">
            <v>169014</v>
          </cell>
          <cell r="B887">
            <v>37860</v>
          </cell>
          <cell r="D887" t="str">
            <v>ENTEL CHILE - 1600001867</v>
          </cell>
          <cell r="E887">
            <v>4073845</v>
          </cell>
          <cell r="F887">
            <v>8157678</v>
          </cell>
          <cell r="G887">
            <v>2612803</v>
          </cell>
          <cell r="H887">
            <v>37873</v>
          </cell>
          <cell r="I887">
            <v>0.56000000000000005</v>
          </cell>
          <cell r="M887" t="str">
            <v>S17C7HK9-12301</v>
          </cell>
          <cell r="N887" t="str">
            <v>Cisco 1700 IOS IP/ADSL/FW/IDS PLUS IPSEC 3DES</v>
          </cell>
          <cell r="O887">
            <v>0</v>
          </cell>
          <cell r="P887">
            <v>0</v>
          </cell>
          <cell r="Q887">
            <v>55</v>
          </cell>
          <cell r="R887">
            <v>0</v>
          </cell>
          <cell r="S887">
            <v>37917</v>
          </cell>
          <cell r="AJ887">
            <v>0</v>
          </cell>
        </row>
        <row r="888">
          <cell r="A888">
            <v>169014</v>
          </cell>
          <cell r="B888">
            <v>37860</v>
          </cell>
          <cell r="D888" t="str">
            <v>ENTEL CHILE - 1600001867</v>
          </cell>
          <cell r="E888">
            <v>4073845</v>
          </cell>
          <cell r="F888">
            <v>8157678</v>
          </cell>
          <cell r="G888">
            <v>2612803</v>
          </cell>
          <cell r="H888">
            <v>37873</v>
          </cell>
          <cell r="I888">
            <v>0.56000000000000005</v>
          </cell>
          <cell r="M888" t="str">
            <v>ROUTER-SDM</v>
          </cell>
          <cell r="N888" t="str">
            <v>Device manager for routers</v>
          </cell>
          <cell r="O888">
            <v>0</v>
          </cell>
          <cell r="P888">
            <v>0</v>
          </cell>
          <cell r="Q888">
            <v>55</v>
          </cell>
          <cell r="R888">
            <v>0</v>
          </cell>
          <cell r="S888">
            <v>37917</v>
          </cell>
          <cell r="AJ888">
            <v>0</v>
          </cell>
        </row>
        <row r="889">
          <cell r="A889">
            <v>169014</v>
          </cell>
          <cell r="B889">
            <v>37860</v>
          </cell>
          <cell r="D889" t="str">
            <v>ENTEL CHILE - 1600001867</v>
          </cell>
          <cell r="E889">
            <v>4073845</v>
          </cell>
          <cell r="F889">
            <v>8157678</v>
          </cell>
          <cell r="G889">
            <v>2612803</v>
          </cell>
          <cell r="H889">
            <v>37873</v>
          </cell>
          <cell r="I889">
            <v>0.56000000000000005</v>
          </cell>
          <cell r="M889" t="str">
            <v>CISCO1721-VPN/K9</v>
          </cell>
          <cell r="N889" t="str">
            <v>VPN Bndl w/VPN Mod,64MB DRAM,16MB Flash,IP Plus/FW/3DES /</v>
          </cell>
          <cell r="O889">
            <v>2495</v>
          </cell>
          <cell r="P889">
            <v>1097.8</v>
          </cell>
          <cell r="Q889">
            <v>17</v>
          </cell>
          <cell r="R889">
            <v>18662.599999999999</v>
          </cell>
          <cell r="S889">
            <v>37917</v>
          </cell>
          <cell r="AH889">
            <v>10</v>
          </cell>
          <cell r="AI889">
            <v>1223</v>
          </cell>
          <cell r="AJ889">
            <v>20791</v>
          </cell>
        </row>
        <row r="890">
          <cell r="A890">
            <v>169014</v>
          </cell>
          <cell r="B890">
            <v>37860</v>
          </cell>
          <cell r="D890" t="str">
            <v>ENTEL CHILE - 1600001867</v>
          </cell>
          <cell r="E890">
            <v>4073845</v>
          </cell>
          <cell r="F890">
            <v>8157678</v>
          </cell>
          <cell r="G890">
            <v>2612803</v>
          </cell>
          <cell r="H890">
            <v>37873</v>
          </cell>
          <cell r="I890">
            <v>0.56000000000000005</v>
          </cell>
          <cell r="M890" t="str">
            <v>WIC-1ENET</v>
          </cell>
          <cell r="N890" t="str">
            <v>Single-Port Ethernet WAN Interface Card</v>
          </cell>
          <cell r="O890">
            <v>300</v>
          </cell>
          <cell r="P890">
            <v>131.99999999999997</v>
          </cell>
          <cell r="Q890">
            <v>34</v>
          </cell>
          <cell r="R890">
            <v>4487.9999999999991</v>
          </cell>
          <cell r="S890">
            <v>37917</v>
          </cell>
          <cell r="AH890">
            <v>5</v>
          </cell>
          <cell r="AI890">
            <v>147</v>
          </cell>
          <cell r="AJ890">
            <v>4998</v>
          </cell>
        </row>
        <row r="891">
          <cell r="A891">
            <v>169014</v>
          </cell>
          <cell r="B891">
            <v>37860</v>
          </cell>
          <cell r="D891" t="str">
            <v>ENTEL CHILE - 1600001867</v>
          </cell>
          <cell r="E891">
            <v>4073845</v>
          </cell>
          <cell r="F891">
            <v>8157678</v>
          </cell>
          <cell r="G891">
            <v>2612803</v>
          </cell>
          <cell r="H891">
            <v>37873</v>
          </cell>
          <cell r="I891">
            <v>0.56000000000000005</v>
          </cell>
          <cell r="M891" t="str">
            <v>CAB-AC</v>
          </cell>
          <cell r="N891" t="str">
            <v>Power Cord,110V</v>
          </cell>
          <cell r="O891">
            <v>0</v>
          </cell>
          <cell r="P891">
            <v>0</v>
          </cell>
          <cell r="Q891">
            <v>17</v>
          </cell>
          <cell r="R891">
            <v>0</v>
          </cell>
          <cell r="S891">
            <v>37917</v>
          </cell>
          <cell r="AJ891">
            <v>0</v>
          </cell>
        </row>
        <row r="892">
          <cell r="A892">
            <v>169014</v>
          </cell>
          <cell r="B892">
            <v>37860</v>
          </cell>
          <cell r="D892" t="str">
            <v>ENTEL CHILE - 1600001867</v>
          </cell>
          <cell r="E892">
            <v>4073845</v>
          </cell>
          <cell r="F892">
            <v>8157678</v>
          </cell>
          <cell r="G892">
            <v>2612803</v>
          </cell>
          <cell r="H892">
            <v>37873</v>
          </cell>
          <cell r="I892">
            <v>0.56000000000000005</v>
          </cell>
          <cell r="M892" t="str">
            <v>MOD1700-VPN</v>
          </cell>
          <cell r="N892" t="str">
            <v>Cisco 1700 Series VPN Module</v>
          </cell>
          <cell r="O892">
            <v>0</v>
          </cell>
          <cell r="P892">
            <v>0</v>
          </cell>
          <cell r="Q892">
            <v>17</v>
          </cell>
          <cell r="R892">
            <v>0</v>
          </cell>
          <cell r="S892">
            <v>37917</v>
          </cell>
          <cell r="AJ892">
            <v>0</v>
          </cell>
        </row>
        <row r="893">
          <cell r="A893">
            <v>169014</v>
          </cell>
          <cell r="B893">
            <v>37860</v>
          </cell>
          <cell r="D893" t="str">
            <v>ENTEL CHILE - 1600001867</v>
          </cell>
          <cell r="E893">
            <v>4073845</v>
          </cell>
          <cell r="F893">
            <v>8157678</v>
          </cell>
          <cell r="G893">
            <v>2612803</v>
          </cell>
          <cell r="H893">
            <v>37873</v>
          </cell>
          <cell r="I893">
            <v>0.56000000000000005</v>
          </cell>
          <cell r="M893" t="str">
            <v>MEM1700-64U96D</v>
          </cell>
          <cell r="N893" t="str">
            <v>Cisco 1700 64MB to 96MB DRAM Factory Upgrade</v>
          </cell>
          <cell r="O893">
            <v>0</v>
          </cell>
          <cell r="P893">
            <v>0</v>
          </cell>
          <cell r="Q893">
            <v>17</v>
          </cell>
          <cell r="R893">
            <v>0</v>
          </cell>
          <cell r="S893">
            <v>37917</v>
          </cell>
          <cell r="AJ893">
            <v>0</v>
          </cell>
        </row>
        <row r="894">
          <cell r="A894">
            <v>169014</v>
          </cell>
          <cell r="B894">
            <v>37860</v>
          </cell>
          <cell r="D894" t="str">
            <v>ENTEL CHILE - 1600001867</v>
          </cell>
          <cell r="E894">
            <v>4073845</v>
          </cell>
          <cell r="F894">
            <v>8157678</v>
          </cell>
          <cell r="G894">
            <v>2612803</v>
          </cell>
          <cell r="H894">
            <v>37873</v>
          </cell>
          <cell r="I894">
            <v>0.56000000000000005</v>
          </cell>
          <cell r="M894" t="str">
            <v>S17C7HK9-12301</v>
          </cell>
          <cell r="N894" t="str">
            <v>Cisco 1700 IOS IP/ADSL/FW/IDS PLUS IPSEC 3DES</v>
          </cell>
          <cell r="O894">
            <v>0</v>
          </cell>
          <cell r="P894">
            <v>0</v>
          </cell>
          <cell r="Q894">
            <v>17</v>
          </cell>
          <cell r="R894">
            <v>0</v>
          </cell>
          <cell r="S894">
            <v>37917</v>
          </cell>
          <cell r="AJ894">
            <v>0</v>
          </cell>
        </row>
        <row r="895">
          <cell r="A895">
            <v>169014</v>
          </cell>
          <cell r="B895">
            <v>37860</v>
          </cell>
          <cell r="D895" t="str">
            <v>ENTEL CHILE - 1600001867</v>
          </cell>
          <cell r="E895">
            <v>4073845</v>
          </cell>
          <cell r="F895">
            <v>8157678</v>
          </cell>
          <cell r="G895">
            <v>2612803</v>
          </cell>
          <cell r="H895">
            <v>37873</v>
          </cell>
          <cell r="I895">
            <v>0.56000000000000005</v>
          </cell>
          <cell r="M895" t="str">
            <v>ROUTER-SDM</v>
          </cell>
          <cell r="N895" t="str">
            <v>Device manager for routers</v>
          </cell>
          <cell r="O895">
            <v>0</v>
          </cell>
          <cell r="P895">
            <v>0</v>
          </cell>
          <cell r="Q895">
            <v>17</v>
          </cell>
          <cell r="R895">
            <v>0</v>
          </cell>
          <cell r="S895">
            <v>37917</v>
          </cell>
          <cell r="AJ895">
            <v>0</v>
          </cell>
        </row>
        <row r="896">
          <cell r="A896">
            <v>1696015</v>
          </cell>
          <cell r="B896">
            <v>37860</v>
          </cell>
          <cell r="D896" t="str">
            <v>ENTEL CHILE - 1600001868</v>
          </cell>
          <cell r="E896">
            <v>4074047</v>
          </cell>
          <cell r="F896">
            <v>8157677</v>
          </cell>
          <cell r="G896">
            <v>2612804</v>
          </cell>
          <cell r="H896">
            <v>37873</v>
          </cell>
          <cell r="I896">
            <v>0.56000000000000005</v>
          </cell>
          <cell r="M896" t="str">
            <v>CISCO837-K9</v>
          </cell>
          <cell r="N896" t="str">
            <v>Cisco 837 ADSL Router /</v>
          </cell>
          <cell r="O896">
            <v>649</v>
          </cell>
          <cell r="P896">
            <v>285.55999999999995</v>
          </cell>
          <cell r="Q896">
            <v>45</v>
          </cell>
          <cell r="R896">
            <v>12850.199999999997</v>
          </cell>
          <cell r="S896">
            <v>37901</v>
          </cell>
          <cell r="AH896">
            <v>8</v>
          </cell>
          <cell r="AI896">
            <v>318</v>
          </cell>
          <cell r="AJ896">
            <v>14310</v>
          </cell>
        </row>
        <row r="897">
          <cell r="A897">
            <v>1696015</v>
          </cell>
          <cell r="B897">
            <v>37860</v>
          </cell>
          <cell r="D897" t="str">
            <v>ENTEL CHILE - 1600001868</v>
          </cell>
          <cell r="E897">
            <v>4074047</v>
          </cell>
          <cell r="F897">
            <v>8157677</v>
          </cell>
          <cell r="G897">
            <v>2612804</v>
          </cell>
          <cell r="H897">
            <v>37873</v>
          </cell>
          <cell r="I897">
            <v>0.56000000000000005</v>
          </cell>
          <cell r="M897" t="str">
            <v>CAB-AC2I</v>
          </cell>
          <cell r="N897" t="str">
            <v>AC Power cord Italy</v>
          </cell>
          <cell r="O897">
            <v>0</v>
          </cell>
          <cell r="P897">
            <v>0</v>
          </cell>
          <cell r="Q897">
            <v>45</v>
          </cell>
          <cell r="R897">
            <v>0</v>
          </cell>
          <cell r="S897">
            <v>37901</v>
          </cell>
          <cell r="AJ897">
            <v>0</v>
          </cell>
        </row>
        <row r="898">
          <cell r="A898">
            <v>1696015</v>
          </cell>
          <cell r="B898">
            <v>37860</v>
          </cell>
          <cell r="D898" t="str">
            <v>ENTEL CHILE - 1600001868</v>
          </cell>
          <cell r="E898">
            <v>4074047</v>
          </cell>
          <cell r="F898">
            <v>8157677</v>
          </cell>
          <cell r="G898">
            <v>2612804</v>
          </cell>
          <cell r="H898">
            <v>37873</v>
          </cell>
          <cell r="I898">
            <v>0.56000000000000005</v>
          </cell>
          <cell r="M898" t="str">
            <v>S837CHK9-12213ZH</v>
          </cell>
          <cell r="N898" t="str">
            <v>Cisco 837 Series IOS IP/FW 3DES</v>
          </cell>
          <cell r="O898">
            <v>0</v>
          </cell>
          <cell r="P898">
            <v>0</v>
          </cell>
          <cell r="Q898">
            <v>45</v>
          </cell>
          <cell r="R898">
            <v>0</v>
          </cell>
          <cell r="S898">
            <v>37901</v>
          </cell>
          <cell r="AJ898">
            <v>0</v>
          </cell>
        </row>
        <row r="899">
          <cell r="A899">
            <v>1696015</v>
          </cell>
          <cell r="B899">
            <v>37860</v>
          </cell>
          <cell r="D899" t="str">
            <v>ENTEL CHILE - 1600001868</v>
          </cell>
          <cell r="E899">
            <v>4074047</v>
          </cell>
          <cell r="F899">
            <v>8157677</v>
          </cell>
          <cell r="G899">
            <v>2612804</v>
          </cell>
          <cell r="H899">
            <v>37873</v>
          </cell>
          <cell r="I899">
            <v>0.56000000000000005</v>
          </cell>
          <cell r="M899" t="str">
            <v>MEM830-8U12F</v>
          </cell>
          <cell r="N899" t="str">
            <v>Cisco 830 series 8MB to 12MB flash upgrade</v>
          </cell>
          <cell r="O899">
            <v>0</v>
          </cell>
          <cell r="P899">
            <v>0</v>
          </cell>
          <cell r="Q899">
            <v>45</v>
          </cell>
          <cell r="R899">
            <v>0</v>
          </cell>
          <cell r="S899">
            <v>37901</v>
          </cell>
          <cell r="AJ899">
            <v>0</v>
          </cell>
        </row>
        <row r="900">
          <cell r="A900">
            <v>1696015</v>
          </cell>
          <cell r="B900">
            <v>37860</v>
          </cell>
          <cell r="D900" t="str">
            <v>ENTEL CHILE - 1600001868</v>
          </cell>
          <cell r="E900">
            <v>4074047</v>
          </cell>
          <cell r="F900">
            <v>8157677</v>
          </cell>
          <cell r="G900">
            <v>2612804</v>
          </cell>
          <cell r="H900">
            <v>37873</v>
          </cell>
          <cell r="I900">
            <v>0.56000000000000005</v>
          </cell>
          <cell r="M900" t="str">
            <v>CAB-ADSL-800-RJ11</v>
          </cell>
          <cell r="N900" t="str">
            <v>ADSL RJ11-to-RJ11 Straight Cable</v>
          </cell>
          <cell r="O900">
            <v>0</v>
          </cell>
          <cell r="P900">
            <v>0</v>
          </cell>
          <cell r="Q900">
            <v>45</v>
          </cell>
          <cell r="R900">
            <v>0</v>
          </cell>
          <cell r="S900">
            <v>37901</v>
          </cell>
          <cell r="AJ900">
            <v>0</v>
          </cell>
        </row>
        <row r="901">
          <cell r="A901">
            <v>1696015</v>
          </cell>
          <cell r="B901">
            <v>37860</v>
          </cell>
          <cell r="D901" t="str">
            <v>ENTEL CHILE - 1600001868</v>
          </cell>
          <cell r="E901">
            <v>4074047</v>
          </cell>
          <cell r="F901">
            <v>8157677</v>
          </cell>
          <cell r="G901">
            <v>2612804</v>
          </cell>
          <cell r="H901">
            <v>37873</v>
          </cell>
          <cell r="I901">
            <v>0.56000000000000005</v>
          </cell>
          <cell r="M901" t="str">
            <v>WIC-1ADSL=</v>
          </cell>
          <cell r="N901" t="str">
            <v>1-port ADSL WAN Interface Card /</v>
          </cell>
          <cell r="O901">
            <v>750</v>
          </cell>
          <cell r="P901">
            <v>329.99999999999994</v>
          </cell>
          <cell r="Q901">
            <v>15</v>
          </cell>
          <cell r="R901">
            <v>4949.9999999999991</v>
          </cell>
          <cell r="S901">
            <v>37901</v>
          </cell>
          <cell r="AH901">
            <v>1</v>
          </cell>
          <cell r="AI901">
            <v>368</v>
          </cell>
          <cell r="AJ901">
            <v>5520</v>
          </cell>
        </row>
        <row r="902">
          <cell r="A902">
            <v>1696015</v>
          </cell>
          <cell r="B902">
            <v>37860</v>
          </cell>
          <cell r="D902" t="str">
            <v>ENTEL CHILE - 1600001868</v>
          </cell>
          <cell r="E902">
            <v>4074047</v>
          </cell>
          <cell r="F902">
            <v>8157677</v>
          </cell>
          <cell r="G902">
            <v>2612804</v>
          </cell>
          <cell r="H902">
            <v>37873</v>
          </cell>
          <cell r="I902">
            <v>0.56000000000000005</v>
          </cell>
          <cell r="M902" t="str">
            <v>CISCO1751-V</v>
          </cell>
          <cell r="N902" t="str">
            <v>10/100 Modular Router w/Voice,32F/96D /</v>
          </cell>
          <cell r="O902">
            <v>2495</v>
          </cell>
          <cell r="P902">
            <v>1097.8</v>
          </cell>
          <cell r="Q902">
            <v>20</v>
          </cell>
          <cell r="R902">
            <v>21956</v>
          </cell>
          <cell r="S902">
            <v>37901</v>
          </cell>
          <cell r="AH902">
            <v>3</v>
          </cell>
          <cell r="AI902">
            <v>1223</v>
          </cell>
          <cell r="AJ902">
            <v>24460</v>
          </cell>
        </row>
        <row r="903">
          <cell r="A903">
            <v>1696015</v>
          </cell>
          <cell r="B903">
            <v>37860</v>
          </cell>
          <cell r="D903" t="str">
            <v>ENTEL CHILE - 1600001868</v>
          </cell>
          <cell r="E903">
            <v>4074047</v>
          </cell>
          <cell r="F903">
            <v>8157677</v>
          </cell>
          <cell r="G903">
            <v>2612804</v>
          </cell>
          <cell r="H903">
            <v>37873</v>
          </cell>
          <cell r="I903">
            <v>0.56000000000000005</v>
          </cell>
          <cell r="M903" t="str">
            <v>CAB-ACI</v>
          </cell>
          <cell r="N903" t="str">
            <v>Power Cord-Italian</v>
          </cell>
          <cell r="O903">
            <v>0</v>
          </cell>
          <cell r="P903">
            <v>0</v>
          </cell>
          <cell r="Q903">
            <v>20</v>
          </cell>
          <cell r="R903">
            <v>0</v>
          </cell>
          <cell r="S903">
            <v>37901</v>
          </cell>
          <cell r="AJ903">
            <v>0</v>
          </cell>
        </row>
        <row r="904">
          <cell r="A904">
            <v>1696015</v>
          </cell>
          <cell r="B904">
            <v>37860</v>
          </cell>
          <cell r="D904" t="str">
            <v>ENTEL CHILE - 1600001868</v>
          </cell>
          <cell r="E904">
            <v>4074047</v>
          </cell>
          <cell r="F904">
            <v>8157677</v>
          </cell>
          <cell r="G904">
            <v>2612804</v>
          </cell>
          <cell r="H904">
            <v>37873</v>
          </cell>
          <cell r="I904">
            <v>0.56000000000000005</v>
          </cell>
          <cell r="M904" t="str">
            <v>MEM1700-64U96D</v>
          </cell>
          <cell r="N904" t="str">
            <v>Cisco 1700 64MB to 96MB DRAM Factory Upgrade</v>
          </cell>
          <cell r="O904">
            <v>0</v>
          </cell>
          <cell r="P904">
            <v>0</v>
          </cell>
          <cell r="Q904">
            <v>20</v>
          </cell>
          <cell r="R904">
            <v>0</v>
          </cell>
          <cell r="S904">
            <v>37901</v>
          </cell>
          <cell r="AJ904">
            <v>0</v>
          </cell>
        </row>
        <row r="905">
          <cell r="A905">
            <v>1696015</v>
          </cell>
          <cell r="B905">
            <v>37860</v>
          </cell>
          <cell r="D905" t="str">
            <v>ENTEL CHILE - 1600001868</v>
          </cell>
          <cell r="E905">
            <v>4074047</v>
          </cell>
          <cell r="F905">
            <v>8157677</v>
          </cell>
          <cell r="G905">
            <v>2612804</v>
          </cell>
          <cell r="H905">
            <v>37873</v>
          </cell>
          <cell r="I905">
            <v>0.56000000000000005</v>
          </cell>
          <cell r="M905" t="str">
            <v>S17CV8P-12215T</v>
          </cell>
          <cell r="N905" t="str">
            <v>Cisco 1700 IOS IP/VOX PLUS</v>
          </cell>
          <cell r="O905">
            <v>0</v>
          </cell>
          <cell r="P905">
            <v>0</v>
          </cell>
          <cell r="Q905">
            <v>20</v>
          </cell>
          <cell r="R905">
            <v>0</v>
          </cell>
          <cell r="S905">
            <v>37901</v>
          </cell>
          <cell r="AJ905">
            <v>0</v>
          </cell>
        </row>
        <row r="906">
          <cell r="A906">
            <v>1696015</v>
          </cell>
          <cell r="B906">
            <v>37860</v>
          </cell>
          <cell r="D906" t="str">
            <v>ENTEL CHILE - 1600001868</v>
          </cell>
          <cell r="E906">
            <v>4074047</v>
          </cell>
          <cell r="F906">
            <v>8157677</v>
          </cell>
          <cell r="G906">
            <v>2612804</v>
          </cell>
          <cell r="H906">
            <v>37873</v>
          </cell>
          <cell r="I906">
            <v>0.56000000000000005</v>
          </cell>
          <cell r="M906" t="str">
            <v>PVDM-256K-4</v>
          </cell>
          <cell r="N906" t="str">
            <v>4-Channel Packet Voice/Fax DSP Module</v>
          </cell>
          <cell r="O906">
            <v>0</v>
          </cell>
          <cell r="P906">
            <v>0</v>
          </cell>
          <cell r="Q906">
            <v>20</v>
          </cell>
          <cell r="R906">
            <v>0</v>
          </cell>
          <cell r="S906">
            <v>37901</v>
          </cell>
          <cell r="AJ906">
            <v>0</v>
          </cell>
        </row>
        <row r="907">
          <cell r="A907">
            <v>1696015</v>
          </cell>
          <cell r="B907">
            <v>37860</v>
          </cell>
          <cell r="D907" t="str">
            <v>ENTEL CHILE - 1600001868</v>
          </cell>
          <cell r="E907">
            <v>4074047</v>
          </cell>
          <cell r="F907">
            <v>8157677</v>
          </cell>
          <cell r="G907">
            <v>2612804</v>
          </cell>
          <cell r="H907">
            <v>37873</v>
          </cell>
          <cell r="I907">
            <v>0.56000000000000005</v>
          </cell>
          <cell r="M907" t="str">
            <v>CISCO827-4V</v>
          </cell>
          <cell r="N907" t="str">
            <v>Cisco 827-4V ADSL router 1E, 1ADSL, 4 Voice /</v>
          </cell>
          <cell r="O907">
            <v>999</v>
          </cell>
          <cell r="P907">
            <v>439.55999999999995</v>
          </cell>
          <cell r="Q907">
            <v>20</v>
          </cell>
          <cell r="R907">
            <v>8791.1999999999989</v>
          </cell>
          <cell r="S907">
            <v>37901</v>
          </cell>
          <cell r="AH907">
            <v>10</v>
          </cell>
          <cell r="AI907">
            <v>490</v>
          </cell>
          <cell r="AJ907">
            <v>9800</v>
          </cell>
        </row>
        <row r="908">
          <cell r="A908">
            <v>1696015</v>
          </cell>
          <cell r="B908">
            <v>37860</v>
          </cell>
          <cell r="D908" t="str">
            <v>ENTEL CHILE - 1600001868</v>
          </cell>
          <cell r="E908">
            <v>4074047</v>
          </cell>
          <cell r="F908">
            <v>8157677</v>
          </cell>
          <cell r="G908">
            <v>2612804</v>
          </cell>
          <cell r="H908">
            <v>37873</v>
          </cell>
          <cell r="I908">
            <v>0.56000000000000005</v>
          </cell>
          <cell r="M908" t="str">
            <v>CAB-ACI Power Cord-Italian</v>
          </cell>
          <cell r="N908" t="str">
            <v>Power Cord-Italian</v>
          </cell>
          <cell r="O908">
            <v>0</v>
          </cell>
          <cell r="P908">
            <v>0</v>
          </cell>
          <cell r="Q908">
            <v>20</v>
          </cell>
          <cell r="R908">
            <v>0</v>
          </cell>
          <cell r="S908">
            <v>37901</v>
          </cell>
          <cell r="AJ908">
            <v>0</v>
          </cell>
        </row>
        <row r="909">
          <cell r="A909">
            <v>1696015</v>
          </cell>
          <cell r="B909">
            <v>37860</v>
          </cell>
          <cell r="D909" t="str">
            <v>ENTEL CHILE - 1600001868</v>
          </cell>
          <cell r="E909">
            <v>4074047</v>
          </cell>
          <cell r="F909">
            <v>8157677</v>
          </cell>
          <cell r="G909">
            <v>2612804</v>
          </cell>
          <cell r="H909">
            <v>37873</v>
          </cell>
          <cell r="I909">
            <v>0.56000000000000005</v>
          </cell>
          <cell r="M909" t="str">
            <v>S820CHV-12208YN</v>
          </cell>
          <cell r="N909" t="str">
            <v>Cisco 820 Ser IOS IP/FW/VOICE</v>
          </cell>
          <cell r="O909">
            <v>0</v>
          </cell>
          <cell r="P909">
            <v>0</v>
          </cell>
          <cell r="Q909">
            <v>20</v>
          </cell>
          <cell r="R909">
            <v>0</v>
          </cell>
          <cell r="S909">
            <v>37901</v>
          </cell>
          <cell r="AJ909">
            <v>0</v>
          </cell>
        </row>
        <row r="910">
          <cell r="A910">
            <v>1696015</v>
          </cell>
          <cell r="B910">
            <v>37860</v>
          </cell>
          <cell r="D910" t="str">
            <v>ENTEL CHILE - 1600001868</v>
          </cell>
          <cell r="E910">
            <v>4074047</v>
          </cell>
          <cell r="F910">
            <v>8157677</v>
          </cell>
          <cell r="G910">
            <v>2612804</v>
          </cell>
          <cell r="H910">
            <v>37873</v>
          </cell>
          <cell r="I910">
            <v>0.56000000000000005</v>
          </cell>
          <cell r="M910" t="str">
            <v>CAB-ADSL-RJ11</v>
          </cell>
          <cell r="N910" t="str">
            <v>Lavender Cable for xDSL, Straight-through, RJ-11, 6 feet</v>
          </cell>
          <cell r="O910">
            <v>0</v>
          </cell>
          <cell r="P910">
            <v>0</v>
          </cell>
          <cell r="Q910">
            <v>20</v>
          </cell>
          <cell r="R910">
            <v>0</v>
          </cell>
          <cell r="S910">
            <v>37901</v>
          </cell>
          <cell r="AJ910">
            <v>0</v>
          </cell>
        </row>
        <row r="911">
          <cell r="A911">
            <v>1696015</v>
          </cell>
          <cell r="B911">
            <v>37860</v>
          </cell>
          <cell r="D911" t="str">
            <v>ENTEL CHILE - 1600001868</v>
          </cell>
          <cell r="E911">
            <v>4074047</v>
          </cell>
          <cell r="F911">
            <v>8157677</v>
          </cell>
          <cell r="G911">
            <v>2612804</v>
          </cell>
          <cell r="H911">
            <v>37873</v>
          </cell>
          <cell r="I911">
            <v>0.56000000000000005</v>
          </cell>
          <cell r="M911" t="str">
            <v>MEM820-8U12F</v>
          </cell>
          <cell r="N911" t="str">
            <v>Cisco 820 Series 8MB to 12MB flash upgrade</v>
          </cell>
          <cell r="O911">
            <v>0</v>
          </cell>
          <cell r="P911">
            <v>0</v>
          </cell>
          <cell r="Q911">
            <v>20</v>
          </cell>
          <cell r="R911">
            <v>0</v>
          </cell>
          <cell r="S911">
            <v>37901</v>
          </cell>
          <cell r="AJ911">
            <v>0</v>
          </cell>
        </row>
        <row r="912">
          <cell r="A912">
            <v>1696015</v>
          </cell>
          <cell r="B912">
            <v>37860</v>
          </cell>
          <cell r="D912" t="str">
            <v>ENTEL CHILE - 1600001868</v>
          </cell>
          <cell r="E912">
            <v>4074047</v>
          </cell>
          <cell r="F912">
            <v>8157677</v>
          </cell>
          <cell r="G912">
            <v>2612804</v>
          </cell>
          <cell r="H912">
            <v>37873</v>
          </cell>
          <cell r="I912">
            <v>0.56000000000000005</v>
          </cell>
          <cell r="M912" t="str">
            <v>CISCO828</v>
          </cell>
          <cell r="N912" t="str">
            <v>Cisco 828 G.SHDSL Router 1E, 1G.SHDSL /</v>
          </cell>
          <cell r="O912">
            <v>749</v>
          </cell>
          <cell r="P912">
            <v>329.55999999999995</v>
          </cell>
          <cell r="Q912">
            <v>15</v>
          </cell>
          <cell r="R912">
            <v>4943.3999999999996</v>
          </cell>
          <cell r="S912">
            <v>37901</v>
          </cell>
          <cell r="AH912">
            <v>11</v>
          </cell>
          <cell r="AI912">
            <v>367</v>
          </cell>
          <cell r="AJ912">
            <v>5505</v>
          </cell>
        </row>
        <row r="913">
          <cell r="A913">
            <v>1696015</v>
          </cell>
          <cell r="B913">
            <v>37860</v>
          </cell>
          <cell r="D913" t="str">
            <v>ENTEL CHILE - 1600001868</v>
          </cell>
          <cell r="E913">
            <v>4074047</v>
          </cell>
          <cell r="F913">
            <v>8157677</v>
          </cell>
          <cell r="G913">
            <v>2612804</v>
          </cell>
          <cell r="H913">
            <v>37873</v>
          </cell>
          <cell r="I913">
            <v>0.56000000000000005</v>
          </cell>
          <cell r="M913" t="str">
            <v>CAB-ACI</v>
          </cell>
          <cell r="N913" t="str">
            <v>Power Cord-Italian</v>
          </cell>
          <cell r="O913">
            <v>0</v>
          </cell>
          <cell r="P913">
            <v>0</v>
          </cell>
          <cell r="Q913">
            <v>15</v>
          </cell>
          <cell r="R913">
            <v>0</v>
          </cell>
          <cell r="S913">
            <v>37901</v>
          </cell>
          <cell r="AJ913">
            <v>0</v>
          </cell>
        </row>
        <row r="914">
          <cell r="A914">
            <v>1696015</v>
          </cell>
          <cell r="B914">
            <v>37860</v>
          </cell>
          <cell r="D914" t="str">
            <v>ENTEL CHILE - 1600001868</v>
          </cell>
          <cell r="E914">
            <v>4074047</v>
          </cell>
          <cell r="F914">
            <v>8157677</v>
          </cell>
          <cell r="G914">
            <v>2612804</v>
          </cell>
          <cell r="H914">
            <v>37873</v>
          </cell>
          <cell r="I914">
            <v>0.56000000000000005</v>
          </cell>
          <cell r="M914" t="str">
            <v>MEM820-16U32D</v>
          </cell>
          <cell r="N914" t="str">
            <v>Cisco 820/806 DRAM upgrade 16Mbyte-32Mbyte</v>
          </cell>
          <cell r="O914">
            <v>0</v>
          </cell>
          <cell r="P914">
            <v>0</v>
          </cell>
          <cell r="Q914">
            <v>15</v>
          </cell>
          <cell r="R914">
            <v>0</v>
          </cell>
          <cell r="S914">
            <v>37901</v>
          </cell>
          <cell r="AJ914">
            <v>0</v>
          </cell>
        </row>
        <row r="915">
          <cell r="A915">
            <v>1696015</v>
          </cell>
          <cell r="B915">
            <v>37860</v>
          </cell>
          <cell r="D915" t="str">
            <v>ENTEL CHILE - 1600001868</v>
          </cell>
          <cell r="E915">
            <v>4074047</v>
          </cell>
          <cell r="F915">
            <v>8157677</v>
          </cell>
          <cell r="G915">
            <v>2612804</v>
          </cell>
          <cell r="H915">
            <v>37873</v>
          </cell>
          <cell r="I915">
            <v>0.56000000000000005</v>
          </cell>
          <cell r="M915" t="str">
            <v>S828CH-12208YM</v>
          </cell>
          <cell r="N915" t="str">
            <v>Cisco 828 Series IOS IP/FW</v>
          </cell>
          <cell r="O915">
            <v>0</v>
          </cell>
          <cell r="P915">
            <v>0</v>
          </cell>
          <cell r="Q915">
            <v>15</v>
          </cell>
          <cell r="R915">
            <v>0</v>
          </cell>
          <cell r="S915">
            <v>37901</v>
          </cell>
          <cell r="AJ915">
            <v>0</v>
          </cell>
        </row>
        <row r="916">
          <cell r="A916">
            <v>1696015</v>
          </cell>
          <cell r="B916">
            <v>37860</v>
          </cell>
          <cell r="D916" t="str">
            <v>ENTEL CHILE - 1600001868</v>
          </cell>
          <cell r="E916">
            <v>4074047</v>
          </cell>
          <cell r="F916">
            <v>8157677</v>
          </cell>
          <cell r="G916">
            <v>2612804</v>
          </cell>
          <cell r="H916">
            <v>37873</v>
          </cell>
          <cell r="I916">
            <v>0.56000000000000005</v>
          </cell>
          <cell r="M916" t="str">
            <v>CISCO1760-V</v>
          </cell>
          <cell r="N916" t="str">
            <v>10/100 Modular Router w/Voice,19-in Chassis,32MB FL/96MB DR /</v>
          </cell>
          <cell r="O916">
            <v>2595</v>
          </cell>
          <cell r="P916">
            <v>1141.8</v>
          </cell>
          <cell r="Q916">
            <v>10</v>
          </cell>
          <cell r="R916">
            <v>11418</v>
          </cell>
          <cell r="S916">
            <v>37901</v>
          </cell>
          <cell r="AH916">
            <v>12</v>
          </cell>
          <cell r="AI916">
            <v>1272</v>
          </cell>
          <cell r="AJ916">
            <v>12720</v>
          </cell>
        </row>
        <row r="917">
          <cell r="A917">
            <v>1696015</v>
          </cell>
          <cell r="B917">
            <v>37860</v>
          </cell>
          <cell r="D917" t="str">
            <v>ENTEL CHILE - 1600001868</v>
          </cell>
          <cell r="E917">
            <v>4074047</v>
          </cell>
          <cell r="F917">
            <v>8157677</v>
          </cell>
          <cell r="G917">
            <v>2612804</v>
          </cell>
          <cell r="H917">
            <v>37873</v>
          </cell>
          <cell r="I917">
            <v>0.56000000000000005</v>
          </cell>
          <cell r="M917" t="str">
            <v>PVDM-256K-4U8</v>
          </cell>
          <cell r="N917" t="str">
            <v>Cisco 1760-V 4-Channel to 8-Channel PVDM Factory Upgrade</v>
          </cell>
          <cell r="O917">
            <v>350</v>
          </cell>
          <cell r="P917">
            <v>153.99999999999997</v>
          </cell>
          <cell r="Q917">
            <v>10</v>
          </cell>
          <cell r="R917">
            <v>1539.9999999999998</v>
          </cell>
          <cell r="S917">
            <v>37901</v>
          </cell>
          <cell r="AH917">
            <v>5</v>
          </cell>
          <cell r="AI917">
            <v>172</v>
          </cell>
          <cell r="AJ917">
            <v>1720</v>
          </cell>
        </row>
        <row r="918">
          <cell r="A918">
            <v>1696015</v>
          </cell>
          <cell r="B918">
            <v>37860</v>
          </cell>
          <cell r="D918" t="str">
            <v>ENTEL CHILE - 1600001868</v>
          </cell>
          <cell r="E918">
            <v>4074047</v>
          </cell>
          <cell r="F918">
            <v>8157677</v>
          </cell>
          <cell r="G918">
            <v>2612804</v>
          </cell>
          <cell r="H918">
            <v>37873</v>
          </cell>
          <cell r="I918">
            <v>0.56000000000000005</v>
          </cell>
          <cell r="M918" t="str">
            <v>CAB-ACI</v>
          </cell>
          <cell r="N918" t="str">
            <v>Power Cord-Italian</v>
          </cell>
          <cell r="O918">
            <v>0</v>
          </cell>
          <cell r="P918">
            <v>0</v>
          </cell>
          <cell r="Q918">
            <v>10</v>
          </cell>
          <cell r="R918">
            <v>0</v>
          </cell>
          <cell r="S918">
            <v>37901</v>
          </cell>
          <cell r="AJ918">
            <v>0</v>
          </cell>
        </row>
        <row r="919">
          <cell r="A919">
            <v>1696015</v>
          </cell>
          <cell r="B919">
            <v>37860</v>
          </cell>
          <cell r="D919" t="str">
            <v>ENTEL CHILE - 1600001868</v>
          </cell>
          <cell r="E919">
            <v>4074047</v>
          </cell>
          <cell r="F919">
            <v>8157677</v>
          </cell>
          <cell r="G919">
            <v>2612804</v>
          </cell>
          <cell r="H919">
            <v>37873</v>
          </cell>
          <cell r="I919">
            <v>0.56000000000000005</v>
          </cell>
          <cell r="M919" t="str">
            <v>S17CV8P-12215T</v>
          </cell>
          <cell r="N919" t="str">
            <v>Cisco 1700 IOS IP/VOX PLUS</v>
          </cell>
          <cell r="O919">
            <v>0</v>
          </cell>
          <cell r="P919">
            <v>0</v>
          </cell>
          <cell r="Q919">
            <v>10</v>
          </cell>
          <cell r="R919">
            <v>0</v>
          </cell>
          <cell r="S919">
            <v>37901</v>
          </cell>
          <cell r="AJ919">
            <v>0</v>
          </cell>
        </row>
        <row r="920">
          <cell r="A920">
            <v>1696015</v>
          </cell>
          <cell r="B920">
            <v>37860</v>
          </cell>
          <cell r="D920" t="str">
            <v>ENTEL CHILE - 1600001868</v>
          </cell>
          <cell r="E920">
            <v>4074047</v>
          </cell>
          <cell r="F920">
            <v>8157677</v>
          </cell>
          <cell r="G920">
            <v>2612804</v>
          </cell>
          <cell r="H920">
            <v>37873</v>
          </cell>
          <cell r="I920">
            <v>0.56000000000000005</v>
          </cell>
          <cell r="M920" t="str">
            <v>MEM1700-64U96D</v>
          </cell>
          <cell r="N920" t="str">
            <v>Cisco 1700 64MB to 96MB DRAM Factory Upgrade</v>
          </cell>
          <cell r="O920">
            <v>0</v>
          </cell>
          <cell r="P920">
            <v>0</v>
          </cell>
          <cell r="Q920">
            <v>10</v>
          </cell>
          <cell r="R920">
            <v>0</v>
          </cell>
          <cell r="S920">
            <v>37901</v>
          </cell>
          <cell r="AJ920">
            <v>0</v>
          </cell>
        </row>
        <row r="921">
          <cell r="A921">
            <v>1696015</v>
          </cell>
          <cell r="B921">
            <v>37860</v>
          </cell>
          <cell r="D921" t="str">
            <v>ENTEL CHILE - 1600001868</v>
          </cell>
          <cell r="E921">
            <v>4074047</v>
          </cell>
          <cell r="F921">
            <v>8157677</v>
          </cell>
          <cell r="G921">
            <v>2612804</v>
          </cell>
          <cell r="H921">
            <v>37873</v>
          </cell>
          <cell r="I921">
            <v>0.56000000000000005</v>
          </cell>
          <cell r="M921" t="str">
            <v>NM-1CE1U=</v>
          </cell>
          <cell r="N921" t="str">
            <v>1-Port Channelized E1/ISDN-PRI Unbalanced Network Module /</v>
          </cell>
          <cell r="O921">
            <v>2600</v>
          </cell>
          <cell r="P921">
            <v>1143.9999999999998</v>
          </cell>
          <cell r="Q921">
            <v>3</v>
          </cell>
          <cell r="R921">
            <v>3431.9999999999991</v>
          </cell>
          <cell r="S921">
            <v>37901</v>
          </cell>
          <cell r="AH921">
            <v>2</v>
          </cell>
          <cell r="AI921">
            <v>1274</v>
          </cell>
          <cell r="AJ921">
            <v>3822</v>
          </cell>
        </row>
        <row r="922">
          <cell r="A922">
            <v>1696015</v>
          </cell>
          <cell r="B922">
            <v>37860</v>
          </cell>
          <cell r="D922" t="str">
            <v>ENTEL CHILE - 1600001868</v>
          </cell>
          <cell r="E922">
            <v>4074047</v>
          </cell>
          <cell r="F922">
            <v>8157677</v>
          </cell>
          <cell r="G922">
            <v>2612804</v>
          </cell>
          <cell r="H922">
            <v>37873</v>
          </cell>
          <cell r="I922">
            <v>0.56000000000000005</v>
          </cell>
          <cell r="M922" t="str">
            <v>VIC-2E/M=</v>
          </cell>
          <cell r="N922" t="str">
            <v>Two-port Voice Interface Card - EandM-Spare /</v>
          </cell>
          <cell r="O922">
            <v>400</v>
          </cell>
          <cell r="P922">
            <v>175.99999999999997</v>
          </cell>
          <cell r="Q922">
            <v>3</v>
          </cell>
          <cell r="R922">
            <v>527.99999999999989</v>
          </cell>
          <cell r="S922">
            <v>37901</v>
          </cell>
          <cell r="AH922">
            <v>9</v>
          </cell>
          <cell r="AI922">
            <v>196</v>
          </cell>
          <cell r="AJ922">
            <v>588</v>
          </cell>
        </row>
        <row r="923">
          <cell r="A923">
            <v>1696015</v>
          </cell>
          <cell r="B923">
            <v>37860</v>
          </cell>
          <cell r="D923" t="str">
            <v>ENTEL CHILE - 1600001868</v>
          </cell>
          <cell r="E923">
            <v>4074047</v>
          </cell>
          <cell r="F923">
            <v>8157677</v>
          </cell>
          <cell r="G923">
            <v>2612804</v>
          </cell>
          <cell r="H923">
            <v>37873</v>
          </cell>
          <cell r="I923">
            <v>0.56000000000000005</v>
          </cell>
          <cell r="M923" t="str">
            <v>WS-C3550-24-SMI</v>
          </cell>
          <cell r="N923" t="str">
            <v>24-10/100 and 2 GBIC ports:Std Multilayer SW Image /</v>
          </cell>
          <cell r="O923">
            <v>2995</v>
          </cell>
          <cell r="P923">
            <v>1317.7999999999997</v>
          </cell>
          <cell r="Q923">
            <v>2</v>
          </cell>
          <cell r="R923">
            <v>2635.5999999999995</v>
          </cell>
          <cell r="S923">
            <v>37901</v>
          </cell>
          <cell r="AH923">
            <v>6</v>
          </cell>
          <cell r="AI923">
            <v>1468</v>
          </cell>
          <cell r="AJ923">
            <v>2936</v>
          </cell>
        </row>
        <row r="924">
          <cell r="A924">
            <v>1696015</v>
          </cell>
          <cell r="B924">
            <v>37860</v>
          </cell>
          <cell r="D924" t="str">
            <v>ENTEL CHILE - 1600001868</v>
          </cell>
          <cell r="E924">
            <v>4074047</v>
          </cell>
          <cell r="F924">
            <v>8157677</v>
          </cell>
          <cell r="G924">
            <v>2612804</v>
          </cell>
          <cell r="H924">
            <v>37873</v>
          </cell>
          <cell r="I924">
            <v>0.56000000000000005</v>
          </cell>
          <cell r="M924" t="str">
            <v>CAB-ACI</v>
          </cell>
          <cell r="N924" t="str">
            <v>Power Cord-Italian</v>
          </cell>
          <cell r="O924">
            <v>0</v>
          </cell>
          <cell r="P924">
            <v>0</v>
          </cell>
          <cell r="Q924">
            <v>2</v>
          </cell>
          <cell r="R924">
            <v>0</v>
          </cell>
          <cell r="S924">
            <v>37901</v>
          </cell>
          <cell r="AJ924">
            <v>0</v>
          </cell>
        </row>
        <row r="925">
          <cell r="A925">
            <v>1696015</v>
          </cell>
          <cell r="B925">
            <v>37860</v>
          </cell>
          <cell r="D925" t="str">
            <v>ENTEL CHILE - 1600001868</v>
          </cell>
          <cell r="E925">
            <v>4074047</v>
          </cell>
          <cell r="F925">
            <v>8157677</v>
          </cell>
          <cell r="G925">
            <v>2612804</v>
          </cell>
          <cell r="H925">
            <v>37873</v>
          </cell>
          <cell r="I925">
            <v>0.56000000000000005</v>
          </cell>
          <cell r="M925" t="str">
            <v>NM-1FE2W=</v>
          </cell>
          <cell r="N925" t="str">
            <v>1 10/100 Ethernet 2 WAN Card Slot Network Module /</v>
          </cell>
          <cell r="O925">
            <v>2300</v>
          </cell>
          <cell r="P925">
            <v>1011.9999999999999</v>
          </cell>
          <cell r="Q925">
            <v>2</v>
          </cell>
          <cell r="R925">
            <v>2023.9999999999998</v>
          </cell>
          <cell r="S925">
            <v>37901</v>
          </cell>
          <cell r="AH925">
            <v>7</v>
          </cell>
          <cell r="AI925">
            <v>1127</v>
          </cell>
          <cell r="AJ925">
            <v>2254</v>
          </cell>
        </row>
        <row r="926">
          <cell r="A926">
            <v>1696015</v>
          </cell>
          <cell r="B926">
            <v>37860</v>
          </cell>
          <cell r="D926" t="str">
            <v>ENTEL CHILE - 1600001868</v>
          </cell>
          <cell r="E926">
            <v>4074047</v>
          </cell>
          <cell r="F926">
            <v>8157677</v>
          </cell>
          <cell r="G926">
            <v>2612804</v>
          </cell>
          <cell r="H926">
            <v>37873</v>
          </cell>
          <cell r="I926">
            <v>0.56000000000000005</v>
          </cell>
          <cell r="M926" t="str">
            <v>CISCO2611XM</v>
          </cell>
          <cell r="N926" t="str">
            <v>10/100 Ethernet Router w/ Cisco IOS IP /</v>
          </cell>
          <cell r="O926">
            <v>2495</v>
          </cell>
          <cell r="P926">
            <v>1097.8</v>
          </cell>
          <cell r="Q926">
            <v>8</v>
          </cell>
          <cell r="R926">
            <v>8782.4</v>
          </cell>
          <cell r="S926">
            <v>37901</v>
          </cell>
          <cell r="AH926">
            <v>4</v>
          </cell>
          <cell r="AI926">
            <v>1223</v>
          </cell>
          <cell r="AJ926">
            <v>9784</v>
          </cell>
        </row>
        <row r="927">
          <cell r="A927">
            <v>1696015</v>
          </cell>
          <cell r="B927">
            <v>37860</v>
          </cell>
          <cell r="D927" t="str">
            <v>ENTEL CHILE - 1600001868</v>
          </cell>
          <cell r="E927">
            <v>4074047</v>
          </cell>
          <cell r="F927">
            <v>8157677</v>
          </cell>
          <cell r="G927">
            <v>2612804</v>
          </cell>
          <cell r="H927">
            <v>37873</v>
          </cell>
          <cell r="I927">
            <v>0.56000000000000005</v>
          </cell>
          <cell r="M927" t="str">
            <v>CAB-ACI</v>
          </cell>
          <cell r="N927" t="str">
            <v>Power Cord-Italian</v>
          </cell>
          <cell r="O927">
            <v>0</v>
          </cell>
          <cell r="P927">
            <v>0</v>
          </cell>
          <cell r="Q927">
            <v>8</v>
          </cell>
          <cell r="R927">
            <v>0</v>
          </cell>
          <cell r="S927">
            <v>37901</v>
          </cell>
          <cell r="AJ927">
            <v>0</v>
          </cell>
        </row>
        <row r="928">
          <cell r="A928">
            <v>1696015</v>
          </cell>
          <cell r="B928">
            <v>37860</v>
          </cell>
          <cell r="D928" t="str">
            <v>ENTEL CHILE - 1600001868</v>
          </cell>
          <cell r="E928">
            <v>4074047</v>
          </cell>
          <cell r="F928">
            <v>8157677</v>
          </cell>
          <cell r="G928">
            <v>2612804</v>
          </cell>
          <cell r="H928">
            <v>37873</v>
          </cell>
          <cell r="I928">
            <v>0.56000000000000005</v>
          </cell>
          <cell r="M928" t="str">
            <v>S26C-12208T</v>
          </cell>
          <cell r="N928" t="str">
            <v>Cisco 2600 Series IOS IP</v>
          </cell>
          <cell r="O928">
            <v>0</v>
          </cell>
          <cell r="P928">
            <v>0</v>
          </cell>
          <cell r="Q928">
            <v>8</v>
          </cell>
          <cell r="R928">
            <v>0</v>
          </cell>
          <cell r="S928">
            <v>37901</v>
          </cell>
          <cell r="AJ928">
            <v>0</v>
          </cell>
        </row>
        <row r="929">
          <cell r="A929">
            <v>1696015</v>
          </cell>
          <cell r="B929">
            <v>37860</v>
          </cell>
          <cell r="D929" t="str">
            <v>ENTEL CHILE - 1600001868</v>
          </cell>
          <cell r="E929">
            <v>4074047</v>
          </cell>
          <cell r="F929">
            <v>8157677</v>
          </cell>
          <cell r="G929">
            <v>2612804</v>
          </cell>
          <cell r="H929">
            <v>37873</v>
          </cell>
          <cell r="I929">
            <v>0.56000000000000005</v>
          </cell>
          <cell r="M929" t="str">
            <v>MEM2600XM-32U96D</v>
          </cell>
          <cell r="N929" t="str">
            <v>32 to 96MB DRAM factory upgrade for Cisco 261x/2xXM</v>
          </cell>
          <cell r="O929">
            <v>0</v>
          </cell>
          <cell r="P929">
            <v>0</v>
          </cell>
          <cell r="Q929">
            <v>8</v>
          </cell>
          <cell r="R929">
            <v>0</v>
          </cell>
          <cell r="S929">
            <v>37901</v>
          </cell>
          <cell r="AJ929">
            <v>0</v>
          </cell>
        </row>
        <row r="930">
          <cell r="A930">
            <v>1696015</v>
          </cell>
          <cell r="B930">
            <v>37860</v>
          </cell>
          <cell r="D930" t="str">
            <v>ENTEL CHILE - 1600001868</v>
          </cell>
          <cell r="E930">
            <v>4074047</v>
          </cell>
          <cell r="F930">
            <v>8157677</v>
          </cell>
          <cell r="G930">
            <v>2612804</v>
          </cell>
          <cell r="H930">
            <v>37873</v>
          </cell>
          <cell r="I930">
            <v>0.56000000000000005</v>
          </cell>
          <cell r="M930" t="str">
            <v>MEM2600XM-16U32FS</v>
          </cell>
          <cell r="N930" t="str">
            <v>16 to 32 MB Flash Factory Upgrade for the Cisco 2600XM</v>
          </cell>
          <cell r="O930">
            <v>0</v>
          </cell>
          <cell r="P930">
            <v>0</v>
          </cell>
          <cell r="Q930">
            <v>8</v>
          </cell>
          <cell r="R930">
            <v>0</v>
          </cell>
          <cell r="S930">
            <v>37901</v>
          </cell>
          <cell r="AJ930">
            <v>0</v>
          </cell>
        </row>
        <row r="931">
          <cell r="A931">
            <v>1696015</v>
          </cell>
          <cell r="B931">
            <v>37860</v>
          </cell>
          <cell r="D931" t="str">
            <v>ENTEL CHILE - 1600001868</v>
          </cell>
          <cell r="E931">
            <v>4074047</v>
          </cell>
          <cell r="F931">
            <v>8157677</v>
          </cell>
          <cell r="G931">
            <v>2612804</v>
          </cell>
          <cell r="H931">
            <v>37873</v>
          </cell>
          <cell r="I931">
            <v>0.56000000000000005</v>
          </cell>
          <cell r="M931" t="str">
            <v>CISCO1760-V</v>
          </cell>
          <cell r="N931" t="str">
            <v>10/100 Modular Router w/Voice,19-in Chassis,32MB FL/96MB DR /</v>
          </cell>
          <cell r="O931">
            <v>2595</v>
          </cell>
          <cell r="P931">
            <v>1141.8</v>
          </cell>
          <cell r="Q931">
            <v>15</v>
          </cell>
          <cell r="R931">
            <v>17127</v>
          </cell>
          <cell r="S931">
            <v>37901</v>
          </cell>
          <cell r="AH931">
            <v>12</v>
          </cell>
          <cell r="AI931">
            <v>1272</v>
          </cell>
          <cell r="AJ931">
            <v>19080</v>
          </cell>
        </row>
        <row r="932">
          <cell r="A932">
            <v>1696015</v>
          </cell>
          <cell r="B932">
            <v>37860</v>
          </cell>
          <cell r="D932" t="str">
            <v>ENTEL CHILE - 1600001868</v>
          </cell>
          <cell r="E932">
            <v>4074047</v>
          </cell>
          <cell r="F932">
            <v>8157677</v>
          </cell>
          <cell r="G932">
            <v>2612804</v>
          </cell>
          <cell r="H932">
            <v>37873</v>
          </cell>
          <cell r="I932">
            <v>0.56000000000000005</v>
          </cell>
          <cell r="M932" t="str">
            <v>CAB-ACI</v>
          </cell>
          <cell r="N932" t="str">
            <v>Power Cord-Italian</v>
          </cell>
          <cell r="O932">
            <v>0</v>
          </cell>
          <cell r="P932">
            <v>0</v>
          </cell>
          <cell r="Q932">
            <v>15</v>
          </cell>
          <cell r="R932">
            <v>0</v>
          </cell>
          <cell r="S932">
            <v>37901</v>
          </cell>
          <cell r="AJ932">
            <v>0</v>
          </cell>
        </row>
        <row r="933">
          <cell r="A933">
            <v>1696015</v>
          </cell>
          <cell r="B933">
            <v>37860</v>
          </cell>
          <cell r="D933" t="str">
            <v>ENTEL CHILE - 1600001868</v>
          </cell>
          <cell r="E933">
            <v>4074047</v>
          </cell>
          <cell r="F933">
            <v>8157677</v>
          </cell>
          <cell r="G933">
            <v>2612804</v>
          </cell>
          <cell r="H933">
            <v>37873</v>
          </cell>
          <cell r="I933">
            <v>0.56000000000000005</v>
          </cell>
          <cell r="M933" t="str">
            <v>S17CV8P-12215T</v>
          </cell>
          <cell r="N933" t="str">
            <v>Cisco 1700 IOS IP/VOX PLUS</v>
          </cell>
          <cell r="O933">
            <v>0</v>
          </cell>
          <cell r="P933">
            <v>0</v>
          </cell>
          <cell r="Q933">
            <v>15</v>
          </cell>
          <cell r="R933">
            <v>0</v>
          </cell>
          <cell r="S933">
            <v>37901</v>
          </cell>
          <cell r="AJ933">
            <v>0</v>
          </cell>
        </row>
        <row r="934">
          <cell r="A934">
            <v>1696015</v>
          </cell>
          <cell r="B934">
            <v>37860</v>
          </cell>
          <cell r="D934" t="str">
            <v>ENTEL CHILE - 1600001868</v>
          </cell>
          <cell r="E934">
            <v>4074047</v>
          </cell>
          <cell r="F934">
            <v>8157677</v>
          </cell>
          <cell r="G934">
            <v>2612804</v>
          </cell>
          <cell r="H934">
            <v>37873</v>
          </cell>
          <cell r="I934">
            <v>0.56000000000000005</v>
          </cell>
          <cell r="M934" t="str">
            <v>MEM1700-64U96D</v>
          </cell>
          <cell r="N934" t="str">
            <v>Cisco 1700 64MB to 96MB DRAM Factory Upgrade</v>
          </cell>
          <cell r="O934">
            <v>0</v>
          </cell>
          <cell r="P934">
            <v>0</v>
          </cell>
          <cell r="Q934">
            <v>15</v>
          </cell>
          <cell r="R934">
            <v>0</v>
          </cell>
          <cell r="S934">
            <v>37901</v>
          </cell>
          <cell r="AJ934">
            <v>0</v>
          </cell>
        </row>
        <row r="935">
          <cell r="A935">
            <v>1696015</v>
          </cell>
          <cell r="B935">
            <v>37860</v>
          </cell>
          <cell r="D935" t="str">
            <v>ENTEL CHILE - 1600001868</v>
          </cell>
          <cell r="E935">
            <v>4074047</v>
          </cell>
          <cell r="F935">
            <v>8157677</v>
          </cell>
          <cell r="G935">
            <v>2612804</v>
          </cell>
          <cell r="H935">
            <v>37873</v>
          </cell>
          <cell r="I935">
            <v>0.56000000000000005</v>
          </cell>
          <cell r="M935" t="str">
            <v>PVDM-256K-4</v>
          </cell>
          <cell r="N935" t="str">
            <v>4-Channel Packet Voice/Fax DSP Module</v>
          </cell>
          <cell r="O935">
            <v>0</v>
          </cell>
          <cell r="P935">
            <v>0</v>
          </cell>
          <cell r="Q935">
            <v>15</v>
          </cell>
          <cell r="R935">
            <v>0</v>
          </cell>
          <cell r="S935">
            <v>37901</v>
          </cell>
          <cell r="AJ935">
            <v>0</v>
          </cell>
        </row>
        <row r="936">
          <cell r="A936">
            <v>169016</v>
          </cell>
          <cell r="B936">
            <v>37865</v>
          </cell>
          <cell r="D936" t="str">
            <v>ENTEL CHILE - 1600001870</v>
          </cell>
          <cell r="E936">
            <v>4085150</v>
          </cell>
          <cell r="F936">
            <v>8157686</v>
          </cell>
          <cell r="G936">
            <v>2612817</v>
          </cell>
          <cell r="H936">
            <v>37873</v>
          </cell>
          <cell r="I936">
            <v>0.56000000000000005</v>
          </cell>
          <cell r="M936" t="str">
            <v>WS-G5486=</v>
          </cell>
          <cell r="N936" t="str">
            <v>1000BASE-LX/LH long haul GBIC (singlemode or multimode) /</v>
          </cell>
          <cell r="O936">
            <v>995</v>
          </cell>
          <cell r="P936">
            <v>437.79999999999995</v>
          </cell>
          <cell r="Q936">
            <v>4</v>
          </cell>
          <cell r="R936">
            <v>1751.1999999999998</v>
          </cell>
          <cell r="S936">
            <v>37896</v>
          </cell>
          <cell r="AH936">
            <v>1</v>
          </cell>
          <cell r="AI936">
            <v>488</v>
          </cell>
          <cell r="AJ936">
            <v>1952</v>
          </cell>
        </row>
        <row r="937">
          <cell r="A937">
            <v>169016</v>
          </cell>
          <cell r="B937">
            <v>37865</v>
          </cell>
          <cell r="D937" t="str">
            <v>ENTEL CHILE - 1600001870</v>
          </cell>
          <cell r="E937">
            <v>4085150</v>
          </cell>
          <cell r="F937">
            <v>8157686</v>
          </cell>
          <cell r="G937">
            <v>2612817</v>
          </cell>
          <cell r="H937">
            <v>37873</v>
          </cell>
          <cell r="I937">
            <v>0.56000000000000005</v>
          </cell>
          <cell r="M937" t="str">
            <v>WS-C3550-12G</v>
          </cell>
          <cell r="N937" t="str">
            <v>10 GBIC ports and 2-10/100/1000BaseT ports /</v>
          </cell>
          <cell r="O937">
            <v>9995</v>
          </cell>
          <cell r="P937">
            <v>4397.7999999999993</v>
          </cell>
          <cell r="Q937">
            <v>1</v>
          </cell>
          <cell r="R937">
            <v>4397.7999999999993</v>
          </cell>
          <cell r="S937">
            <v>37896</v>
          </cell>
          <cell r="AH937">
            <v>2</v>
          </cell>
          <cell r="AI937">
            <v>4898</v>
          </cell>
          <cell r="AJ937">
            <v>4898</v>
          </cell>
        </row>
        <row r="938">
          <cell r="A938">
            <v>169016</v>
          </cell>
          <cell r="B938">
            <v>37865</v>
          </cell>
          <cell r="D938" t="str">
            <v>ENTEL CHILE - 1600001870</v>
          </cell>
          <cell r="E938">
            <v>4085150</v>
          </cell>
          <cell r="F938">
            <v>8157686</v>
          </cell>
          <cell r="G938">
            <v>2612817</v>
          </cell>
          <cell r="H938">
            <v>37873</v>
          </cell>
          <cell r="I938">
            <v>0.56000000000000005</v>
          </cell>
          <cell r="M938" t="str">
            <v>CAB-ACI</v>
          </cell>
          <cell r="N938" t="str">
            <v>Power Cord-Italian</v>
          </cell>
          <cell r="O938">
            <v>0</v>
          </cell>
          <cell r="P938">
            <v>0</v>
          </cell>
          <cell r="Q938">
            <v>1</v>
          </cell>
          <cell r="R938">
            <v>0</v>
          </cell>
          <cell r="S938">
            <v>37896</v>
          </cell>
          <cell r="AI938">
            <v>0</v>
          </cell>
          <cell r="AJ938">
            <v>0</v>
          </cell>
        </row>
        <row r="939">
          <cell r="A939">
            <v>169017</v>
          </cell>
          <cell r="B939">
            <v>37865</v>
          </cell>
          <cell r="D939" t="str">
            <v>ENTEL CHILE - 1600001873</v>
          </cell>
          <cell r="E939">
            <v>4085175</v>
          </cell>
          <cell r="F939">
            <v>8157678</v>
          </cell>
          <cell r="G939">
            <v>2612803</v>
          </cell>
          <cell r="H939">
            <v>37873</v>
          </cell>
          <cell r="I939">
            <v>0.56000000000000005</v>
          </cell>
          <cell r="M939" t="str">
            <v>WS-C3550-12G</v>
          </cell>
          <cell r="N939" t="str">
            <v>10 GBIC ports and 2-10/100/1000BaseT ports /</v>
          </cell>
          <cell r="O939">
            <v>9995</v>
          </cell>
          <cell r="P939">
            <v>4397.7999999999993</v>
          </cell>
          <cell r="Q939">
            <v>1</v>
          </cell>
          <cell r="R939">
            <v>4397.7999999999993</v>
          </cell>
          <cell r="S939">
            <v>37917</v>
          </cell>
          <cell r="AH939">
            <v>1</v>
          </cell>
          <cell r="AI939">
            <v>4898</v>
          </cell>
          <cell r="AJ939">
            <v>4898</v>
          </cell>
        </row>
        <row r="940">
          <cell r="A940">
            <v>169017</v>
          </cell>
          <cell r="B940">
            <v>37865</v>
          </cell>
          <cell r="D940" t="str">
            <v>ENTEL CHILE - 1600001873</v>
          </cell>
          <cell r="E940">
            <v>4085175</v>
          </cell>
          <cell r="F940">
            <v>8157678</v>
          </cell>
          <cell r="G940">
            <v>2612803</v>
          </cell>
          <cell r="H940">
            <v>37873</v>
          </cell>
          <cell r="I940">
            <v>0.56000000000000005</v>
          </cell>
          <cell r="M940" t="str">
            <v>CAB-ACI</v>
          </cell>
          <cell r="N940" t="str">
            <v>Power Cord-Italian</v>
          </cell>
          <cell r="O940">
            <v>0</v>
          </cell>
          <cell r="P940">
            <v>0</v>
          </cell>
          <cell r="Q940">
            <v>1</v>
          </cell>
          <cell r="R940">
            <v>0</v>
          </cell>
          <cell r="S940">
            <v>37917</v>
          </cell>
          <cell r="AI940">
            <v>0</v>
          </cell>
          <cell r="AJ940">
            <v>0</v>
          </cell>
        </row>
        <row r="941">
          <cell r="A941">
            <v>169017</v>
          </cell>
          <cell r="B941">
            <v>37865</v>
          </cell>
          <cell r="D941" t="str">
            <v>ENTEL CHILE - 1600001873</v>
          </cell>
          <cell r="E941">
            <v>4085175</v>
          </cell>
          <cell r="F941">
            <v>8157678</v>
          </cell>
          <cell r="G941">
            <v>2612803</v>
          </cell>
          <cell r="H941">
            <v>37873</v>
          </cell>
          <cell r="I941">
            <v>0.56000000000000005</v>
          </cell>
          <cell r="M941" t="str">
            <v>WS-C3550-48-SMI</v>
          </cell>
          <cell r="N941" t="str">
            <v>48-10/100 and 2 GBIC ports:Std Multilayer SW Image /</v>
          </cell>
          <cell r="O941">
            <v>4995</v>
          </cell>
          <cell r="P941">
            <v>2197.7999999999997</v>
          </cell>
          <cell r="Q941">
            <v>1</v>
          </cell>
          <cell r="R941">
            <v>2197.7999999999997</v>
          </cell>
          <cell r="S941">
            <v>37917</v>
          </cell>
          <cell r="AH941">
            <v>2</v>
          </cell>
          <cell r="AI941">
            <v>2448</v>
          </cell>
          <cell r="AJ941">
            <v>2448</v>
          </cell>
        </row>
        <row r="942">
          <cell r="A942">
            <v>169017</v>
          </cell>
          <cell r="B942">
            <v>37865</v>
          </cell>
          <cell r="D942" t="str">
            <v>ENTEL CHILE - 1600001873</v>
          </cell>
          <cell r="E942">
            <v>4085175</v>
          </cell>
          <cell r="F942">
            <v>8157678</v>
          </cell>
          <cell r="G942">
            <v>2612803</v>
          </cell>
          <cell r="H942">
            <v>37873</v>
          </cell>
          <cell r="I942">
            <v>0.56000000000000005</v>
          </cell>
          <cell r="M942" t="str">
            <v>CAB-ACI</v>
          </cell>
          <cell r="N942" t="str">
            <v>Power Cord-Italian</v>
          </cell>
          <cell r="O942">
            <v>0</v>
          </cell>
          <cell r="P942">
            <v>0</v>
          </cell>
          <cell r="Q942">
            <v>1</v>
          </cell>
          <cell r="R942">
            <v>0</v>
          </cell>
          <cell r="S942">
            <v>37917</v>
          </cell>
          <cell r="AI942">
            <v>0</v>
          </cell>
          <cell r="AJ942">
            <v>0</v>
          </cell>
        </row>
        <row r="943">
          <cell r="A943">
            <v>169017</v>
          </cell>
          <cell r="B943">
            <v>37865</v>
          </cell>
          <cell r="D943" t="str">
            <v>ENTEL CHILE - 1600001873</v>
          </cell>
          <cell r="E943">
            <v>4085175</v>
          </cell>
          <cell r="F943">
            <v>8157678</v>
          </cell>
          <cell r="G943">
            <v>2612803</v>
          </cell>
          <cell r="H943">
            <v>37873</v>
          </cell>
          <cell r="I943">
            <v>0.56000000000000005</v>
          </cell>
          <cell r="M943" t="str">
            <v>WS-G5486=</v>
          </cell>
          <cell r="N943" t="str">
            <v>1000BASE-LX/LH long haul GBIC (singlemode or multimode) /</v>
          </cell>
          <cell r="O943">
            <v>995</v>
          </cell>
          <cell r="P943">
            <v>437.79999999999995</v>
          </cell>
          <cell r="Q943">
            <v>4</v>
          </cell>
          <cell r="R943">
            <v>1751.1999999999998</v>
          </cell>
          <cell r="S943">
            <v>37917</v>
          </cell>
          <cell r="AH943">
            <v>3</v>
          </cell>
          <cell r="AI943">
            <v>488</v>
          </cell>
          <cell r="AJ943">
            <v>1952</v>
          </cell>
        </row>
        <row r="944">
          <cell r="A944">
            <v>169018</v>
          </cell>
          <cell r="B944">
            <v>37879</v>
          </cell>
          <cell r="D944" t="str">
            <v>ENTEL CHILE - 1600001881</v>
          </cell>
          <cell r="E944">
            <v>4127006</v>
          </cell>
          <cell r="I944">
            <v>0.56000000000000005</v>
          </cell>
          <cell r="K944">
            <v>1</v>
          </cell>
          <cell r="M944" t="str">
            <v xml:space="preserve">WS-C2924M-XL-EN-DC
</v>
          </cell>
          <cell r="N944" t="str">
            <v>24-port 10/100 Switch w/ Two Module Slots (DC-Powered) /</v>
          </cell>
          <cell r="O944">
            <v>4495</v>
          </cell>
          <cell r="P944">
            <v>1977.7999999999997</v>
          </cell>
          <cell r="Q944">
            <v>5</v>
          </cell>
          <cell r="R944">
            <v>9888.9999999999982</v>
          </cell>
          <cell r="AH944">
            <v>1</v>
          </cell>
          <cell r="AI944">
            <v>2202.6</v>
          </cell>
          <cell r="AJ944">
            <v>11013</v>
          </cell>
        </row>
        <row r="945">
          <cell r="P945">
            <v>0</v>
          </cell>
          <cell r="R945">
            <v>0</v>
          </cell>
          <cell r="AJ945">
            <v>0</v>
          </cell>
        </row>
        <row r="946">
          <cell r="P946">
            <v>0</v>
          </cell>
          <cell r="R946">
            <v>0</v>
          </cell>
          <cell r="AJ946">
            <v>0</v>
          </cell>
        </row>
        <row r="947">
          <cell r="P947">
            <v>0</v>
          </cell>
          <cell r="R947">
            <v>0</v>
          </cell>
          <cell r="AJ947">
            <v>0</v>
          </cell>
        </row>
        <row r="948">
          <cell r="P948">
            <v>0</v>
          </cell>
          <cell r="R948">
            <v>0</v>
          </cell>
          <cell r="AJ948">
            <v>0</v>
          </cell>
        </row>
        <row r="949">
          <cell r="P949">
            <v>0</v>
          </cell>
          <cell r="R949">
            <v>0</v>
          </cell>
          <cell r="AJ949">
            <v>0</v>
          </cell>
        </row>
        <row r="950">
          <cell r="P950">
            <v>0</v>
          </cell>
          <cell r="R950">
            <v>0</v>
          </cell>
          <cell r="AJ950">
            <v>0</v>
          </cell>
        </row>
        <row r="951">
          <cell r="P951">
            <v>0</v>
          </cell>
          <cell r="R951">
            <v>0</v>
          </cell>
          <cell r="AJ951">
            <v>0</v>
          </cell>
        </row>
        <row r="952">
          <cell r="P952">
            <v>0</v>
          </cell>
          <cell r="R952">
            <v>0</v>
          </cell>
          <cell r="AJ952">
            <v>0</v>
          </cell>
        </row>
        <row r="953">
          <cell r="P953">
            <v>0</v>
          </cell>
          <cell r="R953">
            <v>0</v>
          </cell>
          <cell r="AJ953">
            <v>0</v>
          </cell>
        </row>
        <row r="954">
          <cell r="P954">
            <v>0</v>
          </cell>
          <cell r="R954">
            <v>0</v>
          </cell>
          <cell r="AJ954">
            <v>0</v>
          </cell>
        </row>
        <row r="955">
          <cell r="P955">
            <v>0</v>
          </cell>
          <cell r="R955">
            <v>0</v>
          </cell>
          <cell r="AJ955">
            <v>0</v>
          </cell>
        </row>
        <row r="956">
          <cell r="P956">
            <v>0</v>
          </cell>
          <cell r="R956">
            <v>0</v>
          </cell>
          <cell r="AJ956">
            <v>0</v>
          </cell>
        </row>
        <row r="957">
          <cell r="P957">
            <v>0</v>
          </cell>
          <cell r="R957">
            <v>0</v>
          </cell>
          <cell r="AJ957">
            <v>0</v>
          </cell>
        </row>
        <row r="958">
          <cell r="P958">
            <v>0</v>
          </cell>
          <cell r="R958">
            <v>0</v>
          </cell>
          <cell r="AJ958">
            <v>0</v>
          </cell>
        </row>
        <row r="959">
          <cell r="P959">
            <v>0</v>
          </cell>
          <cell r="R959">
            <v>0</v>
          </cell>
          <cell r="AJ959">
            <v>0</v>
          </cell>
        </row>
        <row r="960">
          <cell r="P960">
            <v>0</v>
          </cell>
          <cell r="R960">
            <v>0</v>
          </cell>
          <cell r="AJ960">
            <v>0</v>
          </cell>
        </row>
        <row r="961">
          <cell r="P961">
            <v>0</v>
          </cell>
          <cell r="R961">
            <v>0</v>
          </cell>
          <cell r="AJ961">
            <v>0</v>
          </cell>
        </row>
        <row r="962">
          <cell r="P962">
            <v>0</v>
          </cell>
          <cell r="R962">
            <v>0</v>
          </cell>
          <cell r="AJ962">
            <v>0</v>
          </cell>
        </row>
        <row r="963">
          <cell r="P963">
            <v>0</v>
          </cell>
          <cell r="R963">
            <v>0</v>
          </cell>
          <cell r="AJ963">
            <v>0</v>
          </cell>
        </row>
        <row r="964">
          <cell r="P964">
            <v>0</v>
          </cell>
          <cell r="R964">
            <v>0</v>
          </cell>
          <cell r="AJ964">
            <v>0</v>
          </cell>
        </row>
        <row r="965">
          <cell r="P965">
            <v>0</v>
          </cell>
          <cell r="R965">
            <v>0</v>
          </cell>
          <cell r="AJ965">
            <v>0</v>
          </cell>
        </row>
        <row r="966">
          <cell r="P966">
            <v>0</v>
          </cell>
          <cell r="R966">
            <v>0</v>
          </cell>
          <cell r="AJ966">
            <v>0</v>
          </cell>
        </row>
        <row r="967">
          <cell r="P967">
            <v>0</v>
          </cell>
          <cell r="R967">
            <v>0</v>
          </cell>
          <cell r="AJ967">
            <v>0</v>
          </cell>
        </row>
        <row r="968">
          <cell r="P968">
            <v>0</v>
          </cell>
          <cell r="R968">
            <v>0</v>
          </cell>
          <cell r="AJ968">
            <v>0</v>
          </cell>
        </row>
        <row r="969">
          <cell r="P969">
            <v>0</v>
          </cell>
          <cell r="R969">
            <v>0</v>
          </cell>
          <cell r="AJ969">
            <v>0</v>
          </cell>
        </row>
        <row r="970">
          <cell r="P970">
            <v>0</v>
          </cell>
          <cell r="R970">
            <v>0</v>
          </cell>
          <cell r="AJ970">
            <v>0</v>
          </cell>
        </row>
        <row r="971">
          <cell r="P971">
            <v>0</v>
          </cell>
          <cell r="R971">
            <v>0</v>
          </cell>
          <cell r="AJ971">
            <v>0</v>
          </cell>
        </row>
        <row r="972">
          <cell r="P972">
            <v>0</v>
          </cell>
          <cell r="R972">
            <v>0</v>
          </cell>
          <cell r="AJ972">
            <v>0</v>
          </cell>
        </row>
        <row r="973">
          <cell r="P973">
            <v>0</v>
          </cell>
          <cell r="R973">
            <v>0</v>
          </cell>
          <cell r="AJ973">
            <v>0</v>
          </cell>
        </row>
        <row r="974">
          <cell r="P974">
            <v>0</v>
          </cell>
          <cell r="R974">
            <v>0</v>
          </cell>
          <cell r="AJ974">
            <v>0</v>
          </cell>
        </row>
        <row r="975">
          <cell r="P975">
            <v>0</v>
          </cell>
          <cell r="R975">
            <v>0</v>
          </cell>
          <cell r="AJ975">
            <v>0</v>
          </cell>
        </row>
        <row r="976">
          <cell r="P976">
            <v>0</v>
          </cell>
          <cell r="R976">
            <v>0</v>
          </cell>
          <cell r="AJ976">
            <v>0</v>
          </cell>
        </row>
        <row r="977">
          <cell r="P977">
            <v>0</v>
          </cell>
          <cell r="R977">
            <v>0</v>
          </cell>
          <cell r="AJ977">
            <v>0</v>
          </cell>
        </row>
        <row r="978">
          <cell r="P978">
            <v>0</v>
          </cell>
          <cell r="R978">
            <v>0</v>
          </cell>
          <cell r="AJ978">
            <v>0</v>
          </cell>
        </row>
        <row r="979">
          <cell r="P979">
            <v>0</v>
          </cell>
          <cell r="R979">
            <v>0</v>
          </cell>
          <cell r="AJ979">
            <v>0</v>
          </cell>
        </row>
        <row r="980">
          <cell r="P980">
            <v>0</v>
          </cell>
          <cell r="R980">
            <v>0</v>
          </cell>
          <cell r="AJ980">
            <v>0</v>
          </cell>
        </row>
        <row r="981">
          <cell r="P981">
            <v>0</v>
          </cell>
          <cell r="R981">
            <v>0</v>
          </cell>
          <cell r="AJ981">
            <v>0</v>
          </cell>
        </row>
        <row r="982">
          <cell r="P982">
            <v>0</v>
          </cell>
          <cell r="R982">
            <v>0</v>
          </cell>
          <cell r="AJ982">
            <v>0</v>
          </cell>
        </row>
        <row r="983">
          <cell r="P983">
            <v>0</v>
          </cell>
          <cell r="R983">
            <v>0</v>
          </cell>
          <cell r="AJ983">
            <v>0</v>
          </cell>
        </row>
        <row r="984">
          <cell r="P984">
            <v>0</v>
          </cell>
          <cell r="R984">
            <v>0</v>
          </cell>
          <cell r="AJ984">
            <v>0</v>
          </cell>
        </row>
        <row r="985">
          <cell r="P985">
            <v>0</v>
          </cell>
          <cell r="R985">
            <v>0</v>
          </cell>
          <cell r="AJ985">
            <v>0</v>
          </cell>
        </row>
        <row r="986">
          <cell r="P986">
            <v>0</v>
          </cell>
          <cell r="R986">
            <v>0</v>
          </cell>
          <cell r="AJ986">
            <v>0</v>
          </cell>
        </row>
        <row r="987">
          <cell r="P987">
            <v>0</v>
          </cell>
          <cell r="R987">
            <v>0</v>
          </cell>
          <cell r="AJ987">
            <v>0</v>
          </cell>
        </row>
        <row r="988">
          <cell r="P988">
            <v>0</v>
          </cell>
          <cell r="R988">
            <v>0</v>
          </cell>
          <cell r="AJ988">
            <v>0</v>
          </cell>
        </row>
        <row r="989">
          <cell r="P989">
            <v>0</v>
          </cell>
          <cell r="R989">
            <v>0</v>
          </cell>
          <cell r="AJ989">
            <v>0</v>
          </cell>
        </row>
        <row r="990">
          <cell r="P990">
            <v>0</v>
          </cell>
          <cell r="R990">
            <v>0</v>
          </cell>
          <cell r="AJ990">
            <v>0</v>
          </cell>
        </row>
        <row r="991">
          <cell r="P991">
            <v>0</v>
          </cell>
          <cell r="R991">
            <v>0</v>
          </cell>
          <cell r="AJ991">
            <v>0</v>
          </cell>
        </row>
        <row r="992">
          <cell r="P992">
            <v>0</v>
          </cell>
          <cell r="R992">
            <v>0</v>
          </cell>
          <cell r="AJ992">
            <v>0</v>
          </cell>
        </row>
        <row r="993">
          <cell r="P993">
            <v>0</v>
          </cell>
          <cell r="R993">
            <v>0</v>
          </cell>
          <cell r="AJ993">
            <v>0</v>
          </cell>
        </row>
        <row r="994">
          <cell r="P994">
            <v>0</v>
          </cell>
          <cell r="R994">
            <v>0</v>
          </cell>
          <cell r="AJ994">
            <v>0</v>
          </cell>
        </row>
        <row r="995">
          <cell r="P995">
            <v>0</v>
          </cell>
          <cell r="R995">
            <v>0</v>
          </cell>
          <cell r="AJ995">
            <v>0</v>
          </cell>
        </row>
        <row r="996">
          <cell r="P996">
            <v>0</v>
          </cell>
          <cell r="R996">
            <v>0</v>
          </cell>
        </row>
        <row r="997">
          <cell r="P997">
            <v>0</v>
          </cell>
          <cell r="R997">
            <v>0</v>
          </cell>
        </row>
        <row r="998">
          <cell r="P998">
            <v>0</v>
          </cell>
          <cell r="R998">
            <v>0</v>
          </cell>
        </row>
        <row r="999">
          <cell r="P999">
            <v>0</v>
          </cell>
          <cell r="R999">
            <v>0</v>
          </cell>
        </row>
        <row r="1000">
          <cell r="P1000">
            <v>0</v>
          </cell>
          <cell r="R1000">
            <v>0</v>
          </cell>
        </row>
        <row r="1001">
          <cell r="P1001">
            <v>0</v>
          </cell>
          <cell r="R1001">
            <v>0</v>
          </cell>
        </row>
        <row r="1002">
          <cell r="P1002">
            <v>0</v>
          </cell>
          <cell r="R1002">
            <v>0</v>
          </cell>
        </row>
        <row r="1003">
          <cell r="P1003">
            <v>0</v>
          </cell>
          <cell r="R1003">
            <v>0</v>
          </cell>
        </row>
        <row r="1004">
          <cell r="P1004">
            <v>0</v>
          </cell>
          <cell r="R1004">
            <v>0</v>
          </cell>
        </row>
        <row r="1005">
          <cell r="P1005">
            <v>0</v>
          </cell>
          <cell r="R1005">
            <v>0</v>
          </cell>
        </row>
        <row r="1006">
          <cell r="P1006">
            <v>0</v>
          </cell>
          <cell r="R1006">
            <v>0</v>
          </cell>
        </row>
        <row r="1007">
          <cell r="P1007">
            <v>0</v>
          </cell>
          <cell r="R1007">
            <v>0</v>
          </cell>
        </row>
        <row r="1008">
          <cell r="P1008">
            <v>0</v>
          </cell>
          <cell r="R1008">
            <v>0</v>
          </cell>
        </row>
        <row r="1009">
          <cell r="P1009">
            <v>0</v>
          </cell>
          <cell r="R1009">
            <v>0</v>
          </cell>
        </row>
        <row r="1010">
          <cell r="P1010">
            <v>0</v>
          </cell>
          <cell r="R1010">
            <v>0</v>
          </cell>
        </row>
        <row r="1011">
          <cell r="P1011">
            <v>0</v>
          </cell>
          <cell r="R1011">
            <v>0</v>
          </cell>
        </row>
        <row r="1012">
          <cell r="P1012">
            <v>0</v>
          </cell>
          <cell r="R1012">
            <v>0</v>
          </cell>
        </row>
        <row r="1013">
          <cell r="P1013">
            <v>0</v>
          </cell>
          <cell r="R1013">
            <v>0</v>
          </cell>
        </row>
        <row r="1014">
          <cell r="P1014">
            <v>0</v>
          </cell>
          <cell r="R1014">
            <v>0</v>
          </cell>
        </row>
        <row r="1015">
          <cell r="P1015">
            <v>0</v>
          </cell>
          <cell r="R1015">
            <v>0</v>
          </cell>
        </row>
        <row r="1016">
          <cell r="P1016">
            <v>0</v>
          </cell>
          <cell r="R1016">
            <v>0</v>
          </cell>
        </row>
        <row r="1017">
          <cell r="P1017">
            <v>0</v>
          </cell>
          <cell r="R1017">
            <v>0</v>
          </cell>
        </row>
        <row r="1018">
          <cell r="P1018">
            <v>0</v>
          </cell>
          <cell r="R1018">
            <v>0</v>
          </cell>
        </row>
        <row r="1019">
          <cell r="P1019">
            <v>0</v>
          </cell>
          <cell r="R1019">
            <v>0</v>
          </cell>
        </row>
        <row r="1020">
          <cell r="P1020">
            <v>0</v>
          </cell>
          <cell r="R1020">
            <v>0</v>
          </cell>
        </row>
        <row r="1021">
          <cell r="P1021">
            <v>0</v>
          </cell>
          <cell r="R1021">
            <v>0</v>
          </cell>
        </row>
        <row r="1022">
          <cell r="P1022">
            <v>0</v>
          </cell>
          <cell r="R1022">
            <v>0</v>
          </cell>
        </row>
        <row r="1023">
          <cell r="P1023">
            <v>0</v>
          </cell>
          <cell r="R1023">
            <v>0</v>
          </cell>
        </row>
        <row r="1024">
          <cell r="P1024">
            <v>0</v>
          </cell>
          <cell r="R1024">
            <v>0</v>
          </cell>
        </row>
        <row r="1025">
          <cell r="P1025">
            <v>0</v>
          </cell>
          <cell r="R1025">
            <v>0</v>
          </cell>
        </row>
        <row r="1026">
          <cell r="P1026">
            <v>0</v>
          </cell>
          <cell r="R1026">
            <v>0</v>
          </cell>
        </row>
        <row r="1027">
          <cell r="P1027">
            <v>0</v>
          </cell>
          <cell r="R1027">
            <v>0</v>
          </cell>
        </row>
        <row r="1028">
          <cell r="P1028">
            <v>0</v>
          </cell>
          <cell r="R1028">
            <v>0</v>
          </cell>
        </row>
        <row r="1029">
          <cell r="P1029">
            <v>0</v>
          </cell>
          <cell r="R1029">
            <v>0</v>
          </cell>
        </row>
        <row r="1030">
          <cell r="P1030">
            <v>0</v>
          </cell>
          <cell r="R1030">
            <v>0</v>
          </cell>
        </row>
        <row r="1031">
          <cell r="P1031">
            <v>0</v>
          </cell>
          <cell r="R1031">
            <v>0</v>
          </cell>
        </row>
        <row r="1032">
          <cell r="P1032">
            <v>0</v>
          </cell>
          <cell r="R1032">
            <v>0</v>
          </cell>
        </row>
        <row r="1033">
          <cell r="P1033">
            <v>0</v>
          </cell>
          <cell r="R1033">
            <v>0</v>
          </cell>
        </row>
        <row r="1034">
          <cell r="P1034">
            <v>0</v>
          </cell>
          <cell r="R1034">
            <v>0</v>
          </cell>
        </row>
        <row r="1035">
          <cell r="P1035">
            <v>0</v>
          </cell>
          <cell r="R1035">
            <v>0</v>
          </cell>
        </row>
        <row r="1036">
          <cell r="P1036">
            <v>0</v>
          </cell>
          <cell r="R1036">
            <v>0</v>
          </cell>
        </row>
        <row r="1037">
          <cell r="P1037">
            <v>0</v>
          </cell>
          <cell r="R1037">
            <v>0</v>
          </cell>
        </row>
        <row r="1038">
          <cell r="P1038">
            <v>0</v>
          </cell>
          <cell r="R1038">
            <v>0</v>
          </cell>
        </row>
        <row r="1039">
          <cell r="P1039">
            <v>0</v>
          </cell>
          <cell r="R1039">
            <v>0</v>
          </cell>
        </row>
        <row r="1040">
          <cell r="P1040">
            <v>0</v>
          </cell>
          <cell r="R1040">
            <v>0</v>
          </cell>
        </row>
        <row r="1041">
          <cell r="P1041">
            <v>0</v>
          </cell>
          <cell r="R1041">
            <v>0</v>
          </cell>
        </row>
        <row r="1042">
          <cell r="P1042">
            <v>0</v>
          </cell>
          <cell r="R1042">
            <v>0</v>
          </cell>
        </row>
        <row r="1043">
          <cell r="P1043">
            <v>0</v>
          </cell>
          <cell r="R1043">
            <v>0</v>
          </cell>
        </row>
        <row r="1044">
          <cell r="P1044">
            <v>0</v>
          </cell>
          <cell r="R1044">
            <v>0</v>
          </cell>
        </row>
        <row r="1045">
          <cell r="P1045">
            <v>0</v>
          </cell>
          <cell r="R1045">
            <v>0</v>
          </cell>
        </row>
        <row r="1046">
          <cell r="P1046">
            <v>0</v>
          </cell>
          <cell r="R1046">
            <v>0</v>
          </cell>
        </row>
        <row r="1047">
          <cell r="P1047">
            <v>0</v>
          </cell>
          <cell r="R1047">
            <v>0</v>
          </cell>
        </row>
        <row r="1048">
          <cell r="P1048">
            <v>0</v>
          </cell>
          <cell r="R1048">
            <v>0</v>
          </cell>
        </row>
        <row r="1049">
          <cell r="P1049">
            <v>0</v>
          </cell>
          <cell r="R1049">
            <v>0</v>
          </cell>
        </row>
        <row r="1050">
          <cell r="P1050">
            <v>0</v>
          </cell>
          <cell r="R1050">
            <v>0</v>
          </cell>
        </row>
        <row r="1051">
          <cell r="P1051">
            <v>0</v>
          </cell>
          <cell r="R1051">
            <v>0</v>
          </cell>
        </row>
        <row r="1052">
          <cell r="P1052">
            <v>0</v>
          </cell>
          <cell r="R1052">
            <v>0</v>
          </cell>
        </row>
        <row r="1053">
          <cell r="P1053">
            <v>0</v>
          </cell>
          <cell r="R1053">
            <v>0</v>
          </cell>
        </row>
        <row r="1054">
          <cell r="P1054">
            <v>0</v>
          </cell>
          <cell r="R1054">
            <v>0</v>
          </cell>
        </row>
        <row r="1055">
          <cell r="P1055">
            <v>0</v>
          </cell>
          <cell r="R1055">
            <v>0</v>
          </cell>
        </row>
        <row r="1056">
          <cell r="P1056">
            <v>0</v>
          </cell>
          <cell r="R1056">
            <v>0</v>
          </cell>
        </row>
        <row r="1057">
          <cell r="P1057">
            <v>0</v>
          </cell>
          <cell r="R1057">
            <v>0</v>
          </cell>
        </row>
        <row r="1058">
          <cell r="P1058">
            <v>0</v>
          </cell>
          <cell r="R1058">
            <v>0</v>
          </cell>
        </row>
        <row r="1059">
          <cell r="P1059">
            <v>0</v>
          </cell>
          <cell r="R1059">
            <v>0</v>
          </cell>
        </row>
        <row r="1060">
          <cell r="P1060">
            <v>0</v>
          </cell>
          <cell r="R1060">
            <v>0</v>
          </cell>
        </row>
        <row r="1061">
          <cell r="P1061">
            <v>0</v>
          </cell>
          <cell r="R1061">
            <v>0</v>
          </cell>
        </row>
        <row r="1062">
          <cell r="P1062">
            <v>0</v>
          </cell>
          <cell r="R1062">
            <v>0</v>
          </cell>
        </row>
        <row r="1063">
          <cell r="P1063">
            <v>0</v>
          </cell>
          <cell r="R1063">
            <v>0</v>
          </cell>
        </row>
        <row r="1064">
          <cell r="P1064">
            <v>0</v>
          </cell>
          <cell r="R1064">
            <v>0</v>
          </cell>
        </row>
        <row r="1065">
          <cell r="P1065">
            <v>0</v>
          </cell>
          <cell r="R1065">
            <v>0</v>
          </cell>
        </row>
        <row r="1066">
          <cell r="P1066">
            <v>0</v>
          </cell>
          <cell r="R1066">
            <v>0</v>
          </cell>
        </row>
        <row r="1067">
          <cell r="P1067">
            <v>0</v>
          </cell>
          <cell r="R1067">
            <v>0</v>
          </cell>
        </row>
        <row r="1068">
          <cell r="P1068">
            <v>0</v>
          </cell>
          <cell r="R1068">
            <v>0</v>
          </cell>
        </row>
        <row r="1069">
          <cell r="P1069">
            <v>0</v>
          </cell>
          <cell r="R1069">
            <v>0</v>
          </cell>
        </row>
        <row r="1070">
          <cell r="P1070">
            <v>0</v>
          </cell>
          <cell r="R1070">
            <v>0</v>
          </cell>
        </row>
        <row r="1071">
          <cell r="P1071">
            <v>0</v>
          </cell>
          <cell r="R1071">
            <v>0</v>
          </cell>
        </row>
        <row r="1072">
          <cell r="P1072">
            <v>0</v>
          </cell>
          <cell r="R1072">
            <v>0</v>
          </cell>
        </row>
        <row r="1073">
          <cell r="P1073">
            <v>0</v>
          </cell>
          <cell r="R1073">
            <v>0</v>
          </cell>
        </row>
        <row r="1074">
          <cell r="P1074">
            <v>0</v>
          </cell>
          <cell r="R1074">
            <v>0</v>
          </cell>
        </row>
        <row r="1075">
          <cell r="P1075">
            <v>0</v>
          </cell>
          <cell r="R1075">
            <v>0</v>
          </cell>
        </row>
        <row r="1076">
          <cell r="P1076">
            <v>0</v>
          </cell>
          <cell r="R1076">
            <v>0</v>
          </cell>
        </row>
        <row r="1077">
          <cell r="P1077">
            <v>0</v>
          </cell>
          <cell r="R1077">
            <v>0</v>
          </cell>
        </row>
        <row r="1078">
          <cell r="P1078">
            <v>0</v>
          </cell>
          <cell r="R1078">
            <v>0</v>
          </cell>
        </row>
        <row r="1079">
          <cell r="P1079">
            <v>0</v>
          </cell>
          <cell r="R1079">
            <v>0</v>
          </cell>
        </row>
        <row r="1080">
          <cell r="P1080">
            <v>0</v>
          </cell>
          <cell r="R1080">
            <v>0</v>
          </cell>
        </row>
        <row r="1081">
          <cell r="P1081">
            <v>0</v>
          </cell>
          <cell r="R1081">
            <v>0</v>
          </cell>
        </row>
        <row r="1082">
          <cell r="P1082">
            <v>0</v>
          </cell>
          <cell r="R1082">
            <v>0</v>
          </cell>
        </row>
        <row r="1083">
          <cell r="P1083">
            <v>0</v>
          </cell>
          <cell r="R1083">
            <v>0</v>
          </cell>
        </row>
        <row r="1084">
          <cell r="P1084">
            <v>0</v>
          </cell>
          <cell r="R1084">
            <v>0</v>
          </cell>
        </row>
        <row r="1085">
          <cell r="P1085">
            <v>0</v>
          </cell>
          <cell r="R1085">
            <v>0</v>
          </cell>
        </row>
        <row r="1086">
          <cell r="P1086">
            <v>0</v>
          </cell>
          <cell r="R1086">
            <v>0</v>
          </cell>
        </row>
        <row r="1087">
          <cell r="P1087">
            <v>0</v>
          </cell>
          <cell r="R1087">
            <v>0</v>
          </cell>
        </row>
        <row r="1088">
          <cell r="P1088">
            <v>0</v>
          </cell>
          <cell r="R1088">
            <v>0</v>
          </cell>
        </row>
        <row r="1089">
          <cell r="P1089">
            <v>0</v>
          </cell>
          <cell r="R1089">
            <v>0</v>
          </cell>
        </row>
        <row r="1090">
          <cell r="P1090">
            <v>0</v>
          </cell>
          <cell r="R1090">
            <v>0</v>
          </cell>
        </row>
        <row r="1091">
          <cell r="P1091">
            <v>0</v>
          </cell>
          <cell r="R1091">
            <v>0</v>
          </cell>
        </row>
        <row r="1092">
          <cell r="P1092">
            <v>0</v>
          </cell>
          <cell r="R1092">
            <v>0</v>
          </cell>
        </row>
        <row r="1093">
          <cell r="P1093">
            <v>0</v>
          </cell>
          <cell r="R1093">
            <v>0</v>
          </cell>
        </row>
        <row r="1094">
          <cell r="P1094">
            <v>0</v>
          </cell>
          <cell r="R1094">
            <v>0</v>
          </cell>
        </row>
        <row r="1095">
          <cell r="P1095">
            <v>0</v>
          </cell>
          <cell r="R1095">
            <v>0</v>
          </cell>
        </row>
        <row r="1096">
          <cell r="P1096">
            <v>0</v>
          </cell>
          <cell r="R1096">
            <v>0</v>
          </cell>
        </row>
        <row r="1097">
          <cell r="P1097">
            <v>0</v>
          </cell>
          <cell r="R1097">
            <v>0</v>
          </cell>
        </row>
        <row r="1098">
          <cell r="P1098">
            <v>0</v>
          </cell>
          <cell r="R1098">
            <v>0</v>
          </cell>
        </row>
        <row r="1099">
          <cell r="P1099">
            <v>0</v>
          </cell>
          <cell r="R1099">
            <v>0</v>
          </cell>
        </row>
        <row r="1100">
          <cell r="P1100">
            <v>0</v>
          </cell>
          <cell r="R1100">
            <v>0</v>
          </cell>
        </row>
        <row r="1101">
          <cell r="P1101">
            <v>0</v>
          </cell>
          <cell r="R1101">
            <v>0</v>
          </cell>
        </row>
        <row r="1102">
          <cell r="P1102">
            <v>0</v>
          </cell>
          <cell r="R1102">
            <v>0</v>
          </cell>
        </row>
        <row r="1103">
          <cell r="P1103">
            <v>0</v>
          </cell>
          <cell r="R1103">
            <v>0</v>
          </cell>
        </row>
        <row r="1104">
          <cell r="P1104">
            <v>0</v>
          </cell>
          <cell r="R1104">
            <v>0</v>
          </cell>
        </row>
        <row r="1105">
          <cell r="P1105">
            <v>0</v>
          </cell>
          <cell r="R1105">
            <v>0</v>
          </cell>
        </row>
        <row r="1106">
          <cell r="P1106">
            <v>0</v>
          </cell>
          <cell r="R1106">
            <v>0</v>
          </cell>
        </row>
        <row r="1107">
          <cell r="P1107">
            <v>0</v>
          </cell>
          <cell r="R1107">
            <v>0</v>
          </cell>
        </row>
        <row r="1108">
          <cell r="P1108">
            <v>0</v>
          </cell>
          <cell r="R1108">
            <v>0</v>
          </cell>
        </row>
        <row r="1109">
          <cell r="P1109">
            <v>0</v>
          </cell>
          <cell r="R1109">
            <v>0</v>
          </cell>
        </row>
        <row r="1110">
          <cell r="P1110">
            <v>0</v>
          </cell>
          <cell r="R1110">
            <v>0</v>
          </cell>
        </row>
        <row r="1111">
          <cell r="P1111">
            <v>0</v>
          </cell>
          <cell r="R1111">
            <v>0</v>
          </cell>
        </row>
        <row r="1112">
          <cell r="P1112">
            <v>0</v>
          </cell>
          <cell r="R1112">
            <v>0</v>
          </cell>
        </row>
        <row r="1113">
          <cell r="P1113">
            <v>0</v>
          </cell>
          <cell r="R1113">
            <v>0</v>
          </cell>
        </row>
        <row r="1114">
          <cell r="P1114">
            <v>0</v>
          </cell>
          <cell r="R1114">
            <v>0</v>
          </cell>
        </row>
        <row r="1115">
          <cell r="P1115">
            <v>0</v>
          </cell>
          <cell r="R1115">
            <v>0</v>
          </cell>
        </row>
        <row r="1116">
          <cell r="P1116">
            <v>0</v>
          </cell>
          <cell r="R1116">
            <v>0</v>
          </cell>
        </row>
        <row r="1117">
          <cell r="P1117">
            <v>0</v>
          </cell>
          <cell r="R1117">
            <v>0</v>
          </cell>
        </row>
        <row r="1118">
          <cell r="P1118">
            <v>0</v>
          </cell>
          <cell r="R1118">
            <v>0</v>
          </cell>
        </row>
        <row r="1119">
          <cell r="P1119">
            <v>0</v>
          </cell>
          <cell r="R1119">
            <v>0</v>
          </cell>
        </row>
        <row r="1120">
          <cell r="P1120">
            <v>0</v>
          </cell>
          <cell r="R1120">
            <v>0</v>
          </cell>
        </row>
        <row r="1121">
          <cell r="P1121">
            <v>0</v>
          </cell>
          <cell r="R1121">
            <v>0</v>
          </cell>
        </row>
        <row r="1122">
          <cell r="P1122">
            <v>0</v>
          </cell>
          <cell r="R1122">
            <v>0</v>
          </cell>
        </row>
        <row r="1123">
          <cell r="P1123">
            <v>0</v>
          </cell>
          <cell r="R1123">
            <v>0</v>
          </cell>
        </row>
        <row r="1124">
          <cell r="P1124">
            <v>0</v>
          </cell>
          <cell r="R1124">
            <v>0</v>
          </cell>
        </row>
        <row r="1125">
          <cell r="P1125">
            <v>0</v>
          </cell>
          <cell r="R1125">
            <v>0</v>
          </cell>
        </row>
        <row r="1126">
          <cell r="P1126">
            <v>0</v>
          </cell>
          <cell r="R1126">
            <v>0</v>
          </cell>
        </row>
        <row r="1127">
          <cell r="P1127">
            <v>0</v>
          </cell>
          <cell r="R1127">
            <v>0</v>
          </cell>
        </row>
        <row r="1128">
          <cell r="P1128">
            <v>0</v>
          </cell>
          <cell r="R1128">
            <v>0</v>
          </cell>
        </row>
        <row r="1129">
          <cell r="P1129">
            <v>0</v>
          </cell>
          <cell r="R1129">
            <v>0</v>
          </cell>
        </row>
        <row r="1130">
          <cell r="P1130">
            <v>0</v>
          </cell>
          <cell r="R1130">
            <v>0</v>
          </cell>
        </row>
        <row r="1131">
          <cell r="P1131">
            <v>0</v>
          </cell>
          <cell r="R1131">
            <v>0</v>
          </cell>
        </row>
        <row r="1132">
          <cell r="P1132">
            <v>0</v>
          </cell>
          <cell r="R1132">
            <v>0</v>
          </cell>
        </row>
        <row r="1133">
          <cell r="P1133">
            <v>0</v>
          </cell>
          <cell r="R1133">
            <v>0</v>
          </cell>
        </row>
        <row r="1134">
          <cell r="P1134">
            <v>0</v>
          </cell>
          <cell r="R1134">
            <v>0</v>
          </cell>
        </row>
        <row r="1135">
          <cell r="P1135">
            <v>0</v>
          </cell>
          <cell r="R1135">
            <v>0</v>
          </cell>
        </row>
        <row r="1136">
          <cell r="P1136">
            <v>0</v>
          </cell>
          <cell r="R1136">
            <v>0</v>
          </cell>
        </row>
        <row r="1137">
          <cell r="P1137">
            <v>0</v>
          </cell>
          <cell r="R1137">
            <v>0</v>
          </cell>
        </row>
        <row r="1138">
          <cell r="P1138">
            <v>0</v>
          </cell>
          <cell r="R1138">
            <v>0</v>
          </cell>
        </row>
        <row r="1139">
          <cell r="P1139">
            <v>0</v>
          </cell>
          <cell r="R1139">
            <v>0</v>
          </cell>
        </row>
        <row r="1140">
          <cell r="P1140">
            <v>0</v>
          </cell>
          <cell r="R1140">
            <v>0</v>
          </cell>
        </row>
        <row r="1141">
          <cell r="P1141">
            <v>0</v>
          </cell>
          <cell r="R1141">
            <v>0</v>
          </cell>
        </row>
        <row r="1142">
          <cell r="P1142">
            <v>0</v>
          </cell>
          <cell r="R1142">
            <v>0</v>
          </cell>
        </row>
        <row r="1143">
          <cell r="P1143">
            <v>0</v>
          </cell>
          <cell r="R1143">
            <v>0</v>
          </cell>
        </row>
        <row r="1144">
          <cell r="P1144">
            <v>0</v>
          </cell>
          <cell r="R1144">
            <v>0</v>
          </cell>
        </row>
        <row r="1145">
          <cell r="P1145">
            <v>0</v>
          </cell>
          <cell r="R1145">
            <v>0</v>
          </cell>
        </row>
        <row r="1146">
          <cell r="P1146">
            <v>0</v>
          </cell>
          <cell r="R1146">
            <v>0</v>
          </cell>
        </row>
        <row r="1147">
          <cell r="P1147">
            <v>0</v>
          </cell>
          <cell r="R1147">
            <v>0</v>
          </cell>
        </row>
        <row r="1148">
          <cell r="P1148">
            <v>0</v>
          </cell>
          <cell r="R1148">
            <v>0</v>
          </cell>
        </row>
        <row r="1149">
          <cell r="P1149">
            <v>0</v>
          </cell>
          <cell r="R1149">
            <v>0</v>
          </cell>
        </row>
        <row r="1150">
          <cell r="P1150">
            <v>0</v>
          </cell>
          <cell r="R1150">
            <v>0</v>
          </cell>
        </row>
        <row r="1151">
          <cell r="P1151">
            <v>0</v>
          </cell>
          <cell r="R1151">
            <v>0</v>
          </cell>
        </row>
        <row r="1152">
          <cell r="P1152">
            <v>0</v>
          </cell>
          <cell r="R1152">
            <v>0</v>
          </cell>
        </row>
        <row r="1153">
          <cell r="P1153">
            <v>0</v>
          </cell>
          <cell r="R1153">
            <v>0</v>
          </cell>
        </row>
        <row r="1154">
          <cell r="P1154">
            <v>0</v>
          </cell>
          <cell r="R1154">
            <v>0</v>
          </cell>
        </row>
        <row r="1155">
          <cell r="P1155">
            <v>0</v>
          </cell>
          <cell r="R1155">
            <v>0</v>
          </cell>
        </row>
        <row r="1156">
          <cell r="P1156">
            <v>0</v>
          </cell>
          <cell r="R1156">
            <v>0</v>
          </cell>
        </row>
        <row r="1157">
          <cell r="P1157">
            <v>0</v>
          </cell>
          <cell r="R1157">
            <v>0</v>
          </cell>
        </row>
        <row r="1158">
          <cell r="P1158">
            <v>0</v>
          </cell>
          <cell r="R1158">
            <v>0</v>
          </cell>
        </row>
        <row r="1159">
          <cell r="P1159">
            <v>0</v>
          </cell>
          <cell r="R1159">
            <v>0</v>
          </cell>
        </row>
        <row r="1160">
          <cell r="P1160">
            <v>0</v>
          </cell>
          <cell r="R1160">
            <v>0</v>
          </cell>
        </row>
        <row r="1161">
          <cell r="P1161">
            <v>0</v>
          </cell>
          <cell r="R1161">
            <v>0</v>
          </cell>
        </row>
        <row r="1162">
          <cell r="P1162">
            <v>0</v>
          </cell>
          <cell r="R1162">
            <v>0</v>
          </cell>
        </row>
        <row r="1163">
          <cell r="P1163">
            <v>0</v>
          </cell>
          <cell r="R1163">
            <v>0</v>
          </cell>
        </row>
        <row r="1164">
          <cell r="P1164">
            <v>0</v>
          </cell>
          <cell r="R1164">
            <v>0</v>
          </cell>
        </row>
        <row r="1165">
          <cell r="P1165">
            <v>0</v>
          </cell>
          <cell r="R1165">
            <v>0</v>
          </cell>
        </row>
        <row r="1166">
          <cell r="P1166">
            <v>0</v>
          </cell>
          <cell r="R1166">
            <v>0</v>
          </cell>
        </row>
        <row r="1167">
          <cell r="P1167">
            <v>0</v>
          </cell>
          <cell r="R1167">
            <v>0</v>
          </cell>
        </row>
        <row r="1168">
          <cell r="P1168">
            <v>0</v>
          </cell>
          <cell r="R1168">
            <v>0</v>
          </cell>
        </row>
        <row r="1169">
          <cell r="P1169">
            <v>0</v>
          </cell>
          <cell r="R1169">
            <v>0</v>
          </cell>
        </row>
        <row r="1170">
          <cell r="P1170">
            <v>0</v>
          </cell>
          <cell r="R1170">
            <v>0</v>
          </cell>
        </row>
        <row r="1171">
          <cell r="P1171">
            <v>0</v>
          </cell>
          <cell r="R1171">
            <v>0</v>
          </cell>
        </row>
        <row r="1172">
          <cell r="P1172">
            <v>0</v>
          </cell>
          <cell r="R1172">
            <v>0</v>
          </cell>
        </row>
        <row r="1173">
          <cell r="P1173">
            <v>0</v>
          </cell>
          <cell r="R1173">
            <v>0</v>
          </cell>
        </row>
        <row r="1174">
          <cell r="P1174">
            <v>0</v>
          </cell>
          <cell r="R1174">
            <v>0</v>
          </cell>
        </row>
        <row r="1175">
          <cell r="P1175">
            <v>0</v>
          </cell>
          <cell r="R1175">
            <v>0</v>
          </cell>
        </row>
        <row r="1176">
          <cell r="P1176">
            <v>0</v>
          </cell>
          <cell r="R1176">
            <v>0</v>
          </cell>
        </row>
        <row r="1177">
          <cell r="P1177">
            <v>0</v>
          </cell>
          <cell r="R1177">
            <v>0</v>
          </cell>
        </row>
        <row r="1178">
          <cell r="P1178">
            <v>0</v>
          </cell>
          <cell r="R1178">
            <v>0</v>
          </cell>
        </row>
        <row r="1179">
          <cell r="P1179">
            <v>0</v>
          </cell>
          <cell r="R1179">
            <v>0</v>
          </cell>
        </row>
        <row r="1180">
          <cell r="P1180">
            <v>0</v>
          </cell>
          <cell r="R1180">
            <v>0</v>
          </cell>
        </row>
        <row r="1181">
          <cell r="P1181">
            <v>0</v>
          </cell>
          <cell r="R1181">
            <v>0</v>
          </cell>
        </row>
        <row r="1182">
          <cell r="P1182">
            <v>0</v>
          </cell>
          <cell r="R1182">
            <v>0</v>
          </cell>
        </row>
        <row r="1183">
          <cell r="P1183">
            <v>0</v>
          </cell>
          <cell r="R1183">
            <v>0</v>
          </cell>
        </row>
        <row r="1184">
          <cell r="P1184">
            <v>0</v>
          </cell>
          <cell r="R1184">
            <v>0</v>
          </cell>
        </row>
        <row r="1185">
          <cell r="P1185">
            <v>0</v>
          </cell>
          <cell r="R1185">
            <v>0</v>
          </cell>
        </row>
        <row r="1186">
          <cell r="P1186">
            <v>0</v>
          </cell>
          <cell r="R1186">
            <v>0</v>
          </cell>
        </row>
        <row r="1187">
          <cell r="P1187">
            <v>0</v>
          </cell>
          <cell r="R1187">
            <v>0</v>
          </cell>
        </row>
        <row r="1188">
          <cell r="P1188">
            <v>0</v>
          </cell>
          <cell r="R1188">
            <v>0</v>
          </cell>
        </row>
        <row r="1189">
          <cell r="P1189">
            <v>0</v>
          </cell>
          <cell r="R1189">
            <v>0</v>
          </cell>
        </row>
        <row r="1190">
          <cell r="P1190">
            <v>0</v>
          </cell>
          <cell r="R1190">
            <v>0</v>
          </cell>
        </row>
        <row r="1191">
          <cell r="P1191">
            <v>0</v>
          </cell>
          <cell r="R1191">
            <v>0</v>
          </cell>
        </row>
        <row r="1192">
          <cell r="P1192">
            <v>0</v>
          </cell>
          <cell r="R1192">
            <v>0</v>
          </cell>
        </row>
        <row r="1193">
          <cell r="P1193">
            <v>0</v>
          </cell>
          <cell r="R1193">
            <v>0</v>
          </cell>
        </row>
        <row r="1194">
          <cell r="P1194">
            <v>0</v>
          </cell>
          <cell r="R1194">
            <v>0</v>
          </cell>
        </row>
        <row r="1195">
          <cell r="P1195">
            <v>0</v>
          </cell>
          <cell r="R1195">
            <v>0</v>
          </cell>
        </row>
        <row r="1196">
          <cell r="P1196">
            <v>0</v>
          </cell>
          <cell r="R1196">
            <v>0</v>
          </cell>
        </row>
        <row r="1197">
          <cell r="P1197">
            <v>0</v>
          </cell>
          <cell r="R1197">
            <v>0</v>
          </cell>
        </row>
        <row r="1198">
          <cell r="P1198">
            <v>0</v>
          </cell>
          <cell r="R1198">
            <v>0</v>
          </cell>
        </row>
        <row r="1199">
          <cell r="P1199">
            <v>0</v>
          </cell>
          <cell r="R1199">
            <v>0</v>
          </cell>
        </row>
        <row r="1200">
          <cell r="P1200">
            <v>0</v>
          </cell>
          <cell r="R1200">
            <v>0</v>
          </cell>
        </row>
        <row r="1201">
          <cell r="P1201">
            <v>0</v>
          </cell>
          <cell r="R1201">
            <v>0</v>
          </cell>
        </row>
        <row r="1202">
          <cell r="P1202">
            <v>0</v>
          </cell>
          <cell r="R1202">
            <v>0</v>
          </cell>
        </row>
        <row r="1203">
          <cell r="P1203">
            <v>0</v>
          </cell>
          <cell r="R1203">
            <v>0</v>
          </cell>
        </row>
        <row r="1204">
          <cell r="P1204">
            <v>0</v>
          </cell>
          <cell r="R1204">
            <v>0</v>
          </cell>
        </row>
        <row r="1205">
          <cell r="P1205">
            <v>0</v>
          </cell>
          <cell r="R1205">
            <v>0</v>
          </cell>
        </row>
        <row r="1206">
          <cell r="P1206">
            <v>0</v>
          </cell>
          <cell r="R1206">
            <v>0</v>
          </cell>
        </row>
        <row r="1207">
          <cell r="P1207">
            <v>0</v>
          </cell>
          <cell r="R1207">
            <v>0</v>
          </cell>
        </row>
        <row r="1208">
          <cell r="P1208">
            <v>0</v>
          </cell>
          <cell r="R1208">
            <v>0</v>
          </cell>
        </row>
        <row r="1209">
          <cell r="P1209">
            <v>0</v>
          </cell>
          <cell r="R1209">
            <v>0</v>
          </cell>
        </row>
        <row r="1210">
          <cell r="P1210">
            <v>0</v>
          </cell>
          <cell r="R1210">
            <v>0</v>
          </cell>
        </row>
        <row r="1211">
          <cell r="P1211">
            <v>0</v>
          </cell>
          <cell r="R1211">
            <v>0</v>
          </cell>
        </row>
        <row r="1212">
          <cell r="P1212">
            <v>0</v>
          </cell>
          <cell r="R1212">
            <v>0</v>
          </cell>
        </row>
        <row r="1213">
          <cell r="P1213">
            <v>0</v>
          </cell>
          <cell r="R1213">
            <v>0</v>
          </cell>
        </row>
        <row r="1214">
          <cell r="P1214">
            <v>0</v>
          </cell>
          <cell r="R1214">
            <v>0</v>
          </cell>
        </row>
        <row r="1215">
          <cell r="P1215">
            <v>0</v>
          </cell>
          <cell r="R1215">
            <v>0</v>
          </cell>
        </row>
        <row r="1216">
          <cell r="P1216">
            <v>0</v>
          </cell>
          <cell r="R1216">
            <v>0</v>
          </cell>
        </row>
        <row r="1217">
          <cell r="P1217">
            <v>0</v>
          </cell>
          <cell r="R1217">
            <v>0</v>
          </cell>
        </row>
        <row r="1218">
          <cell r="P1218">
            <v>0</v>
          </cell>
          <cell r="R1218">
            <v>0</v>
          </cell>
        </row>
        <row r="1219">
          <cell r="P1219">
            <v>0</v>
          </cell>
          <cell r="R1219">
            <v>0</v>
          </cell>
        </row>
        <row r="1220">
          <cell r="P1220">
            <v>0</v>
          </cell>
          <cell r="R1220">
            <v>0</v>
          </cell>
        </row>
        <row r="1221">
          <cell r="P1221">
            <v>0</v>
          </cell>
          <cell r="R1221">
            <v>0</v>
          </cell>
        </row>
        <row r="1222">
          <cell r="P1222">
            <v>0</v>
          </cell>
          <cell r="R1222">
            <v>0</v>
          </cell>
        </row>
        <row r="1223">
          <cell r="P1223">
            <v>0</v>
          </cell>
          <cell r="R1223">
            <v>0</v>
          </cell>
        </row>
        <row r="1224">
          <cell r="P1224">
            <v>0</v>
          </cell>
          <cell r="R1224">
            <v>0</v>
          </cell>
        </row>
        <row r="1225">
          <cell r="P1225">
            <v>0</v>
          </cell>
          <cell r="R1225">
            <v>0</v>
          </cell>
        </row>
        <row r="1226">
          <cell r="P1226">
            <v>0</v>
          </cell>
          <cell r="R1226">
            <v>0</v>
          </cell>
        </row>
        <row r="1227">
          <cell r="P1227">
            <v>0</v>
          </cell>
          <cell r="R1227">
            <v>0</v>
          </cell>
        </row>
        <row r="1228">
          <cell r="P1228">
            <v>0</v>
          </cell>
          <cell r="R1228">
            <v>0</v>
          </cell>
        </row>
        <row r="1229">
          <cell r="P1229">
            <v>0</v>
          </cell>
          <cell r="R1229">
            <v>0</v>
          </cell>
        </row>
        <row r="1230">
          <cell r="P1230">
            <v>0</v>
          </cell>
          <cell r="R1230">
            <v>0</v>
          </cell>
        </row>
        <row r="1231">
          <cell r="P1231">
            <v>0</v>
          </cell>
          <cell r="R1231">
            <v>0</v>
          </cell>
        </row>
        <row r="1232">
          <cell r="P1232">
            <v>0</v>
          </cell>
          <cell r="R1232">
            <v>0</v>
          </cell>
        </row>
        <row r="1233">
          <cell r="P1233">
            <v>0</v>
          </cell>
          <cell r="R1233">
            <v>0</v>
          </cell>
        </row>
        <row r="1234">
          <cell r="P1234">
            <v>0</v>
          </cell>
          <cell r="R1234">
            <v>0</v>
          </cell>
        </row>
        <row r="1235">
          <cell r="P1235">
            <v>0</v>
          </cell>
          <cell r="R1235">
            <v>0</v>
          </cell>
        </row>
        <row r="1236">
          <cell r="P1236">
            <v>0</v>
          </cell>
          <cell r="R1236">
            <v>0</v>
          </cell>
        </row>
        <row r="1237">
          <cell r="P1237">
            <v>0</v>
          </cell>
          <cell r="R1237">
            <v>0</v>
          </cell>
        </row>
        <row r="1238">
          <cell r="P1238">
            <v>0</v>
          </cell>
          <cell r="R1238">
            <v>0</v>
          </cell>
        </row>
        <row r="1239">
          <cell r="P1239">
            <v>0</v>
          </cell>
          <cell r="R1239">
            <v>0</v>
          </cell>
        </row>
        <row r="1240">
          <cell r="P1240">
            <v>0</v>
          </cell>
          <cell r="R1240">
            <v>0</v>
          </cell>
        </row>
        <row r="1291">
          <cell r="J1291" t="str">
            <v>A</v>
          </cell>
          <cell r="M1291">
            <v>4.4999999999999998E-2</v>
          </cell>
        </row>
        <row r="1292">
          <cell r="J1292" t="str">
            <v>B</v>
          </cell>
          <cell r="M1292">
            <v>0.1</v>
          </cell>
        </row>
        <row r="1293">
          <cell r="J1293" t="str">
            <v>C</v>
          </cell>
          <cell r="M1293">
            <v>7.4999999999999997E-2</v>
          </cell>
        </row>
        <row r="1294">
          <cell r="J1294" t="str">
            <v>D</v>
          </cell>
          <cell r="M1294">
            <v>0.02</v>
          </cell>
        </row>
        <row r="1295">
          <cell r="J1295" t="str">
            <v>S</v>
          </cell>
          <cell r="M1295">
            <v>2.5000000000000001E-2</v>
          </cell>
        </row>
        <row r="1296">
          <cell r="J1296" t="str">
            <v>-</v>
          </cell>
          <cell r="M1296">
            <v>0</v>
          </cell>
        </row>
        <row r="1297">
          <cell r="J1297" t="str">
            <v>ADSL</v>
          </cell>
          <cell r="M1297">
            <v>0.03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PRICE SUMMARY"/>
      <sheetName val="pr1"/>
      <sheetName val="pr2"/>
      <sheetName val="pr5"/>
      <sheetName val="pr6"/>
      <sheetName val="pr7"/>
      <sheetName val="pr8"/>
      <sheetName val="pr9"/>
      <sheetName val="pr10"/>
      <sheetName val="pr21"/>
      <sheetName val="pr22"/>
      <sheetName val="pr25"/>
      <sheetName val="pr26"/>
      <sheetName val="pr27"/>
      <sheetName val="pr28"/>
      <sheetName val="pr29"/>
      <sheetName val="pr30"/>
      <sheetName val="SMA1000"/>
      <sheetName val="SMA2100-2400"/>
      <sheetName val="SMA16"/>
      <sheetName val="MSH51C"/>
      <sheetName val="MSH64"/>
      <sheetName val="MSH53c"/>
      <sheetName val="MSH63 "/>
      <sheetName val="Ordenes Chile"/>
      <sheetName val="Summary(CIF)"/>
      <sheetName val="Equip Di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">
          <cell r="D2" t="str">
            <v>LISTINO PREZZI MARCONI / SIEMENS</v>
          </cell>
        </row>
        <row r="4">
          <cell r="A4" t="str">
            <v>POS</v>
          </cell>
          <cell r="B4" t="str">
            <v>ARTICOLO</v>
          </cell>
          <cell r="D4" t="str">
            <v xml:space="preserve"> Apparato SDH  ADM16/4</v>
          </cell>
          <cell r="E4" t="str">
            <v>Q.tà</v>
          </cell>
          <cell r="F4" t="str">
            <v>NOTE</v>
          </cell>
          <cell r="G4" t="str">
            <v>Rel</v>
          </cell>
          <cell r="H4" t="str">
            <v>Fornitura</v>
          </cell>
          <cell r="I4" t="str">
            <v>Fornitura</v>
          </cell>
          <cell r="J4" t="str">
            <v>Installazione</v>
          </cell>
        </row>
        <row r="5">
          <cell r="D5" t="str">
            <v>MSH51C STM-16 APPARATO DOPPIO ADM/TERMINALE/RIGENERATORE</v>
          </cell>
          <cell r="E5" t="str">
            <v>figli</v>
          </cell>
          <cell r="G5" t="str">
            <v>(R)</v>
          </cell>
          <cell r="H5" t="str">
            <v>base</v>
          </cell>
          <cell r="I5" t="str">
            <v>scorte</v>
          </cell>
          <cell r="J5" t="str">
            <v>Install.</v>
          </cell>
          <cell r="K5" t="str">
            <v>Collaudo</v>
          </cell>
          <cell r="L5" t="str">
            <v>Trasporto</v>
          </cell>
          <cell r="M5" t="str">
            <v>Recupero</v>
          </cell>
          <cell r="N5" t="str">
            <v>Conf. A</v>
          </cell>
          <cell r="O5" t="str">
            <v>Conf. B</v>
          </cell>
          <cell r="P5" t="str">
            <v>Conf. VALCA</v>
          </cell>
        </row>
        <row r="6">
          <cell r="H6" t="str">
            <v>(Klire)</v>
          </cell>
          <cell r="I6" t="str">
            <v>(Klire)</v>
          </cell>
          <cell r="J6" t="str">
            <v>(Klire)</v>
          </cell>
          <cell r="K6" t="str">
            <v>(Klire)</v>
          </cell>
          <cell r="L6" t="str">
            <v>(Klire)</v>
          </cell>
          <cell r="M6" t="str">
            <v>(Klire)</v>
          </cell>
        </row>
        <row r="7">
          <cell r="D7" t="str">
            <v>TELAIO</v>
          </cell>
        </row>
        <row r="8">
          <cell r="A8">
            <v>1</v>
          </cell>
          <cell r="B8" t="str">
            <v>494-6593/01</v>
          </cell>
          <cell r="D8" t="str">
            <v>Telaio</v>
          </cell>
          <cell r="G8" t="str">
            <v>4.1</v>
          </cell>
          <cell r="H8">
            <v>760</v>
          </cell>
          <cell r="I8">
            <v>0</v>
          </cell>
          <cell r="J8">
            <v>195.05</v>
          </cell>
          <cell r="K8">
            <v>45.65</v>
          </cell>
          <cell r="L8">
            <v>208.05</v>
          </cell>
          <cell r="M8">
            <v>213.75</v>
          </cell>
        </row>
        <row r="9">
          <cell r="C9" t="str">
            <v>490-4561/01</v>
          </cell>
          <cell r="D9" t="str">
            <v>Telaio cablato (2200 x 600 x 300 mm)</v>
          </cell>
          <cell r="E9">
            <v>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C10" t="str">
            <v>490-8225/04</v>
          </cell>
          <cell r="D10" t="str">
            <v>Unità allarmi telaio Tipo B</v>
          </cell>
          <cell r="E10">
            <v>1</v>
          </cell>
          <cell r="H10">
            <v>0</v>
          </cell>
          <cell r="I10">
            <v>220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490-3261/01</v>
          </cell>
          <cell r="D11" t="str">
            <v>Kit installazione telaio</v>
          </cell>
          <cell r="E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D13" t="str">
            <v>SDH PARTI COMUNI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>
            <v>2</v>
          </cell>
          <cell r="B14" t="str">
            <v>494-6544/92</v>
          </cell>
          <cell r="D14" t="str">
            <v>Complesso parti comuni ADM-16</v>
          </cell>
          <cell r="G14" t="str">
            <v>4.1</v>
          </cell>
          <cell r="H14">
            <v>8062.3871999999992</v>
          </cell>
          <cell r="I14">
            <v>0</v>
          </cell>
          <cell r="J14">
            <v>441.56</v>
          </cell>
          <cell r="K14">
            <v>271.41000000000003</v>
          </cell>
          <cell r="L14">
            <v>120.65</v>
          </cell>
          <cell r="M14">
            <v>598.5</v>
          </cell>
          <cell r="N14">
            <v>1</v>
          </cell>
          <cell r="O14">
            <v>1</v>
          </cell>
          <cell r="P14">
            <v>1</v>
          </cell>
        </row>
        <row r="15">
          <cell r="C15" t="str">
            <v>490-9939/01</v>
          </cell>
          <cell r="D15" t="str">
            <v>Subtelaio assemblato</v>
          </cell>
          <cell r="E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 t="str">
            <v>490-8465/01</v>
          </cell>
          <cell r="D16" t="str">
            <v>Kit installazione subtelaio</v>
          </cell>
          <cell r="E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C17" t="str">
            <v>490-9630/02</v>
          </cell>
          <cell r="D17" t="str">
            <v>Unita` End of shelf</v>
          </cell>
          <cell r="E17">
            <v>1</v>
          </cell>
          <cell r="H17">
            <v>0</v>
          </cell>
          <cell r="I17">
            <v>749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C18" t="str">
            <v>491-0666/01</v>
          </cell>
          <cell r="D18" t="str">
            <v>Unita` matrice</v>
          </cell>
          <cell r="E18">
            <v>1</v>
          </cell>
          <cell r="H18">
            <v>0</v>
          </cell>
          <cell r="I18">
            <v>2748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C19" t="str">
            <v>490-7953/02</v>
          </cell>
          <cell r="D19" t="str">
            <v>Unita` di controllo e comunicazione con Int.Q (tipo B)</v>
          </cell>
          <cell r="E19">
            <v>1</v>
          </cell>
          <cell r="H19">
            <v>0</v>
          </cell>
          <cell r="I19">
            <v>2128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C20" t="str">
            <v>490-5385/01</v>
          </cell>
          <cell r="D20" t="str">
            <v>Modulo I/F per POWER SUPPLY</v>
          </cell>
          <cell r="E20">
            <v>1</v>
          </cell>
          <cell r="H20">
            <v>0</v>
          </cell>
          <cell r="I20">
            <v>195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C21" t="str">
            <v>490-5386/01</v>
          </cell>
          <cell r="D21" t="str">
            <v>Modulo I/F per allarmi e F I/f</v>
          </cell>
          <cell r="E21">
            <v>1</v>
          </cell>
          <cell r="H21">
            <v>0</v>
          </cell>
          <cell r="I21">
            <v>128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C22" t="str">
            <v>490-5743/01</v>
          </cell>
          <cell r="D22" t="str">
            <v>Modulo I/F per POWER SUPPLY e Q (UTP ETHERNET)</v>
          </cell>
          <cell r="E22">
            <v>1</v>
          </cell>
          <cell r="H22">
            <v>0</v>
          </cell>
          <cell r="I22">
            <v>138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 t="str">
            <v>490-5389/01</v>
          </cell>
          <cell r="D23" t="str">
            <v>Modulo interfaccia sincronizzazione</v>
          </cell>
          <cell r="E23">
            <v>1</v>
          </cell>
          <cell r="H23">
            <v>0</v>
          </cell>
          <cell r="I23">
            <v>201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C24" t="str">
            <v>490-8489/02</v>
          </cell>
          <cell r="D24" t="str">
            <v>Set connettori per subtelaio</v>
          </cell>
          <cell r="E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C25" t="str">
            <v>490-4771/01</v>
          </cell>
          <cell r="D25" t="str">
            <v>Copertura sostitutiva modulo interfaccia</v>
          </cell>
          <cell r="E25">
            <v>2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D26" t="str">
            <v>PROTEZIONE MATRICE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>
            <v>3</v>
          </cell>
          <cell r="B27" t="str">
            <v>491-0666/01</v>
          </cell>
          <cell r="D27" t="str">
            <v>Unita` matrice</v>
          </cell>
          <cell r="G27" t="str">
            <v>4.1</v>
          </cell>
          <cell r="H27">
            <v>2220.0192000000002</v>
          </cell>
          <cell r="I27">
            <v>0</v>
          </cell>
          <cell r="J27">
            <v>29.05</v>
          </cell>
          <cell r="K27">
            <v>59.76</v>
          </cell>
          <cell r="L27">
            <v>70.3</v>
          </cell>
          <cell r="M27">
            <v>64.599999999999994</v>
          </cell>
          <cell r="N27">
            <v>1</v>
          </cell>
          <cell r="O27">
            <v>1</v>
          </cell>
        </row>
        <row r="28">
          <cell r="A28">
            <v>4</v>
          </cell>
          <cell r="B28" t="str">
            <v>490-9938/01</v>
          </cell>
          <cell r="D28" t="str">
            <v>Copertura sostitutiva unita' matrice</v>
          </cell>
          <cell r="G28" t="str">
            <v>4.1</v>
          </cell>
          <cell r="H28">
            <v>12.902399999999998</v>
          </cell>
          <cell r="I28">
            <v>0</v>
          </cell>
          <cell r="J28">
            <v>9.9600000000000009</v>
          </cell>
          <cell r="K28">
            <v>0</v>
          </cell>
          <cell r="L28">
            <v>3.8</v>
          </cell>
          <cell r="M28">
            <v>21.85</v>
          </cell>
          <cell r="N28">
            <v>0</v>
          </cell>
          <cell r="O28">
            <v>0</v>
          </cell>
          <cell r="P28">
            <v>0</v>
          </cell>
        </row>
        <row r="29">
          <cell r="D29" t="str">
            <v>UNITA' DI LINEA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>
            <v>5</v>
          </cell>
          <cell r="B30" t="str">
            <v>490-8482/02</v>
          </cell>
          <cell r="D30" t="str">
            <v>Unita' porta ottica STM-16 S-16.1</v>
          </cell>
          <cell r="G30" t="str">
            <v>4.1</v>
          </cell>
          <cell r="H30">
            <v>5789.9520000000002</v>
          </cell>
          <cell r="I30">
            <v>0</v>
          </cell>
          <cell r="J30">
            <v>183.43</v>
          </cell>
          <cell r="K30">
            <v>196.71</v>
          </cell>
          <cell r="L30">
            <v>85.5</v>
          </cell>
          <cell r="M30">
            <v>128.25</v>
          </cell>
        </row>
        <row r="31">
          <cell r="A31">
            <v>6</v>
          </cell>
          <cell r="B31" t="str">
            <v>490-8483/02</v>
          </cell>
          <cell r="D31" t="str">
            <v>Unita' porta ottica STM-16 L-16.1</v>
          </cell>
          <cell r="G31" t="str">
            <v>4.1</v>
          </cell>
          <cell r="H31">
            <v>7435.8143999999993</v>
          </cell>
          <cell r="I31">
            <v>0</v>
          </cell>
          <cell r="J31">
            <v>183.43</v>
          </cell>
          <cell r="K31">
            <v>196.71</v>
          </cell>
          <cell r="L31">
            <v>85.5</v>
          </cell>
          <cell r="M31">
            <v>128.25</v>
          </cell>
          <cell r="N31">
            <v>2</v>
          </cell>
        </row>
        <row r="32">
          <cell r="A32">
            <v>7</v>
          </cell>
          <cell r="B32" t="str">
            <v>490-8484/02</v>
          </cell>
          <cell r="D32" t="str">
            <v>Unita' porta ottica STM-16 L-16.2/L-16.3</v>
          </cell>
          <cell r="G32" t="str">
            <v>4.1</v>
          </cell>
          <cell r="H32">
            <v>8601.0624000000007</v>
          </cell>
          <cell r="I32">
            <v>0</v>
          </cell>
          <cell r="J32">
            <v>183.43</v>
          </cell>
          <cell r="K32">
            <v>196.71</v>
          </cell>
          <cell r="L32">
            <v>85.5</v>
          </cell>
          <cell r="M32">
            <v>128.25</v>
          </cell>
          <cell r="N32">
            <v>2</v>
          </cell>
          <cell r="O32">
            <v>2</v>
          </cell>
          <cell r="P32">
            <v>2</v>
          </cell>
        </row>
        <row r="33">
          <cell r="A33">
            <v>8</v>
          </cell>
          <cell r="B33" t="str">
            <v>490-8755/02</v>
          </cell>
          <cell r="D33" t="str">
            <v>Unita' porta ottica STM-16 JE-16.2/JE-16.3</v>
          </cell>
          <cell r="G33" t="str">
            <v>4.1</v>
          </cell>
          <cell r="H33">
            <v>11551.68</v>
          </cell>
          <cell r="I33">
            <v>0</v>
          </cell>
          <cell r="J33">
            <v>183.43</v>
          </cell>
          <cell r="K33">
            <v>196.71</v>
          </cell>
          <cell r="L33">
            <v>85.5</v>
          </cell>
          <cell r="M33">
            <v>128.25</v>
          </cell>
        </row>
        <row r="34">
          <cell r="A34">
            <v>9</v>
          </cell>
          <cell r="B34" t="str">
            <v>490-9198/02</v>
          </cell>
          <cell r="D34" t="str">
            <v>Unita' porta ottica STM-16 L-16.2 per booster.</v>
          </cell>
          <cell r="G34" t="str">
            <v>4.1</v>
          </cell>
          <cell r="H34">
            <v>9609.0624000000007</v>
          </cell>
          <cell r="I34">
            <v>0</v>
          </cell>
          <cell r="J34">
            <v>183.43</v>
          </cell>
          <cell r="K34">
            <v>196.71</v>
          </cell>
          <cell r="L34">
            <v>85.5</v>
          </cell>
          <cell r="M34">
            <v>128.25</v>
          </cell>
        </row>
        <row r="35">
          <cell r="A35">
            <v>10</v>
          </cell>
          <cell r="B35" t="str">
            <v>491-1558/xx</v>
          </cell>
          <cell r="D35" t="str">
            <v>Unita' porta ottica STM-16 per apparato WDM esterno (50 Ghz)</v>
          </cell>
          <cell r="F35" t="str">
            <v>a</v>
          </cell>
          <cell r="G35" t="str">
            <v>4.1</v>
          </cell>
          <cell r="H35">
            <v>16431.206399999999</v>
          </cell>
          <cell r="I35">
            <v>0</v>
          </cell>
          <cell r="J35">
            <v>183.43</v>
          </cell>
          <cell r="K35">
            <v>196.71</v>
          </cell>
          <cell r="L35">
            <v>85.5</v>
          </cell>
          <cell r="M35">
            <v>128.25</v>
          </cell>
        </row>
        <row r="36">
          <cell r="A36">
            <v>11</v>
          </cell>
          <cell r="B36" t="str">
            <v>491-1558/xx</v>
          </cell>
          <cell r="D36" t="str">
            <v>Unita' porta ottica STM-16 per apparato WDM esterno</v>
          </cell>
          <cell r="F36" t="str">
            <v>b</v>
          </cell>
          <cell r="G36" t="str">
            <v>4.1</v>
          </cell>
          <cell r="H36">
            <v>12940.300800000001</v>
          </cell>
          <cell r="I36">
            <v>0</v>
          </cell>
          <cell r="J36">
            <v>183.43</v>
          </cell>
          <cell r="K36">
            <v>196.71</v>
          </cell>
          <cell r="L36">
            <v>85.5</v>
          </cell>
          <cell r="M36">
            <v>128.25</v>
          </cell>
        </row>
        <row r="37">
          <cell r="A37">
            <v>12</v>
          </cell>
          <cell r="B37" t="str">
            <v>490-9190/02</v>
          </cell>
          <cell r="D37" t="str">
            <v>Unita' porta ottica L-16.2 (SC) per Boosters (tipo A)</v>
          </cell>
          <cell r="G37" t="str">
            <v>4.1</v>
          </cell>
          <cell r="H37">
            <v>9609.0624000000007</v>
          </cell>
          <cell r="I37">
            <v>0</v>
          </cell>
          <cell r="J37">
            <v>183.43</v>
          </cell>
          <cell r="K37">
            <v>196.71</v>
          </cell>
          <cell r="L37">
            <v>85.5</v>
          </cell>
          <cell r="M37">
            <v>128.25</v>
          </cell>
        </row>
        <row r="38">
          <cell r="A38">
            <v>13</v>
          </cell>
          <cell r="B38" t="str">
            <v>491-1558/09</v>
          </cell>
          <cell r="D38" t="str">
            <v>Unita' porta ottica L-16.2 (SC) per Preamplificatore (tipo B)</v>
          </cell>
          <cell r="G38" t="str">
            <v>4.1</v>
          </cell>
          <cell r="H38">
            <v>12940.300800000001</v>
          </cell>
          <cell r="I38">
            <v>0</v>
          </cell>
          <cell r="J38">
            <v>183.43</v>
          </cell>
          <cell r="K38">
            <v>196.71</v>
          </cell>
          <cell r="L38">
            <v>85.5</v>
          </cell>
          <cell r="M38">
            <v>128.25</v>
          </cell>
        </row>
        <row r="39">
          <cell r="A39">
            <v>14</v>
          </cell>
          <cell r="B39" t="str">
            <v>490-4769/01</v>
          </cell>
          <cell r="D39" t="str">
            <v>Copertura sostitutiva unita' linea (MSH51C)</v>
          </cell>
          <cell r="G39" t="str">
            <v>4.1</v>
          </cell>
          <cell r="H39">
            <v>12.096</v>
          </cell>
          <cell r="I39">
            <v>0</v>
          </cell>
          <cell r="J39">
            <v>9.9600000000000009</v>
          </cell>
          <cell r="K39">
            <v>0</v>
          </cell>
          <cell r="L39">
            <v>3.8</v>
          </cell>
          <cell r="M39">
            <v>21.85</v>
          </cell>
          <cell r="N39">
            <v>0</v>
          </cell>
          <cell r="O39">
            <v>2</v>
          </cell>
          <cell r="P39">
            <v>2</v>
          </cell>
        </row>
        <row r="40">
          <cell r="D40" t="str">
            <v>UNITA' WDM INTEGRATO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>
            <v>15</v>
          </cell>
          <cell r="B41" t="str">
            <v>491-2713/02</v>
          </cell>
          <cell r="D41" t="str">
            <v>Unita' MUX/DEMUX 2 Canali WDM BIDIREZIONALE (FC) EST (TYPE 2)</v>
          </cell>
          <cell r="G41" t="str">
            <v>4.1</v>
          </cell>
          <cell r="H41">
            <v>10423.526399999999</v>
          </cell>
          <cell r="I41">
            <v>0</v>
          </cell>
          <cell r="J41">
            <v>367.69</v>
          </cell>
          <cell r="K41">
            <v>68.06</v>
          </cell>
          <cell r="L41">
            <v>85.5</v>
          </cell>
          <cell r="M41">
            <v>256.5</v>
          </cell>
        </row>
        <row r="42">
          <cell r="A42">
            <v>16</v>
          </cell>
          <cell r="B42" t="str">
            <v>491-2713/04</v>
          </cell>
          <cell r="D42" t="str">
            <v>Unita' MUX/DEMUX 2 Canali WDM BIDIREZIONALE (FC) OVEST (TYPE 2)</v>
          </cell>
          <cell r="G42" t="str">
            <v>4.1</v>
          </cell>
          <cell r="H42">
            <v>10423.526399999999</v>
          </cell>
          <cell r="I42">
            <v>0</v>
          </cell>
          <cell r="J42">
            <v>367.69</v>
          </cell>
          <cell r="K42">
            <v>68.06</v>
          </cell>
          <cell r="L42">
            <v>85.5</v>
          </cell>
          <cell r="M42">
            <v>256.5</v>
          </cell>
        </row>
        <row r="43">
          <cell r="A43">
            <v>17</v>
          </cell>
          <cell r="B43" t="str">
            <v>491-1593/8x</v>
          </cell>
          <cell r="D43" t="str">
            <v>L-16.2 OPTICAL/MUX UNIT PER 2-CH WDM (FC)</v>
          </cell>
          <cell r="F43" t="str">
            <v>b2</v>
          </cell>
          <cell r="G43" t="str">
            <v>4.1</v>
          </cell>
          <cell r="H43">
            <v>11644.415999999999</v>
          </cell>
          <cell r="I43">
            <v>0</v>
          </cell>
          <cell r="J43">
            <v>183.43</v>
          </cell>
          <cell r="K43">
            <v>105.41</v>
          </cell>
          <cell r="L43">
            <v>85.5</v>
          </cell>
          <cell r="M43">
            <v>128.25</v>
          </cell>
        </row>
        <row r="44">
          <cell r="D44" t="str">
            <v>PREAMPLIFICATORI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>
            <v>18</v>
          </cell>
          <cell r="B45" t="str">
            <v>491-2720/02</v>
          </cell>
          <cell r="D45" t="str">
            <v>Unita' preamplificatore ottico</v>
          </cell>
          <cell r="G45" t="str">
            <v>4.1</v>
          </cell>
          <cell r="H45">
            <v>12930.624</v>
          </cell>
          <cell r="I45">
            <v>0</v>
          </cell>
          <cell r="J45">
            <v>9.9600000000000009</v>
          </cell>
          <cell r="K45">
            <v>36.520000000000003</v>
          </cell>
          <cell r="L45">
            <v>85.5</v>
          </cell>
          <cell r="M45">
            <v>21.85</v>
          </cell>
        </row>
        <row r="46">
          <cell r="D46" t="str">
            <v>BOOSTER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>
            <v>19</v>
          </cell>
          <cell r="B47" t="str">
            <v>490-9186/02</v>
          </cell>
          <cell r="D47" t="str">
            <v>Booster +10dBm</v>
          </cell>
          <cell r="G47" t="str">
            <v>4.1</v>
          </cell>
          <cell r="H47">
            <v>10954.137599999998</v>
          </cell>
          <cell r="I47">
            <v>0</v>
          </cell>
          <cell r="J47">
            <v>9.9600000000000009</v>
          </cell>
          <cell r="K47">
            <v>37.35</v>
          </cell>
          <cell r="L47">
            <v>70.3</v>
          </cell>
          <cell r="M47">
            <v>21.85</v>
          </cell>
          <cell r="N47">
            <v>2</v>
          </cell>
        </row>
        <row r="48">
          <cell r="A48">
            <v>20</v>
          </cell>
          <cell r="B48" t="str">
            <v>490-9187/02</v>
          </cell>
          <cell r="D48" t="str">
            <v>Booster +12dBm</v>
          </cell>
          <cell r="G48" t="str">
            <v>4.1</v>
          </cell>
          <cell r="H48">
            <v>12170.995199999999</v>
          </cell>
          <cell r="I48">
            <v>0</v>
          </cell>
          <cell r="J48">
            <v>9.9600000000000009</v>
          </cell>
          <cell r="K48">
            <v>37.35</v>
          </cell>
          <cell r="L48">
            <v>70.3</v>
          </cell>
          <cell r="M48">
            <v>21.85</v>
          </cell>
        </row>
        <row r="49">
          <cell r="A49">
            <v>21</v>
          </cell>
          <cell r="B49" t="str">
            <v>490-5488/02</v>
          </cell>
          <cell r="D49" t="str">
            <v>Booster +16dBm</v>
          </cell>
          <cell r="G49" t="str">
            <v>4.1</v>
          </cell>
          <cell r="H49">
            <v>13156.415999999999</v>
          </cell>
          <cell r="I49">
            <v>0</v>
          </cell>
          <cell r="J49">
            <v>9.9600000000000009</v>
          </cell>
          <cell r="K49">
            <v>37.35</v>
          </cell>
          <cell r="L49">
            <v>70.3</v>
          </cell>
          <cell r="M49">
            <v>21.85</v>
          </cell>
        </row>
        <row r="50">
          <cell r="A50">
            <v>22</v>
          </cell>
          <cell r="B50" t="str">
            <v>491-2718/02</v>
          </cell>
          <cell r="D50" t="str">
            <v>Booster +17dBm</v>
          </cell>
          <cell r="G50" t="str">
            <v>4.1</v>
          </cell>
          <cell r="H50">
            <v>13797.503999999999</v>
          </cell>
          <cell r="I50">
            <v>0</v>
          </cell>
          <cell r="J50">
            <v>9.9600000000000009</v>
          </cell>
          <cell r="K50">
            <v>37.35</v>
          </cell>
          <cell r="L50">
            <v>70.3</v>
          </cell>
          <cell r="M50">
            <v>21.85</v>
          </cell>
        </row>
        <row r="51">
          <cell r="A51">
            <v>23</v>
          </cell>
          <cell r="B51" t="str">
            <v>490-4552/01</v>
          </cell>
          <cell r="D51" t="str">
            <v>Kit cavi per booster/preamplificatore/WDM</v>
          </cell>
          <cell r="G51" t="str">
            <v>4.1</v>
          </cell>
          <cell r="H51">
            <v>73.38239999999999</v>
          </cell>
          <cell r="I51">
            <v>0</v>
          </cell>
          <cell r="J51">
            <v>9.9600000000000009</v>
          </cell>
          <cell r="K51">
            <v>0</v>
          </cell>
          <cell r="L51">
            <v>3.8</v>
          </cell>
          <cell r="M51">
            <v>21.85</v>
          </cell>
          <cell r="N51">
            <v>2</v>
          </cell>
          <cell r="O51">
            <v>0</v>
          </cell>
          <cell r="P51">
            <v>0</v>
          </cell>
        </row>
        <row r="52">
          <cell r="D52" t="str">
            <v>UNITA' DI TRIBUTARIO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A53">
            <v>24</v>
          </cell>
          <cell r="B53" t="str">
            <v>494-5382/01</v>
          </cell>
          <cell r="D53" t="str">
            <v>Unita' Porta 4x140/155Mb/s elettrica (no card protect., MSP protect)</v>
          </cell>
          <cell r="G53" t="str">
            <v>4.1</v>
          </cell>
          <cell r="H53">
            <v>1366.0416</v>
          </cell>
          <cell r="I53">
            <v>0</v>
          </cell>
          <cell r="J53">
            <v>547.79999999999995</v>
          </cell>
          <cell r="K53">
            <v>115.37</v>
          </cell>
          <cell r="L53">
            <v>70.3</v>
          </cell>
          <cell r="M53">
            <v>213.75</v>
          </cell>
        </row>
        <row r="54">
          <cell r="C54" t="str">
            <v>491-0815/01</v>
          </cell>
          <cell r="D54" t="str">
            <v>Unita` 4xSTM-1 elettrica/140Mb/s</v>
          </cell>
          <cell r="E54">
            <v>1</v>
          </cell>
          <cell r="H54">
            <v>0</v>
          </cell>
          <cell r="I54">
            <v>1515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C55" t="str">
            <v>490-5393/01</v>
          </cell>
          <cell r="D55" t="str">
            <v>Modulo Interfaccia per unita` 4x140/155Mb/s</v>
          </cell>
          <cell r="E55">
            <v>1</v>
          </cell>
          <cell r="H55">
            <v>0</v>
          </cell>
          <cell r="I55">
            <v>148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C56" t="str">
            <v>490-3288/01</v>
          </cell>
          <cell r="D56" t="str">
            <v>Set connettori per 1x140/155Mb/s</v>
          </cell>
          <cell r="E56">
            <v>4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A57">
            <v>25</v>
          </cell>
          <cell r="B57" t="str">
            <v>494-5383/01</v>
          </cell>
          <cell r="D57" t="str">
            <v>Unita' Porta 4x140/155Mb/s elettrica (si card protect.)</v>
          </cell>
          <cell r="G57" t="str">
            <v>4.1</v>
          </cell>
          <cell r="H57">
            <v>1449.9071999999999</v>
          </cell>
          <cell r="I57">
            <v>0</v>
          </cell>
          <cell r="J57">
            <v>547.79999999999995</v>
          </cell>
          <cell r="K57">
            <v>115.37</v>
          </cell>
          <cell r="L57">
            <v>70.3</v>
          </cell>
          <cell r="M57">
            <v>213.75</v>
          </cell>
          <cell r="N57">
            <v>2</v>
          </cell>
          <cell r="O57">
            <v>1</v>
          </cell>
          <cell r="P57">
            <v>8</v>
          </cell>
        </row>
        <row r="58">
          <cell r="C58" t="str">
            <v>491-0815/01</v>
          </cell>
          <cell r="D58" t="str">
            <v>Unita` 4xSTM-1 elettrica/140Mb/s</v>
          </cell>
          <cell r="E58">
            <v>1</v>
          </cell>
          <cell r="H58">
            <v>0</v>
          </cell>
          <cell r="I58">
            <v>1515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C59" t="str">
            <v>490-5745/01</v>
          </cell>
          <cell r="D59" t="str">
            <v>Modulo Interfaccia per unita` 4x140/155Mb/s protegg.</v>
          </cell>
          <cell r="E59">
            <v>1</v>
          </cell>
          <cell r="H59">
            <v>0</v>
          </cell>
          <cell r="I59">
            <v>323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C60" t="str">
            <v>490-3288/01</v>
          </cell>
          <cell r="D60" t="str">
            <v>Set connettori per 1x140/155Mb/s</v>
          </cell>
          <cell r="E60">
            <v>4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>
            <v>26</v>
          </cell>
          <cell r="B61" t="str">
            <v>494-5384/01</v>
          </cell>
          <cell r="D61" t="str">
            <v>Unita' Porta 4x140/155Mb/s elettrica per card protection</v>
          </cell>
          <cell r="G61" t="str">
            <v>4.1</v>
          </cell>
          <cell r="H61">
            <v>1597.4784</v>
          </cell>
          <cell r="I61">
            <v>0</v>
          </cell>
          <cell r="J61">
            <v>9.9600000000000009</v>
          </cell>
          <cell r="K61">
            <v>138.61000000000001</v>
          </cell>
          <cell r="L61">
            <v>70.3</v>
          </cell>
          <cell r="M61">
            <v>21.85</v>
          </cell>
          <cell r="N61">
            <v>2</v>
          </cell>
          <cell r="O61">
            <v>1</v>
          </cell>
        </row>
        <row r="62">
          <cell r="C62" t="str">
            <v>491-0815/01</v>
          </cell>
          <cell r="D62" t="str">
            <v>Unita` 4xSTM-1 elettrica/140Mb/s</v>
          </cell>
          <cell r="E62">
            <v>1</v>
          </cell>
          <cell r="H62">
            <v>0</v>
          </cell>
          <cell r="I62">
            <v>1515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C63" t="str">
            <v>490-8538/01</v>
          </cell>
          <cell r="D63" t="str">
            <v>Modulo protezione 2x140/155Mb/s</v>
          </cell>
          <cell r="E63">
            <v>2</v>
          </cell>
          <cell r="H63">
            <v>0</v>
          </cell>
          <cell r="I63">
            <v>304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A64">
            <v>27</v>
          </cell>
          <cell r="B64" t="str">
            <v>494-5402/01</v>
          </cell>
          <cell r="D64" t="str">
            <v>Unita' Porta 4x140/155Mb/s elettrica per protezione MSP 1:N (N=1..8) su slot 3 e 8</v>
          </cell>
          <cell r="G64" t="str">
            <v>4.1</v>
          </cell>
          <cell r="H64">
            <v>1381.3632</v>
          </cell>
          <cell r="I64">
            <v>0</v>
          </cell>
          <cell r="J64">
            <v>547.79999999999995</v>
          </cell>
          <cell r="K64">
            <v>138.61000000000001</v>
          </cell>
          <cell r="L64">
            <v>70.3</v>
          </cell>
          <cell r="M64">
            <v>235.6</v>
          </cell>
        </row>
        <row r="65">
          <cell r="C65" t="str">
            <v>491-0815/01</v>
          </cell>
          <cell r="D65" t="str">
            <v>Unita` 4xSTM-1 elettrica/140Mb/s</v>
          </cell>
          <cell r="E65">
            <v>1</v>
          </cell>
          <cell r="H65">
            <v>0</v>
          </cell>
          <cell r="I65">
            <v>1515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C66" t="str">
            <v>490-8536/01</v>
          </cell>
          <cell r="D66" t="str">
            <v>Modulo Interfaccia per unita` 2x140/155Mb/s</v>
          </cell>
          <cell r="E66">
            <v>2</v>
          </cell>
          <cell r="H66">
            <v>0</v>
          </cell>
          <cell r="I66">
            <v>134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C67" t="str">
            <v>490-3288/01</v>
          </cell>
          <cell r="D67" t="str">
            <v>Set connettori per 1x140/155Mb/s</v>
          </cell>
          <cell r="E67">
            <v>4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A68">
            <v>28</v>
          </cell>
          <cell r="B68" t="str">
            <v>490-4771/01</v>
          </cell>
          <cell r="D68" t="str">
            <v>Copertura sostitutiva modulo interfaccia</v>
          </cell>
          <cell r="G68" t="str">
            <v>4.1</v>
          </cell>
          <cell r="H68">
            <v>12.902399999999998</v>
          </cell>
          <cell r="I68">
            <v>0</v>
          </cell>
          <cell r="J68">
            <v>9.9600000000000009</v>
          </cell>
          <cell r="K68">
            <v>0</v>
          </cell>
          <cell r="L68">
            <v>3.8</v>
          </cell>
          <cell r="M68">
            <v>21.85</v>
          </cell>
          <cell r="N68">
            <v>6</v>
          </cell>
          <cell r="O68">
            <v>9</v>
          </cell>
          <cell r="P68">
            <v>2</v>
          </cell>
        </row>
        <row r="69">
          <cell r="A69">
            <v>29</v>
          </cell>
          <cell r="B69" t="str">
            <v>490-8476/02</v>
          </cell>
          <cell r="D69" t="str">
            <v>Unita' porta ottica 2xSTM-1 S-1.1</v>
          </cell>
          <cell r="G69" t="str">
            <v>4.1</v>
          </cell>
          <cell r="H69">
            <v>2249.0495999999998</v>
          </cell>
          <cell r="I69">
            <v>0</v>
          </cell>
          <cell r="J69">
            <v>367.69</v>
          </cell>
          <cell r="K69">
            <v>114.54</v>
          </cell>
          <cell r="L69">
            <v>85.5</v>
          </cell>
          <cell r="M69">
            <v>256.5</v>
          </cell>
          <cell r="N69">
            <v>2</v>
          </cell>
        </row>
        <row r="70">
          <cell r="A70">
            <v>30</v>
          </cell>
          <cell r="B70" t="str">
            <v>490-8477/02</v>
          </cell>
          <cell r="D70" t="str">
            <v>Unita' porta ottica 2xSTM-1 L-1.1</v>
          </cell>
          <cell r="G70" t="str">
            <v>4.1</v>
          </cell>
          <cell r="H70">
            <v>2665.9584</v>
          </cell>
          <cell r="I70">
            <v>0</v>
          </cell>
          <cell r="J70">
            <v>367.69</v>
          </cell>
          <cell r="K70">
            <v>114.54</v>
          </cell>
          <cell r="L70">
            <v>85.5</v>
          </cell>
          <cell r="M70">
            <v>256.5</v>
          </cell>
        </row>
        <row r="71">
          <cell r="A71">
            <v>31</v>
          </cell>
          <cell r="B71" t="str">
            <v>490-8478/02</v>
          </cell>
          <cell r="D71" t="str">
            <v>Unita' porta ottica 2xSTM-1 L-1.2/L-1.3</v>
          </cell>
          <cell r="G71" t="str">
            <v>4.1</v>
          </cell>
          <cell r="H71">
            <v>4394.88</v>
          </cell>
          <cell r="I71">
            <v>0</v>
          </cell>
          <cell r="J71">
            <v>367.69</v>
          </cell>
          <cell r="K71">
            <v>114.54</v>
          </cell>
          <cell r="L71">
            <v>85.5</v>
          </cell>
          <cell r="M71">
            <v>256.5</v>
          </cell>
          <cell r="N71">
            <v>2</v>
          </cell>
          <cell r="O71">
            <v>2</v>
          </cell>
        </row>
        <row r="72">
          <cell r="A72">
            <v>32</v>
          </cell>
          <cell r="B72" t="str">
            <v xml:space="preserve"> 491-3804/02</v>
          </cell>
          <cell r="D72" t="str">
            <v>Unita' porta ottica STM-4 S-4.1</v>
          </cell>
          <cell r="G72" t="str">
            <v>4.1</v>
          </cell>
          <cell r="H72">
            <v>3581.2223999999997</v>
          </cell>
          <cell r="I72">
            <v>0</v>
          </cell>
          <cell r="J72">
            <v>183.43</v>
          </cell>
          <cell r="K72">
            <v>59.76</v>
          </cell>
          <cell r="L72">
            <v>85.5</v>
          </cell>
          <cell r="M72">
            <v>128.25</v>
          </cell>
          <cell r="N72">
            <v>2</v>
          </cell>
          <cell r="O72">
            <v>2</v>
          </cell>
        </row>
        <row r="73">
          <cell r="A73">
            <v>33</v>
          </cell>
          <cell r="B73" t="str">
            <v xml:space="preserve"> 491-3805/02</v>
          </cell>
          <cell r="D73" t="str">
            <v>Unita' porta ottica STM-4 L-4.1</v>
          </cell>
          <cell r="G73" t="str">
            <v>4.1</v>
          </cell>
          <cell r="H73">
            <v>4082.8031999999994</v>
          </cell>
          <cell r="I73">
            <v>0</v>
          </cell>
          <cell r="J73">
            <v>183.43</v>
          </cell>
          <cell r="K73">
            <v>59.76</v>
          </cell>
          <cell r="L73">
            <v>85.5</v>
          </cell>
          <cell r="M73">
            <v>128.25</v>
          </cell>
        </row>
        <row r="74">
          <cell r="A74">
            <v>34</v>
          </cell>
          <cell r="B74" t="str">
            <v>490-8481/02</v>
          </cell>
          <cell r="D74" t="str">
            <v>Unita' porta ottica STM-4 L-4.2/L-4.3</v>
          </cell>
          <cell r="G74" t="str">
            <v>4.1</v>
          </cell>
          <cell r="H74">
            <v>7721.28</v>
          </cell>
          <cell r="I74">
            <v>0</v>
          </cell>
          <cell r="J74">
            <v>183.43</v>
          </cell>
          <cell r="K74">
            <v>59.76</v>
          </cell>
          <cell r="L74">
            <v>85.5</v>
          </cell>
          <cell r="M74">
            <v>128.25</v>
          </cell>
        </row>
        <row r="75">
          <cell r="A75">
            <v>35</v>
          </cell>
          <cell r="B75" t="str">
            <v>490-9202/02</v>
          </cell>
          <cell r="D75" t="str">
            <v>Unita' porta ottica STM-4 JE-4.2/JE-4.3</v>
          </cell>
          <cell r="G75" t="str">
            <v>4.1</v>
          </cell>
          <cell r="H75">
            <v>8967.9743999999992</v>
          </cell>
          <cell r="I75">
            <v>0</v>
          </cell>
          <cell r="J75">
            <v>183.43</v>
          </cell>
          <cell r="K75">
            <v>59.76</v>
          </cell>
          <cell r="L75">
            <v>85.5</v>
          </cell>
          <cell r="M75">
            <v>128.25</v>
          </cell>
        </row>
        <row r="76">
          <cell r="A76">
            <v>36</v>
          </cell>
          <cell r="B76" t="str">
            <v>490-9203/02</v>
          </cell>
          <cell r="D76" t="str">
            <v>Unita' porta ottica STM-4 L-4.2 per booster</v>
          </cell>
          <cell r="G76" t="str">
            <v>4.1</v>
          </cell>
          <cell r="H76">
            <v>8327.6927999999989</v>
          </cell>
          <cell r="I76">
            <v>0</v>
          </cell>
          <cell r="J76">
            <v>183.43</v>
          </cell>
          <cell r="K76">
            <v>59.76</v>
          </cell>
          <cell r="L76">
            <v>85.5</v>
          </cell>
          <cell r="M76">
            <v>128.25</v>
          </cell>
        </row>
        <row r="77">
          <cell r="A77">
            <v>37</v>
          </cell>
          <cell r="B77" t="str">
            <v>490-4556/01</v>
          </cell>
          <cell r="D77" t="str">
            <v>Copertura sostitutiva unita' tributario/booster (MSH51C)</v>
          </cell>
          <cell r="G77" t="str">
            <v>4.1</v>
          </cell>
          <cell r="H77">
            <v>12.902399999999998</v>
          </cell>
          <cell r="I77">
            <v>0</v>
          </cell>
          <cell r="J77">
            <v>9.9600000000000009</v>
          </cell>
          <cell r="K77">
            <v>0</v>
          </cell>
          <cell r="L77">
            <v>3.8</v>
          </cell>
          <cell r="M77">
            <v>21.85</v>
          </cell>
          <cell r="N77">
            <v>5</v>
          </cell>
          <cell r="O77">
            <v>11</v>
          </cell>
          <cell r="P77">
            <v>15</v>
          </cell>
        </row>
        <row r="78">
          <cell r="D78" t="str">
            <v>CANALI AUSILIARI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A79">
            <v>38</v>
          </cell>
          <cell r="B79" t="str">
            <v>494-5386/01</v>
          </cell>
          <cell r="D79" t="str">
            <v>Unità ausiliari EOW/DATI MSH51C</v>
          </cell>
          <cell r="G79" t="str">
            <v>4.1</v>
          </cell>
          <cell r="H79">
            <v>1278.1439999999998</v>
          </cell>
          <cell r="I79">
            <v>0</v>
          </cell>
          <cell r="J79">
            <v>125.33</v>
          </cell>
          <cell r="K79">
            <v>45.65</v>
          </cell>
          <cell r="L79">
            <v>35.15</v>
          </cell>
          <cell r="M79">
            <v>51.3</v>
          </cell>
          <cell r="N79">
            <v>1</v>
          </cell>
          <cell r="O79">
            <v>1</v>
          </cell>
          <cell r="P79">
            <v>1</v>
          </cell>
        </row>
        <row r="80">
          <cell r="C80" t="str">
            <v>490-5021/01</v>
          </cell>
          <cell r="D80" t="str">
            <v>Unita' ausiliaria</v>
          </cell>
          <cell r="E80">
            <v>1</v>
          </cell>
          <cell r="H80">
            <v>0</v>
          </cell>
          <cell r="I80">
            <v>1225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C81" t="str">
            <v>490-5390/01</v>
          </cell>
          <cell r="D81" t="str">
            <v>Modulo di interfaccia ausiliaria (ty A)</v>
          </cell>
          <cell r="E81">
            <v>1</v>
          </cell>
          <cell r="H81">
            <v>0</v>
          </cell>
          <cell r="I81">
            <v>183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C82" t="str">
            <v>490-9216/01</v>
          </cell>
          <cell r="D82" t="str">
            <v>Set connettori per unita' ausiliaria</v>
          </cell>
          <cell r="E82">
            <v>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A83">
            <v>39</v>
          </cell>
          <cell r="B83" t="str">
            <v>490-2002/01</v>
          </cell>
          <cell r="D83" t="str">
            <v>Copertura sostitutiva unita' ausiliaria</v>
          </cell>
          <cell r="G83" t="str">
            <v>4.1</v>
          </cell>
          <cell r="H83">
            <v>12.096</v>
          </cell>
          <cell r="I83">
            <v>0</v>
          </cell>
          <cell r="J83">
            <v>9.9600000000000009</v>
          </cell>
          <cell r="K83">
            <v>0</v>
          </cell>
          <cell r="L83">
            <v>3.8</v>
          </cell>
          <cell r="M83">
            <v>21.85</v>
          </cell>
          <cell r="N83">
            <v>0</v>
          </cell>
          <cell r="O83">
            <v>0</v>
          </cell>
          <cell r="P83">
            <v>0</v>
          </cell>
        </row>
        <row r="84">
          <cell r="A84">
            <v>40</v>
          </cell>
          <cell r="B84" t="str">
            <v>490-4771/01</v>
          </cell>
          <cell r="D84" t="str">
            <v>Copertura sostitutiva modulo i/f per aux MSH51C</v>
          </cell>
          <cell r="G84" t="str">
            <v>4.1</v>
          </cell>
          <cell r="H84">
            <v>12.096</v>
          </cell>
          <cell r="I84">
            <v>0</v>
          </cell>
          <cell r="J84">
            <v>9.9600000000000009</v>
          </cell>
          <cell r="K84">
            <v>0</v>
          </cell>
          <cell r="L84">
            <v>3.8</v>
          </cell>
          <cell r="M84">
            <v>21.85</v>
          </cell>
          <cell r="N84">
            <v>0</v>
          </cell>
          <cell r="O84">
            <v>0</v>
          </cell>
          <cell r="P84">
            <v>0</v>
          </cell>
        </row>
        <row r="85">
          <cell r="D85" t="str">
            <v>ACCESSORI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A86">
            <v>41</v>
          </cell>
          <cell r="B86" t="str">
            <v>490-3359/01</v>
          </cell>
          <cell r="D86" t="str">
            <v>Microtelefono</v>
          </cell>
          <cell r="G86" t="str">
            <v>4.1</v>
          </cell>
          <cell r="H86">
            <v>122.57279999999999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1</v>
          </cell>
        </row>
        <row r="87">
          <cell r="A87">
            <v>42</v>
          </cell>
          <cell r="B87" t="str">
            <v>490-8492/01</v>
          </cell>
          <cell r="D87" t="str">
            <v>Set cavetti di test MSH51C</v>
          </cell>
          <cell r="G87" t="str">
            <v>4.1</v>
          </cell>
          <cell r="H87">
            <v>304.01280000000003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A88">
            <v>43</v>
          </cell>
          <cell r="B88" t="str">
            <v>490-7952/05</v>
          </cell>
          <cell r="D88" t="str">
            <v>Kit supporto canalina fibre ottiche</v>
          </cell>
          <cell r="G88" t="str">
            <v>4.1</v>
          </cell>
          <cell r="H88">
            <v>47.577599999999997</v>
          </cell>
          <cell r="I88">
            <v>0</v>
          </cell>
          <cell r="J88">
            <v>9.9600000000000009</v>
          </cell>
          <cell r="K88">
            <v>0</v>
          </cell>
          <cell r="L88">
            <v>3.8</v>
          </cell>
          <cell r="M88">
            <v>21.85</v>
          </cell>
          <cell r="N88">
            <v>1</v>
          </cell>
          <cell r="O88">
            <v>1</v>
          </cell>
        </row>
        <row r="89">
          <cell r="A89">
            <v>44</v>
          </cell>
          <cell r="B89" t="str">
            <v>490-5222/31</v>
          </cell>
          <cell r="D89" t="str">
            <v>Copertura protezione fibra ottica</v>
          </cell>
          <cell r="G89" t="str">
            <v>4.1</v>
          </cell>
          <cell r="H89">
            <v>5.1247558655999992</v>
          </cell>
          <cell r="I89">
            <v>0</v>
          </cell>
          <cell r="J89">
            <v>9.9600000000000009</v>
          </cell>
          <cell r="K89">
            <v>0</v>
          </cell>
          <cell r="L89">
            <v>3.8</v>
          </cell>
          <cell r="M89">
            <v>21.85</v>
          </cell>
          <cell r="N89">
            <v>4</v>
          </cell>
          <cell r="O89">
            <v>2</v>
          </cell>
        </row>
        <row r="90">
          <cell r="A90">
            <v>45</v>
          </cell>
          <cell r="D90" t="str">
            <v xml:space="preserve">Manuale Base MSH51C </v>
          </cell>
          <cell r="G90" t="str">
            <v>4.1</v>
          </cell>
          <cell r="H90">
            <v>182.24639999999999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>
            <v>46</v>
          </cell>
          <cell r="D91" t="str">
            <v>CD-Manuale Base MSH51C</v>
          </cell>
          <cell r="G91" t="str">
            <v>4.1</v>
          </cell>
          <cell r="H91">
            <v>291.48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47</v>
          </cell>
          <cell r="B92" t="str">
            <v>491-3732/01</v>
          </cell>
          <cell r="D92" t="str">
            <v>Attenuatore fisso da 10dB per preamplificatore</v>
          </cell>
          <cell r="G92" t="str">
            <v>4.1</v>
          </cell>
          <cell r="H92">
            <v>376.58879999999999</v>
          </cell>
          <cell r="I92">
            <v>0</v>
          </cell>
          <cell r="J92">
            <v>9.9600000000000009</v>
          </cell>
          <cell r="K92">
            <v>0</v>
          </cell>
          <cell r="L92">
            <v>3.8</v>
          </cell>
          <cell r="M92">
            <v>21.85</v>
          </cell>
          <cell r="N92">
            <v>0</v>
          </cell>
          <cell r="O92">
            <v>0</v>
          </cell>
          <cell r="P92">
            <v>0</v>
          </cell>
        </row>
        <row r="93">
          <cell r="A93">
            <v>48</v>
          </cell>
          <cell r="B93" t="str">
            <v>491-3040/01</v>
          </cell>
          <cell r="D93" t="str">
            <v>Copertura protezione fibra ottica (doppio canale con safety label)</v>
          </cell>
          <cell r="G93" t="str">
            <v>4.1</v>
          </cell>
          <cell r="H93">
            <v>12.811889663999999</v>
          </cell>
          <cell r="I93">
            <v>0</v>
          </cell>
          <cell r="J93">
            <v>9.9600000000000009</v>
          </cell>
          <cell r="K93">
            <v>0</v>
          </cell>
          <cell r="L93">
            <v>3.8</v>
          </cell>
          <cell r="M93">
            <v>21.85</v>
          </cell>
          <cell r="N93">
            <v>2</v>
          </cell>
          <cell r="O93">
            <v>2</v>
          </cell>
        </row>
        <row r="94">
          <cell r="A94">
            <v>49</v>
          </cell>
          <cell r="B94" t="str">
            <v>491-3040/02</v>
          </cell>
          <cell r="D94" t="str">
            <v>Copertura protezione fibra ottica (doppio canale senza safety label)</v>
          </cell>
          <cell r="G94" t="str">
            <v>4.1</v>
          </cell>
          <cell r="H94">
            <v>12.811889663999999</v>
          </cell>
          <cell r="I94">
            <v>0</v>
          </cell>
          <cell r="J94">
            <v>9.9600000000000009</v>
          </cell>
          <cell r="K94">
            <v>0</v>
          </cell>
          <cell r="L94">
            <v>3.8</v>
          </cell>
          <cell r="M94">
            <v>21.85</v>
          </cell>
          <cell r="N94">
            <v>2</v>
          </cell>
          <cell r="O94">
            <v>0</v>
          </cell>
          <cell r="P94">
            <v>0</v>
          </cell>
        </row>
        <row r="95">
          <cell r="A95">
            <v>50</v>
          </cell>
          <cell r="B95" t="str">
            <v>490-4993/01</v>
          </cell>
          <cell r="D95" t="str">
            <v>Cavo seriale e connettore</v>
          </cell>
          <cell r="G95" t="str">
            <v>4.1</v>
          </cell>
          <cell r="H95">
            <v>49.9968</v>
          </cell>
          <cell r="I95">
            <v>0</v>
          </cell>
          <cell r="J95">
            <v>9.9600000000000009</v>
          </cell>
          <cell r="K95">
            <v>0</v>
          </cell>
          <cell r="L95">
            <v>3.8</v>
          </cell>
          <cell r="M95">
            <v>21.85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D97" t="str">
            <v>TERMINALE ACCESSO LOCALE PER APPARATI SDH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51</v>
          </cell>
          <cell r="B98" t="str">
            <v>494-7737/02</v>
          </cell>
          <cell r="D98" t="str">
            <v>Piattaforma per TAL SDH (portatile)</v>
          </cell>
          <cell r="F98" t="str">
            <v>c</v>
          </cell>
          <cell r="G98" t="str">
            <v>4.1</v>
          </cell>
          <cell r="H98">
            <v>5040</v>
          </cell>
          <cell r="I98">
            <v>0</v>
          </cell>
          <cell r="J98">
            <v>240</v>
          </cell>
          <cell r="K98">
            <v>0</v>
          </cell>
          <cell r="L98">
            <v>0</v>
          </cell>
          <cell r="M98">
            <v>0</v>
          </cell>
        </row>
        <row r="99">
          <cell r="C99" t="str">
            <v>491-3764/01</v>
          </cell>
          <cell r="D99" t="str">
            <v>Personal computer (portatile)</v>
          </cell>
          <cell r="E99">
            <v>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C100" t="str">
            <v>490-4993/01</v>
          </cell>
          <cell r="D100" t="str">
            <v>Cavo seriale e connettore</v>
          </cell>
          <cell r="E100">
            <v>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C101" t="str">
            <v>491-0722/01</v>
          </cell>
          <cell r="D101" t="str">
            <v>Sistema operativo (NT.4)</v>
          </cell>
          <cell r="E101">
            <v>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52</v>
          </cell>
          <cell r="D103" t="str">
            <v>SW applicativo Marconi TAL (basato su MS Windows) su supporto magnetico+relativa licenza d'uso</v>
          </cell>
          <cell r="G103" t="str">
            <v>4.1</v>
          </cell>
          <cell r="H103">
            <v>1150</v>
          </cell>
          <cell r="I103">
            <v>0</v>
          </cell>
          <cell r="J103">
            <v>0</v>
          </cell>
          <cell r="K103">
            <v>50</v>
          </cell>
          <cell r="L103">
            <v>0</v>
          </cell>
          <cell r="M103">
            <v>0</v>
          </cell>
        </row>
        <row r="104">
          <cell r="D104" t="str">
            <v>APPL. SW Marconi per Apparati STM16 su supporto magnetico</v>
          </cell>
          <cell r="E104">
            <v>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D105" t="str">
            <v>Licenza d'uso del SW Marconi TAL</v>
          </cell>
          <cell r="E105">
            <v>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53</v>
          </cell>
          <cell r="D107" t="str">
            <v>Licenza Software applicativo Marconi TAL SDH (basato su MS Windows)</v>
          </cell>
          <cell r="G107" t="str">
            <v>4.1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D108" t="str">
            <v>Licenza d'uso del SW Marconi TAL</v>
          </cell>
          <cell r="H108">
            <v>840</v>
          </cell>
          <cell r="I108">
            <v>0</v>
          </cell>
          <cell r="J108">
            <v>0</v>
          </cell>
          <cell r="K108">
            <v>50</v>
          </cell>
          <cell r="L108">
            <v>0</v>
          </cell>
          <cell r="M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54</v>
          </cell>
          <cell r="D110" t="str">
            <v>SW applicativo Licenze NE per operare (1 per ogni apparato)</v>
          </cell>
          <cell r="G110" t="str">
            <v>4.1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 t="str">
            <v>NJ21D</v>
          </cell>
          <cell r="D111" t="str">
            <v>MSH51C-STM16 Apparato Add-Drop</v>
          </cell>
          <cell r="H111">
            <v>352.8</v>
          </cell>
          <cell r="I111">
            <v>0</v>
          </cell>
          <cell r="J111">
            <v>0</v>
          </cell>
          <cell r="K111">
            <v>41.5</v>
          </cell>
          <cell r="L111">
            <v>0</v>
          </cell>
          <cell r="M111">
            <v>0</v>
          </cell>
          <cell r="N111">
            <v>1</v>
          </cell>
          <cell r="O111">
            <v>1</v>
          </cell>
          <cell r="P111">
            <v>1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55</v>
          </cell>
          <cell r="D113" t="str">
            <v>Licenza di connessione al SW applicativo Element Manager (MV36) (1 per ogni apparato)</v>
          </cell>
          <cell r="G113" t="str">
            <v>4.1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B114" t="str">
            <v>NJ22D</v>
          </cell>
          <cell r="D114" t="str">
            <v>MSH51C - STM-16 Apparato Add-Drop</v>
          </cell>
          <cell r="H114">
            <v>423.36</v>
          </cell>
          <cell r="I114">
            <v>0</v>
          </cell>
          <cell r="J114">
            <v>0</v>
          </cell>
          <cell r="K114">
            <v>41.5</v>
          </cell>
          <cell r="L114">
            <v>0</v>
          </cell>
          <cell r="M114">
            <v>0</v>
          </cell>
          <cell r="N114">
            <v>1</v>
          </cell>
          <cell r="O114">
            <v>1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D116" t="str">
            <v>ATTIVITA' DI CENTRALE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56</v>
          </cell>
          <cell r="D117" t="str">
            <v>Cablaggio Rete Lan</v>
          </cell>
          <cell r="H117">
            <v>0</v>
          </cell>
          <cell r="I117">
            <v>0</v>
          </cell>
          <cell r="J117">
            <v>425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57</v>
          </cell>
          <cell r="D118" t="str">
            <v>Realizzazione di n.1 transito passivo in centrale</v>
          </cell>
          <cell r="H118">
            <v>0</v>
          </cell>
          <cell r="I118">
            <v>0</v>
          </cell>
          <cell r="J118">
            <v>550</v>
          </cell>
          <cell r="K118">
            <v>0</v>
          </cell>
          <cell r="L118">
            <v>0</v>
          </cell>
          <cell r="M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M122" t="str">
            <v>Fornitura (Klire):</v>
          </cell>
          <cell r="N122">
            <v>93271.829782118395</v>
          </cell>
          <cell r="O122">
            <v>48904.116491059198</v>
          </cell>
          <cell r="P122">
            <v>38860.819200000005</v>
          </cell>
        </row>
        <row r="123">
          <cell r="M123" t="str">
            <v>Inst+coll (Klire):</v>
          </cell>
          <cell r="N123">
            <v>6928.8400000000011</v>
          </cell>
          <cell r="O123">
            <v>4347.5400000000009</v>
          </cell>
          <cell r="P123">
            <v>7180.33</v>
          </cell>
        </row>
        <row r="130">
          <cell r="A130" t="str">
            <v>(R)</v>
          </cell>
          <cell r="B130" t="str">
            <v>Disponibilita' a partire dalle Release indicate, con compatibilita' indietro fino alla prima Release di rilascio.</v>
          </cell>
        </row>
        <row r="131">
          <cell r="A131" t="str">
            <v>a)</v>
          </cell>
          <cell r="B131" t="str">
            <v>La scelta della frequenza deve essere fatta in accordo con l'apparato DWDM usato (MSH73/75) e secondo la seguente tabella</v>
          </cell>
        </row>
        <row r="132">
          <cell r="B132" t="str">
            <v>Frequenze per applicazioni a 12 canali su fibra G.653</v>
          </cell>
        </row>
        <row r="133">
          <cell r="B133" t="str">
            <v>Ch</v>
          </cell>
        </row>
        <row r="134">
          <cell r="B134">
            <v>1</v>
          </cell>
          <cell r="D134" t="str">
            <v>/xx = /49 - 194.15 THz</v>
          </cell>
        </row>
        <row r="135">
          <cell r="B135">
            <v>2</v>
          </cell>
          <cell r="D135" t="str">
            <v>/xx = /48 - 194.05 THz</v>
          </cell>
        </row>
        <row r="136">
          <cell r="B136">
            <v>3</v>
          </cell>
          <cell r="D136" t="str">
            <v>/xx = /23 - 193.90 THz</v>
          </cell>
        </row>
        <row r="137">
          <cell r="B137">
            <v>4</v>
          </cell>
          <cell r="D137" t="str">
            <v>/xx = /18 - 193.40 THz</v>
          </cell>
        </row>
        <row r="138">
          <cell r="B138">
            <v>5</v>
          </cell>
          <cell r="D138" t="str">
            <v>/xx = /16 - 193.20 THz</v>
          </cell>
        </row>
        <row r="139">
          <cell r="B139">
            <v>6</v>
          </cell>
          <cell r="D139" t="str">
            <v>/xx = /08 - 192.40 THz</v>
          </cell>
        </row>
        <row r="140">
          <cell r="B140">
            <v>7</v>
          </cell>
          <cell r="D140" t="str">
            <v>/xx = /05 - 192.10 THz</v>
          </cell>
        </row>
        <row r="141">
          <cell r="B141">
            <v>8</v>
          </cell>
          <cell r="D141" t="str">
            <v>/xx = /45 - 192.05 THz</v>
          </cell>
        </row>
        <row r="142">
          <cell r="B142">
            <v>9</v>
          </cell>
          <cell r="D142" t="str">
            <v>/xx = /46 - 192.15 THz</v>
          </cell>
        </row>
        <row r="143">
          <cell r="B143">
            <v>10</v>
          </cell>
          <cell r="D143" t="str">
            <v>/xx = /10 - 192.60 THz</v>
          </cell>
        </row>
        <row r="144">
          <cell r="B144">
            <v>11</v>
          </cell>
          <cell r="D144" t="str">
            <v>/xx = /47 - 192.85 THz</v>
          </cell>
        </row>
        <row r="145">
          <cell r="B145">
            <v>12</v>
          </cell>
          <cell r="D145" t="str">
            <v>/xx = /22 - 193.80 THz</v>
          </cell>
        </row>
        <row r="147">
          <cell r="A147" t="str">
            <v>b)</v>
          </cell>
          <cell r="B147" t="str">
            <v>La scelta della frequenza deve essere fatta in accordo con l'apparato DWDM usato (MSH73/75) e secondo le seguenti tabelle</v>
          </cell>
        </row>
        <row r="148">
          <cell r="B148" t="str">
            <v>Frequenze per applicazioni ad 8 canali su fibra G.653.</v>
          </cell>
        </row>
        <row r="149">
          <cell r="B149" t="str">
            <v>Ch</v>
          </cell>
        </row>
        <row r="150">
          <cell r="B150">
            <v>1</v>
          </cell>
          <cell r="D150" t="str">
            <v>/xx = /24 - 194.0 THz</v>
          </cell>
        </row>
        <row r="151">
          <cell r="B151">
            <v>2</v>
          </cell>
          <cell r="D151" t="str">
            <v>/xx = /23 - 193.9 THz</v>
          </cell>
        </row>
        <row r="152">
          <cell r="B152">
            <v>3</v>
          </cell>
          <cell r="D152" t="str">
            <v>/xx = /19 - 193.5 THz</v>
          </cell>
        </row>
        <row r="153">
          <cell r="B153">
            <v>4</v>
          </cell>
          <cell r="D153" t="str">
            <v>/xx = /17 - 193.3 THz</v>
          </cell>
        </row>
        <row r="154">
          <cell r="B154">
            <v>5</v>
          </cell>
          <cell r="D154" t="str">
            <v>/xx = /09 - 192.5 THz</v>
          </cell>
        </row>
        <row r="155">
          <cell r="B155">
            <v>6</v>
          </cell>
          <cell r="D155" t="str">
            <v>/xx = /10 - 192.6 THz</v>
          </cell>
        </row>
        <row r="156">
          <cell r="B156">
            <v>7</v>
          </cell>
          <cell r="D156" t="str">
            <v>/xx = /12 - 192.8 THz</v>
          </cell>
        </row>
        <row r="157">
          <cell r="B157">
            <v>8</v>
          </cell>
          <cell r="D157" t="str">
            <v>/xx = /16 - 193.2 THz</v>
          </cell>
        </row>
        <row r="160">
          <cell r="B160" t="str">
            <v>Frequenze per applicazioni a 16 canali su fibra G.652/G.655</v>
          </cell>
        </row>
        <row r="161">
          <cell r="B161" t="str">
            <v>Ch</v>
          </cell>
        </row>
        <row r="162">
          <cell r="B162">
            <v>1</v>
          </cell>
          <cell r="D162" t="str">
            <v>/xx = /09 - 192.5 THz (1557.36 nm)</v>
          </cell>
        </row>
        <row r="163">
          <cell r="B163">
            <v>2</v>
          </cell>
          <cell r="D163" t="str">
            <v>/xx = /10 - 192.6 THz (1556.55 nm)</v>
          </cell>
        </row>
        <row r="164">
          <cell r="B164">
            <v>3</v>
          </cell>
          <cell r="D164" t="str">
            <v>/xx = /11 - 192.7 THz (1555.75 nm)</v>
          </cell>
        </row>
        <row r="165">
          <cell r="B165">
            <v>4</v>
          </cell>
          <cell r="D165" t="str">
            <v>/xx = /12 - 192.8 THz (1554.94 nm)</v>
          </cell>
        </row>
        <row r="166">
          <cell r="B166">
            <v>5</v>
          </cell>
          <cell r="D166" t="str">
            <v>/xx = /13 - 192.9 THz (1554.13 nm)</v>
          </cell>
        </row>
        <row r="167">
          <cell r="B167">
            <v>6</v>
          </cell>
          <cell r="D167" t="str">
            <v>/xx = /14 - 193.0 THz (1553.33 nm)</v>
          </cell>
        </row>
        <row r="168">
          <cell r="B168">
            <v>7</v>
          </cell>
          <cell r="D168" t="str">
            <v>/xx = /15 - 193.1 THz (1552.52 nm)</v>
          </cell>
        </row>
        <row r="169">
          <cell r="B169">
            <v>8</v>
          </cell>
          <cell r="D169" t="str">
            <v>/xx = /16 - 193.2 THz (1551.72 nm)</v>
          </cell>
        </row>
        <row r="170">
          <cell r="B170">
            <v>9</v>
          </cell>
          <cell r="D170" t="str">
            <v>/xx = /17 - 193.3 THz (1550.92 nm)</v>
          </cell>
        </row>
        <row r="171">
          <cell r="B171">
            <v>10</v>
          </cell>
          <cell r="D171" t="str">
            <v>/xx = /18 - 193.4 THz (1550.12 nm)</v>
          </cell>
        </row>
        <row r="172">
          <cell r="B172">
            <v>11</v>
          </cell>
          <cell r="D172" t="str">
            <v>/xx = /19 - 193.5 THz (1549.32 nm)</v>
          </cell>
        </row>
        <row r="173">
          <cell r="B173">
            <v>12</v>
          </cell>
          <cell r="D173" t="str">
            <v>/xx = /20 - 193.6 THz (1548.51 nm)</v>
          </cell>
        </row>
        <row r="174">
          <cell r="B174">
            <v>13</v>
          </cell>
          <cell r="D174" t="str">
            <v>/xx = /21 - 193.7 THz (1547.72 nm)</v>
          </cell>
        </row>
        <row r="175">
          <cell r="B175">
            <v>14</v>
          </cell>
          <cell r="D175" t="str">
            <v>/xx = /22 - 193.8 THz (1546.92 nm)</v>
          </cell>
        </row>
        <row r="176">
          <cell r="B176">
            <v>15</v>
          </cell>
          <cell r="D176" t="str">
            <v>/xx = /23 - 193.9 THz (1546.12 nm)</v>
          </cell>
        </row>
        <row r="177">
          <cell r="B177">
            <v>16</v>
          </cell>
          <cell r="D177" t="str">
            <v>/xx = /24 - 194.0 THz (1545.32 nm)</v>
          </cell>
        </row>
        <row r="179">
          <cell r="A179" t="str">
            <v>b2) /Xx =                /X1 - 195,5 THz (1533 nm) (per lato OVEST)</v>
          </cell>
        </row>
        <row r="180">
          <cell r="A180" t="str">
            <v xml:space="preserve">                                 /X2 - 194,5 THz (1541 nm) (per lato OVEST)</v>
          </cell>
        </row>
        <row r="181">
          <cell r="A181" t="str">
            <v xml:space="preserve">                                 /X3 - 193,5 THz (1549 nm) (per lato EST)</v>
          </cell>
        </row>
        <row r="182">
          <cell r="A182" t="str">
            <v xml:space="preserve">                                 /X4 - 192,5 THz (1557 nm) (per lato EST)</v>
          </cell>
        </row>
        <row r="184">
          <cell r="A184" t="str">
            <v>c)</v>
          </cell>
          <cell r="B184" t="str">
            <v xml:space="preserve"> in the following configuration:</v>
          </cell>
        </row>
        <row r="185">
          <cell r="B185" t="str">
            <v xml:space="preserve">    -  PENTIUM (minimum 75Mhz) (produced by international manufacturer (e.g.TOSHIBA, COMPAQ, AST))</v>
          </cell>
        </row>
        <row r="186">
          <cell r="B186" t="str">
            <v xml:space="preserve">   - 10" COLOR MONITOR (resolution 800x600)</v>
          </cell>
        </row>
        <row r="187">
          <cell r="B187" t="str">
            <v xml:space="preserve">    - SVGA GRAPHICAL ADAPTER 1024x768 resolution 256 colors with external output</v>
          </cell>
        </row>
        <row r="188">
          <cell r="B188" t="str">
            <v xml:space="preserve">   - 32 MBYTES RAM (minimum)</v>
          </cell>
        </row>
        <row r="189">
          <cell r="B189" t="str">
            <v xml:space="preserve">    - 1GIGABYTES HARD DISK (minimum) </v>
          </cell>
        </row>
        <row r="190">
          <cell r="B190" t="str">
            <v xml:space="preserve">    - 3.5" FLOPPY DISK DRIVER</v>
          </cell>
        </row>
        <row r="191">
          <cell r="B191" t="str">
            <v xml:space="preserve">    - CD ROM Drive</v>
          </cell>
        </row>
        <row r="192">
          <cell r="B192" t="str">
            <v xml:space="preserve">    - n. 1 SERIAL INTERFACE RS232 (9 pin, at least 19200 bps)</v>
          </cell>
        </row>
        <row r="193">
          <cell r="B193" t="str">
            <v xml:space="preserve">    - n. 1 PARALLEL INTERFACE</v>
          </cell>
        </row>
        <row r="194">
          <cell r="B194" t="str">
            <v xml:space="preserve">    - TRACKBALL (OR MICROSOFT MOUSE)</v>
          </cell>
        </row>
        <row r="195">
          <cell r="B195" t="str">
            <v xml:space="preserve">    - US/GB KEYBOARD</v>
          </cell>
        </row>
        <row r="196">
          <cell r="B196" t="str">
            <v xml:space="preserve">In the previous configuration 3,5" floppy disk driver and cd-rom driver could not be installed simultaneously because of the lack of phisical space </v>
          </cell>
        </row>
        <row r="197">
          <cell r="B197" t="str">
            <v xml:space="preserve"> including:</v>
          </cell>
        </row>
        <row r="198">
          <cell r="B198" t="str">
            <v xml:space="preserve"> - 1 connector 9 pins (male)</v>
          </cell>
        </row>
        <row r="199">
          <cell r="B199" t="str">
            <v xml:space="preserve"> - 3 wires cable 10 meters</v>
          </cell>
        </row>
        <row r="200">
          <cell r="B200" t="str">
            <v xml:space="preserve"> - 1 connector 9 pins (female)</v>
          </cell>
        </row>
        <row r="201">
          <cell r="B201" t="str">
            <v xml:space="preserve"> including :</v>
          </cell>
        </row>
        <row r="202">
          <cell r="B202" t="str">
            <v xml:space="preserve">  Windows NT 4</v>
          </cell>
        </row>
      </sheetData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0"/>
  <sheetViews>
    <sheetView showGridLines="0" zoomScale="90" zoomScaleNormal="90" workbookViewId="0">
      <selection activeCell="B19" sqref="B19"/>
    </sheetView>
  </sheetViews>
  <sheetFormatPr baseColWidth="8" defaultColWidth="9.28515625" defaultRowHeight="15" outlineLevelRow="1"/>
  <cols>
    <col width="31.42578125" customWidth="1" style="19" min="1" max="1"/>
    <col width="18.7109375" bestFit="1" customWidth="1" style="19" min="2" max="2"/>
    <col width="111.140625" bestFit="1" customWidth="1" style="19" min="3" max="3"/>
    <col width="11.28515625" customWidth="1" style="19" min="4" max="4"/>
    <col hidden="1" width="12.42578125" customWidth="1" style="19" min="5" max="5"/>
    <col width="9.28515625" customWidth="1" style="51" min="6" max="13"/>
    <col width="9.28515625" customWidth="1" style="19" min="14" max="16384"/>
  </cols>
  <sheetData>
    <row r="1" ht="69" customHeight="1" thickBot="1">
      <c r="A1" s="127" t="e">
        <v>#VALUE!</v>
      </c>
      <c r="B1" s="140" t="n"/>
      <c r="C1" s="140" t="n"/>
      <c r="D1" s="140" t="n"/>
      <c r="E1" s="141" t="n"/>
    </row>
    <row r="2">
      <c r="A2" s="142" t="inlineStr">
        <is>
          <t>Requisição da Mudança</t>
        </is>
      </c>
      <c r="B2" s="143" t="n"/>
      <c r="C2" s="143" t="n"/>
      <c r="D2" s="143" t="n"/>
      <c r="E2" s="144" t="inlineStr">
        <is>
          <t>Explicações de Como Preencher</t>
        </is>
      </c>
    </row>
    <row r="3" ht="15.75" customHeight="1" thickBot="1">
      <c r="A3" s="145" t="n"/>
      <c r="B3" s="146" t="n"/>
      <c r="C3" s="146" t="n"/>
      <c r="D3" s="146" t="n"/>
      <c r="E3" s="147" t="n"/>
    </row>
    <row r="4" ht="15.75" customHeight="1" thickBot="1">
      <c r="A4" s="20" t="inlineStr">
        <is>
          <t>Título da Mudança:</t>
        </is>
      </c>
      <c r="B4" s="148" t="inlineStr">
        <is>
          <t>Implantação do Sdwan - Piloto</t>
        </is>
      </c>
      <c r="C4" s="149" t="n"/>
      <c r="D4" s="150" t="n"/>
      <c r="E4" s="52" t="inlineStr">
        <is>
          <t>Diz respeito ao que se trata esta mudança</t>
        </is>
      </c>
    </row>
    <row r="5" ht="16.15" customHeight="1" thickBot="1">
      <c r="A5" s="20" t="inlineStr">
        <is>
          <t xml:space="preserve">Solicitante da RDM: </t>
        </is>
      </c>
      <c r="B5" s="151" t="inlineStr">
        <is>
          <t>Projeto SD-WAN</t>
        </is>
      </c>
      <c r="C5" s="149" t="n"/>
      <c r="D5" s="150" t="n"/>
      <c r="E5" s="52" t="inlineStr">
        <is>
          <t>Responsável pela Mudança</t>
        </is>
      </c>
    </row>
    <row r="6" ht="15.75" customHeight="1" thickBot="1">
      <c r="A6" s="20" t="inlineStr">
        <is>
          <t xml:space="preserve">Motivo: </t>
        </is>
      </c>
      <c r="B6" s="148" t="inlineStr">
        <is>
          <t>Janela de migração</t>
        </is>
      </c>
      <c r="C6" s="149" t="n"/>
      <c r="D6" s="150" t="n"/>
      <c r="E6" s="52" t="inlineStr">
        <is>
          <t>Informe o motivo pelo qual a mudança deve ser realizada.</t>
        </is>
      </c>
    </row>
    <row r="7" ht="15.75" customHeight="1" thickBot="1">
      <c r="A7" s="20" t="inlineStr">
        <is>
          <t>Categoria da Mudança:</t>
        </is>
      </c>
      <c r="B7" s="148" t="inlineStr">
        <is>
          <t>Programada</t>
        </is>
      </c>
      <c r="C7" s="149" t="n"/>
      <c r="D7" s="150" t="n"/>
      <c r="E7" s="52" t="inlineStr">
        <is>
          <t>Tipo da Mudança, Programada, Emergencial e Não Programada</t>
        </is>
      </c>
    </row>
    <row r="8" ht="21.75" customHeight="1" thickBot="1">
      <c r="A8" s="20" t="inlineStr">
        <is>
          <t>Criticidade:</t>
        </is>
      </c>
      <c r="B8" s="120" t="inlineStr">
        <is>
          <t>ALTO</t>
        </is>
      </c>
      <c r="C8" s="149" t="n"/>
      <c r="D8" s="56">
        <f>_xlfn.XLOOKUP(B8,List!I2:I4,List!J2:J4)</f>
        <v/>
      </c>
      <c r="E8" s="52" t="inlineStr">
        <is>
          <t>Informe a criticidade da mudança, pode ser: ALTA, MÉDIA ou BAIXA.</t>
        </is>
      </c>
    </row>
    <row r="9" ht="16.5" customHeight="1" thickBot="1">
      <c r="A9" s="20" t="inlineStr">
        <is>
          <t>E-mail do Aprovador:</t>
        </is>
      </c>
      <c r="B9" s="152" t="inlineStr">
        <is>
          <t>Cliente</t>
        </is>
      </c>
      <c r="C9" s="149" t="n"/>
      <c r="D9" s="150" t="n"/>
      <c r="E9" s="52" t="inlineStr">
        <is>
          <t>Receber o "De Acordo" do Cliente após analisar as atividades a serem realizadas na RDM.</t>
        </is>
      </c>
    </row>
    <row r="10" ht="19.5" customHeight="1" thickBot="1">
      <c r="A10" s="20" t="inlineStr">
        <is>
          <t>Data da RDM:</t>
        </is>
      </c>
      <c r="B10" s="153" t="n">
        <v>45848</v>
      </c>
      <c r="C10" s="149" t="n"/>
      <c r="D10" s="150" t="n"/>
      <c r="E10" s="52" t="inlineStr">
        <is>
          <t>Data da Requisição feita pelo Cliente</t>
        </is>
      </c>
    </row>
    <row r="11">
      <c r="A11" s="142" t="inlineStr">
        <is>
          <t>Executor da Mudança</t>
        </is>
      </c>
      <c r="B11" s="143" t="n"/>
      <c r="C11" s="143" t="n"/>
      <c r="D11" s="143" t="n"/>
      <c r="E11" s="144" t="inlineStr">
        <is>
          <t>Explicações de Como Preencher</t>
        </is>
      </c>
    </row>
    <row r="12" ht="15.75" customHeight="1" thickBot="1">
      <c r="A12" s="145" t="n"/>
      <c r="B12" s="146" t="n"/>
      <c r="C12" s="146" t="n"/>
      <c r="D12" s="146" t="n"/>
      <c r="E12" s="147" t="n"/>
    </row>
    <row r="13" ht="15.75" customHeight="1" thickBot="1">
      <c r="A13" s="20" t="inlineStr">
        <is>
          <t xml:space="preserve">Equipe Executora: </t>
        </is>
      </c>
      <c r="B13" s="151" t="inlineStr">
        <is>
          <t>ISD_B2B</t>
        </is>
      </c>
      <c r="C13" s="149" t="n"/>
      <c r="D13" s="150" t="n"/>
      <c r="E13" s="52" t="inlineStr">
        <is>
          <t>Informe a equipe principal desta mudança, equipe que irá executar a mudança.</t>
        </is>
      </c>
    </row>
    <row r="14" ht="15.75" customHeight="1" thickBot="1">
      <c r="A14" s="20" t="inlineStr">
        <is>
          <t xml:space="preserve">Serviço Envolvido na Mudança: </t>
        </is>
      </c>
      <c r="B14" s="148" t="inlineStr">
        <is>
          <t>Implantação do Sdwan</t>
        </is>
      </c>
      <c r="C14" s="149" t="n"/>
      <c r="D14" s="150" t="n"/>
      <c r="E14" s="52" t="inlineStr">
        <is>
          <t>Informe a que serviço a mudança se refere, ou seja, onde a mudança irá Causar o impacto principal</t>
        </is>
      </c>
    </row>
    <row r="15" ht="15.75" customHeight="1" thickBot="1">
      <c r="A15" s="20" t="inlineStr">
        <is>
          <t xml:space="preserve">Risco Identificado: </t>
        </is>
      </c>
      <c r="B15" s="151" t="inlineStr">
        <is>
          <t>Indisponibilidade da unidade.</t>
        </is>
      </c>
      <c r="C15" s="149" t="n"/>
      <c r="D15" s="150" t="n"/>
      <c r="E15" s="52" t="inlineStr">
        <is>
          <t>Informe as conseqüências caso a mudança não possa ser realizada.</t>
        </is>
      </c>
    </row>
    <row r="16" ht="21.75" customHeight="1" thickBot="1">
      <c r="A16" s="20" t="inlineStr">
        <is>
          <t>Impacto:</t>
        </is>
      </c>
      <c r="B16" s="120" t="inlineStr">
        <is>
          <t>ALTO</t>
        </is>
      </c>
      <c r="C16" s="149" t="n"/>
      <c r="D16" s="56">
        <f>_xlfn.XLOOKUP(B16,List!I2:I4,List!J2:J4)</f>
        <v/>
      </c>
      <c r="E16" s="52" t="inlineStr">
        <is>
          <t>Informe o impacto causado pela mudança.</t>
        </is>
      </c>
    </row>
    <row r="17" ht="19.5" customHeight="1" thickBot="1">
      <c r="A17" s="20" t="inlineStr">
        <is>
          <t xml:space="preserve">Previsão de início: </t>
        </is>
      </c>
      <c r="B17" s="154" t="n">
        <v>0.4166666666666667</v>
      </c>
      <c r="C17" s="149" t="n"/>
      <c r="D17" s="150" t="n"/>
      <c r="E17" s="52" t="inlineStr">
        <is>
          <t>Informe a data de início da mudança.</t>
        </is>
      </c>
    </row>
    <row r="18" ht="19.5" customHeight="1" thickBot="1">
      <c r="A18" s="20" t="inlineStr">
        <is>
          <t xml:space="preserve">Previsão de término: </t>
        </is>
      </c>
      <c r="B18" s="154" t="n">
        <v>0.6666666666666666</v>
      </c>
      <c r="C18" s="149" t="n"/>
      <c r="D18" s="150" t="n"/>
      <c r="E18" s="52" t="inlineStr">
        <is>
          <t>Informe a data de término da mudança.</t>
        </is>
      </c>
    </row>
    <row r="19" ht="19.5" customHeight="1" thickBot="1">
      <c r="A19" s="20" t="inlineStr">
        <is>
          <t>Tempo Da Janela</t>
        </is>
      </c>
      <c r="B19" s="22">
        <f>IF(B18&gt;B17,B18-B17,1-B17+B18)</f>
        <v/>
      </c>
      <c r="C19" s="119" t="n"/>
      <c r="D19" s="141" t="n"/>
      <c r="E19" s="52" t="n"/>
    </row>
    <row r="20" ht="15.75" customHeight="1" thickBot="1">
      <c r="A20" s="20" t="inlineStr">
        <is>
          <t xml:space="preserve">Responsável Técnico: </t>
        </is>
      </c>
      <c r="B20" s="151" t="inlineStr">
        <is>
          <t>Felipe Begnami</t>
        </is>
      </c>
      <c r="C20" s="149" t="n"/>
      <c r="D20" s="150" t="n"/>
      <c r="E20" s="52" t="inlineStr">
        <is>
          <t>Informe o responsável principal pela execução dessa mudança.</t>
        </is>
      </c>
    </row>
    <row r="21" ht="15.75" customHeight="1" thickBot="1">
      <c r="A21" s="20" t="inlineStr">
        <is>
          <t>Aprovação da Área Responsável:</t>
        </is>
      </c>
      <c r="B21" s="151" t="inlineStr">
        <is>
          <t>Felipe Paixão</t>
        </is>
      </c>
      <c r="C21" s="149" t="n"/>
      <c r="D21" s="150" t="n"/>
      <c r="E21" s="52" t="inlineStr">
        <is>
          <t>Aprovador da Execução da Mudança</t>
        </is>
      </c>
    </row>
    <row r="22" ht="15.75" customHeight="1" thickBot="1">
      <c r="A22" s="20" t="inlineStr">
        <is>
          <t xml:space="preserve">Validação da RDM: </t>
        </is>
      </c>
      <c r="B22" s="151" t="inlineStr">
        <is>
          <t>Cliente</t>
        </is>
      </c>
      <c r="C22" s="149" t="n"/>
      <c r="D22" s="150" t="n"/>
      <c r="E22" s="52" t="inlineStr">
        <is>
          <t>O verificador deve ser o mesmo Solicitante da RDM (ou seja, quem abriu/demandou a mudança)exceto se este for o executor.</t>
        </is>
      </c>
    </row>
    <row r="23" ht="21.75" customHeight="1" thickBot="1">
      <c r="A23" s="20" t="inlineStr">
        <is>
          <t>Tempo Estimado de Atividade</t>
        </is>
      </c>
      <c r="B23" s="23">
        <f>SUM(D80,D105)</f>
        <v/>
      </c>
      <c r="C23" s="57">
        <f>IF(B23&gt;B19,"Fora da Janela","Dentro da Janela")</f>
        <v/>
      </c>
      <c r="D23" s="57">
        <f>SUM(D80,D100)</f>
        <v/>
      </c>
      <c r="E23" s="53" t="n"/>
    </row>
    <row r="24" ht="15.75" customHeight="1" thickBot="1">
      <c r="A24" s="26" t="inlineStr">
        <is>
          <t>Atividade</t>
        </is>
      </c>
      <c r="B24" s="26" t="inlineStr">
        <is>
          <t>Step-by-Step</t>
        </is>
      </c>
      <c r="C24" s="149" t="n"/>
      <c r="D24" s="150" t="n"/>
      <c r="E24" s="101" t="n"/>
    </row>
    <row r="25" ht="15.75" customHeight="1" thickBot="1">
      <c r="A25" s="155" t="n"/>
      <c r="B25" s="26" t="inlineStr">
        <is>
          <t>Etapa</t>
        </is>
      </c>
      <c r="C25" s="26" t="inlineStr">
        <is>
          <t>Descrição</t>
        </is>
      </c>
      <c r="D25" s="26" t="inlineStr">
        <is>
          <t>Jornada HS</t>
        </is>
      </c>
      <c r="E25" s="101" t="inlineStr">
        <is>
          <t>Informe de forma detalhada a descrição da mudança.</t>
        </is>
      </c>
    </row>
    <row r="26" outlineLevel="1" ht="15.75" customHeight="1" thickBot="1">
      <c r="A26" s="27" t="n"/>
      <c r="B26" s="28" t="inlineStr">
        <is>
          <t>Step</t>
        </is>
      </c>
      <c r="C26" s="29" t="n">
        <v>1</v>
      </c>
      <c r="D26" s="156" t="n">
        <v>0.006944444444444444</v>
      </c>
      <c r="E26" s="157" t="n"/>
    </row>
    <row r="27" outlineLevel="1" ht="15.75" customHeight="1" thickBot="1">
      <c r="A27" s="30" t="n"/>
      <c r="B27" s="28" t="inlineStr">
        <is>
          <t>Tempo Estimado</t>
        </is>
      </c>
      <c r="C27" s="31" t="n">
        <v>0.006944444444444444</v>
      </c>
      <c r="D27" s="157" t="n"/>
      <c r="E27" s="157" t="n"/>
    </row>
    <row r="28" outlineLevel="1" ht="15.75" customHeight="1" thickBot="1">
      <c r="A28" s="30" t="n"/>
      <c r="B28" s="28" t="inlineStr">
        <is>
          <t>Ação</t>
        </is>
      </c>
      <c r="C28" s="29" t="inlineStr">
        <is>
          <t>Instalação Física do Sdwan</t>
        </is>
      </c>
      <c r="D28" s="157" t="n"/>
      <c r="E28" s="157" t="n"/>
    </row>
    <row r="29" outlineLevel="1" ht="15.75" customHeight="1" thickBot="1">
      <c r="A29" s="30" t="n"/>
      <c r="B29" s="28" t="inlineStr">
        <is>
          <t>Status</t>
        </is>
      </c>
      <c r="C29" s="29" t="n"/>
      <c r="D29" s="157" t="n"/>
      <c r="E29" s="157" t="n"/>
    </row>
    <row r="30" outlineLevel="1" ht="15.75" customHeight="1" thickBot="1">
      <c r="A30" s="30" t="n"/>
      <c r="B30" s="28" t="inlineStr">
        <is>
          <t xml:space="preserve">Responsável </t>
        </is>
      </c>
      <c r="C30" s="32" t="inlineStr">
        <is>
          <t>DELFIA</t>
        </is>
      </c>
      <c r="D30" s="155" t="n"/>
      <c r="E30" s="157" t="n"/>
    </row>
    <row r="31" outlineLevel="1" ht="15.75" customHeight="1" thickBot="1">
      <c r="A31" s="30" t="n"/>
      <c r="B31" s="26" t="n"/>
      <c r="C31" s="149" t="n"/>
      <c r="D31" s="150" t="n"/>
      <c r="E31" s="157" t="n"/>
    </row>
    <row r="32" outlineLevel="1" ht="15.75" customHeight="1" thickBot="1">
      <c r="A32" s="30" t="n"/>
      <c r="B32" s="28" t="inlineStr">
        <is>
          <t>Step</t>
        </is>
      </c>
      <c r="C32" s="33" t="n">
        <v>2</v>
      </c>
      <c r="D32" s="156">
        <f>C33+D26</f>
        <v/>
      </c>
      <c r="E32" s="157" t="n"/>
    </row>
    <row r="33" outlineLevel="1" ht="15.75" customHeight="1" thickBot="1">
      <c r="A33" s="30" t="n"/>
      <c r="B33" s="28" t="inlineStr">
        <is>
          <t>Tempo Estimado</t>
        </is>
      </c>
      <c r="C33" s="34" t="n">
        <v>0.006944444444444444</v>
      </c>
      <c r="D33" s="157" t="n"/>
      <c r="E33" s="157" t="n"/>
    </row>
    <row r="34" outlineLevel="1" ht="15.75" customHeight="1" thickBot="1">
      <c r="A34" s="30" t="n"/>
      <c r="B34" s="28" t="inlineStr">
        <is>
          <t>Ação</t>
        </is>
      </c>
      <c r="C34" s="33" t="inlineStr">
        <is>
          <t>Atualização de Firmware</t>
        </is>
      </c>
      <c r="D34" s="157" t="n"/>
      <c r="E34" s="157" t="n"/>
    </row>
    <row r="35" outlineLevel="1" ht="15.75" customHeight="1" thickBot="1">
      <c r="A35" s="30" t="n"/>
      <c r="B35" s="28" t="inlineStr">
        <is>
          <t>Status</t>
        </is>
      </c>
      <c r="C35" s="29" t="n"/>
      <c r="D35" s="157" t="n"/>
      <c r="E35" s="157" t="n"/>
    </row>
    <row r="36" outlineLevel="1" ht="15.75" customHeight="1" thickBot="1">
      <c r="A36" s="30" t="n"/>
      <c r="B36" s="28" t="inlineStr">
        <is>
          <t xml:space="preserve">Responsável </t>
        </is>
      </c>
      <c r="C36" s="32" t="inlineStr">
        <is>
          <t>DELFIA</t>
        </is>
      </c>
      <c r="D36" s="155" t="n"/>
      <c r="E36" s="157" t="n"/>
    </row>
    <row r="37" outlineLevel="1" ht="15.75" customHeight="1" thickBot="1">
      <c r="A37" s="30" t="n"/>
      <c r="B37" s="98" t="n"/>
      <c r="C37" s="99" t="n"/>
      <c r="D37" s="35" t="n"/>
      <c r="E37" s="157" t="n"/>
    </row>
    <row r="38" outlineLevel="1" ht="15.75" customHeight="1" thickBot="1">
      <c r="A38" s="30" t="n"/>
      <c r="B38" s="28" t="inlineStr">
        <is>
          <t>Step</t>
        </is>
      </c>
      <c r="C38" s="29" t="n">
        <v>3</v>
      </c>
      <c r="D38" s="156">
        <f>C39+D32</f>
        <v/>
      </c>
      <c r="E38" s="157" t="n"/>
    </row>
    <row r="39" outlineLevel="1" ht="15.75" customHeight="1" thickBot="1">
      <c r="A39" s="30" t="n"/>
      <c r="B39" s="28" t="inlineStr">
        <is>
          <t>Tempo Estimado</t>
        </is>
      </c>
      <c r="C39" s="31" t="n">
        <v>0.02083333333333333</v>
      </c>
      <c r="D39" s="157" t="n"/>
      <c r="E39" s="157" t="n"/>
    </row>
    <row r="40" outlineLevel="1" ht="15.75" customHeight="1" thickBot="1">
      <c r="A40" s="30" t="n"/>
      <c r="B40" s="28" t="inlineStr">
        <is>
          <t>Ação</t>
        </is>
      </c>
      <c r="C40" s="33" t="inlineStr">
        <is>
          <t>Identificação e Conectividade Física dos Links</t>
        </is>
      </c>
      <c r="D40" s="157" t="n"/>
      <c r="E40" s="157" t="n"/>
    </row>
    <row r="41" outlineLevel="1" ht="15.75" customHeight="1" thickBot="1">
      <c r="A41" s="30" t="n"/>
      <c r="B41" s="28" t="inlineStr">
        <is>
          <t>Status</t>
        </is>
      </c>
      <c r="C41" s="29" t="n"/>
      <c r="D41" s="157" t="n"/>
      <c r="E41" s="157" t="n"/>
    </row>
    <row r="42" outlineLevel="1" ht="15.75" customHeight="1" thickBot="1">
      <c r="A42" s="30" t="n"/>
      <c r="B42" s="28" t="inlineStr">
        <is>
          <t xml:space="preserve">Responsável </t>
        </is>
      </c>
      <c r="C42" s="32" t="inlineStr">
        <is>
          <t>DELFIA</t>
        </is>
      </c>
      <c r="D42" s="155" t="n"/>
      <c r="E42" s="157" t="n"/>
    </row>
    <row r="43" outlineLevel="1" ht="15.75" customHeight="1" thickBot="1">
      <c r="A43" s="30" t="n"/>
      <c r="B43" s="98" t="n"/>
      <c r="C43" s="99" t="n"/>
      <c r="D43" s="35" t="n"/>
      <c r="E43" s="157" t="n"/>
    </row>
    <row r="44" outlineLevel="1" ht="15.75" customHeight="1" thickBot="1">
      <c r="A44" s="30" t="n"/>
      <c r="B44" s="28" t="inlineStr">
        <is>
          <t>Step</t>
        </is>
      </c>
      <c r="C44" s="29" t="n">
        <v>4</v>
      </c>
      <c r="D44" s="156">
        <f>C45+D38</f>
        <v/>
      </c>
      <c r="E44" s="157" t="n"/>
    </row>
    <row r="45" outlineLevel="1" ht="15.75" customHeight="1" thickBot="1">
      <c r="A45" s="30" t="n"/>
      <c r="B45" s="28" t="inlineStr">
        <is>
          <t>Tempo Estimado</t>
        </is>
      </c>
      <c r="C45" s="31" t="n">
        <v>0.006944444444444444</v>
      </c>
      <c r="D45" s="157" t="n"/>
      <c r="E45" s="157" t="n"/>
    </row>
    <row r="46" outlineLevel="1" ht="15.75" customHeight="1" thickBot="1">
      <c r="A46" s="30" t="n"/>
      <c r="B46" s="28" t="inlineStr">
        <is>
          <t>Ação</t>
        </is>
      </c>
      <c r="C46" s="29" t="inlineStr">
        <is>
          <t>Provisionamento da Gerencia Vivo Vita (LTP)</t>
        </is>
      </c>
      <c r="D46" s="157" t="n"/>
      <c r="E46" s="157" t="n"/>
    </row>
    <row r="47" outlineLevel="1" ht="15.75" customHeight="1" thickBot="1">
      <c r="A47" s="30" t="n"/>
      <c r="B47" s="28" t="inlineStr">
        <is>
          <t>Status</t>
        </is>
      </c>
      <c r="C47" s="29" t="n"/>
      <c r="D47" s="157" t="n"/>
      <c r="E47" s="157" t="n"/>
    </row>
    <row r="48" outlineLevel="1" ht="15.75" customHeight="1" thickBot="1">
      <c r="A48" s="30" t="n"/>
      <c r="B48" s="28" t="inlineStr">
        <is>
          <t xml:space="preserve">Responsável </t>
        </is>
      </c>
      <c r="C48" s="32" t="inlineStr">
        <is>
          <t>DELFIA</t>
        </is>
      </c>
      <c r="D48" s="155" t="n"/>
      <c r="E48" s="157" t="n"/>
    </row>
    <row r="49" outlineLevel="1" ht="15.75" customHeight="1" thickBot="1">
      <c r="A49" s="30" t="n"/>
      <c r="B49" s="98" t="n"/>
      <c r="C49" s="99" t="n"/>
      <c r="D49" s="35" t="n"/>
      <c r="E49" s="157" t="n"/>
    </row>
    <row r="50" outlineLevel="1" ht="15.75" customHeight="1" thickBot="1">
      <c r="A50" s="30" t="n"/>
      <c r="B50" s="28" t="inlineStr">
        <is>
          <t>Step</t>
        </is>
      </c>
      <c r="C50" s="33" t="n">
        <v>5</v>
      </c>
      <c r="D50" s="156">
        <f>C51+D44</f>
        <v/>
      </c>
      <c r="E50" s="157" t="n"/>
    </row>
    <row r="51" outlineLevel="1" ht="15.75" customHeight="1" thickBot="1">
      <c r="A51" s="30" t="n"/>
      <c r="B51" s="28" t="inlineStr">
        <is>
          <t>Tempo Estimado</t>
        </is>
      </c>
      <c r="C51" s="34" t="n">
        <v>0.006944444444444444</v>
      </c>
      <c r="D51" s="157" t="n"/>
      <c r="E51" s="157" t="n"/>
    </row>
    <row r="52" outlineLevel="1" ht="15.75" customHeight="1" thickBot="1">
      <c r="A52" s="30" t="n"/>
      <c r="B52" s="28" t="inlineStr">
        <is>
          <t>Ação</t>
        </is>
      </c>
      <c r="C52" s="29" t="inlineStr">
        <is>
          <t>Validar Acesso de Gestão e Estrutura Sdwan</t>
        </is>
      </c>
      <c r="D52" s="157" t="n"/>
      <c r="E52" s="157" t="n"/>
    </row>
    <row r="53" outlineLevel="1" ht="15.75" customHeight="1" thickBot="1">
      <c r="A53" s="30" t="n"/>
      <c r="B53" s="28" t="inlineStr">
        <is>
          <t>Status</t>
        </is>
      </c>
      <c r="C53" s="33" t="n"/>
      <c r="D53" s="157" t="n"/>
      <c r="E53" s="157" t="n"/>
    </row>
    <row r="54" outlineLevel="1" ht="15.75" customHeight="1" thickBot="1">
      <c r="A54" s="30" t="n"/>
      <c r="B54" s="28" t="inlineStr">
        <is>
          <t xml:space="preserve">Responsável </t>
        </is>
      </c>
      <c r="C54" s="32" t="inlineStr">
        <is>
          <t>VITA-IMP</t>
        </is>
      </c>
      <c r="D54" s="155" t="n"/>
      <c r="E54" s="157" t="n"/>
    </row>
    <row r="55" outlineLevel="1" ht="15.75" customHeight="1" thickBot="1">
      <c r="A55" s="30" t="n"/>
      <c r="B55" s="36" t="n"/>
      <c r="C55" s="37" t="n"/>
      <c r="D55" s="38" t="n"/>
      <c r="E55" s="157" t="n"/>
    </row>
    <row r="56" outlineLevel="1" ht="15.75" customHeight="1" thickBot="1">
      <c r="A56" s="30" t="n"/>
      <c r="B56" s="28" t="inlineStr">
        <is>
          <t>Step</t>
        </is>
      </c>
      <c r="C56" s="33" t="n">
        <v>6</v>
      </c>
      <c r="D56" s="156">
        <f>C57+D44</f>
        <v/>
      </c>
      <c r="E56" s="157" t="n"/>
    </row>
    <row r="57" outlineLevel="1" ht="15.75" customHeight="1" thickBot="1">
      <c r="A57" s="30" t="n"/>
      <c r="B57" s="28" t="inlineStr">
        <is>
          <t>Tempo Estimado</t>
        </is>
      </c>
      <c r="C57" s="34" t="n">
        <v>0.003472222222222222</v>
      </c>
      <c r="D57" s="157" t="n"/>
      <c r="E57" s="157" t="n"/>
    </row>
    <row r="58" outlineLevel="1" ht="15.75" customHeight="1" thickBot="1">
      <c r="A58" s="30" t="n"/>
      <c r="B58" s="28" t="inlineStr">
        <is>
          <t>Ação</t>
        </is>
      </c>
      <c r="C58" s="33" t="inlineStr">
        <is>
          <t>Realizar Backup do CPE</t>
        </is>
      </c>
      <c r="D58" s="157" t="n"/>
      <c r="E58" s="157" t="n"/>
    </row>
    <row r="59" outlineLevel="1" ht="15.75" customHeight="1" thickBot="1">
      <c r="A59" s="30" t="n"/>
      <c r="B59" s="28" t="inlineStr">
        <is>
          <t>Status</t>
        </is>
      </c>
      <c r="C59" s="39" t="n"/>
      <c r="D59" s="157" t="n"/>
      <c r="E59" s="157" t="n"/>
    </row>
    <row r="60" outlineLevel="1" ht="15.75" customHeight="1" thickBot="1">
      <c r="A60" s="30" t="n"/>
      <c r="B60" s="28" t="inlineStr">
        <is>
          <t xml:space="preserve">Responsável </t>
        </is>
      </c>
      <c r="C60" s="32" t="inlineStr">
        <is>
          <t>TBRA</t>
        </is>
      </c>
      <c r="D60" s="155" t="n"/>
      <c r="E60" s="157" t="n"/>
    </row>
    <row r="61" outlineLevel="1" ht="15.75" customHeight="1" thickBot="1">
      <c r="A61" s="30" t="n"/>
      <c r="B61" s="36" t="n"/>
      <c r="C61" s="37" t="n"/>
      <c r="D61" s="38" t="n"/>
      <c r="E61" s="157" t="n"/>
    </row>
    <row r="62" outlineLevel="1" ht="15.75" customHeight="1" thickBot="1">
      <c r="A62" s="30" t="n"/>
      <c r="B62" s="28" t="inlineStr">
        <is>
          <t>Step</t>
        </is>
      </c>
      <c r="C62" s="33" t="n">
        <v>7</v>
      </c>
      <c r="D62" s="156">
        <f>C63+D50</f>
        <v/>
      </c>
      <c r="E62" s="157" t="n"/>
    </row>
    <row r="63" outlineLevel="1" ht="15.75" customHeight="1" thickBot="1">
      <c r="A63" s="30" t="n"/>
      <c r="B63" s="28" t="inlineStr">
        <is>
          <t>Tempo Estimado</t>
        </is>
      </c>
      <c r="C63" s="34" t="n">
        <v>0.02083333333333333</v>
      </c>
      <c r="D63" s="157" t="n"/>
      <c r="E63" s="157" t="n"/>
    </row>
    <row r="64" outlineLevel="1" ht="15.75" customHeight="1" thickBot="1">
      <c r="A64" s="30" t="n"/>
      <c r="B64" s="28" t="inlineStr">
        <is>
          <t>Ação</t>
        </is>
      </c>
      <c r="C64" s="33" t="inlineStr">
        <is>
          <t>Provisionamento da VRF Sdwan no MPLS</t>
        </is>
      </c>
      <c r="D64" s="157" t="n"/>
      <c r="E64" s="157" t="n"/>
    </row>
    <row r="65" outlineLevel="1" ht="15.75" customHeight="1" thickBot="1">
      <c r="A65" s="30" t="n"/>
      <c r="B65" s="28" t="inlineStr">
        <is>
          <t>Status</t>
        </is>
      </c>
      <c r="C65" s="39" t="n"/>
      <c r="D65" s="157" t="n"/>
      <c r="E65" s="157" t="n"/>
    </row>
    <row r="66" outlineLevel="1" ht="15.75" customHeight="1" thickBot="1">
      <c r="A66" s="30" t="n"/>
      <c r="B66" s="28" t="inlineStr">
        <is>
          <t xml:space="preserve">Responsável </t>
        </is>
      </c>
      <c r="C66" s="32" t="inlineStr">
        <is>
          <t>TBRA</t>
        </is>
      </c>
      <c r="D66" s="155" t="n"/>
      <c r="E66" s="157" t="n"/>
    </row>
    <row r="67" outlineLevel="1" ht="15.75" customHeight="1" thickBot="1">
      <c r="A67" s="30" t="n"/>
      <c r="B67" s="36" t="n"/>
      <c r="C67" s="37" t="n"/>
      <c r="D67" s="38" t="n"/>
      <c r="E67" s="157" t="n"/>
    </row>
    <row r="68" outlineLevel="1" ht="15.75" customHeight="1" thickBot="1">
      <c r="A68" s="30" t="n"/>
      <c r="B68" s="28" t="inlineStr">
        <is>
          <t>Step</t>
        </is>
      </c>
      <c r="C68" s="33" t="n">
        <v>8</v>
      </c>
      <c r="D68" s="156">
        <f>C69+D62</f>
        <v/>
      </c>
      <c r="E68" s="157" t="n"/>
    </row>
    <row r="69" outlineLevel="1" ht="15.75" customHeight="1" thickBot="1">
      <c r="A69" s="30" t="n"/>
      <c r="B69" s="28" t="inlineStr">
        <is>
          <t>Tempo Estimado</t>
        </is>
      </c>
      <c r="C69" s="34" t="n">
        <v>0.006944444444444444</v>
      </c>
      <c r="D69" s="157" t="n"/>
      <c r="E69" s="157" t="n"/>
    </row>
    <row r="70" outlineLevel="1" ht="15.75" customHeight="1" thickBot="1">
      <c r="A70" s="30" t="n"/>
      <c r="B70" s="28" t="inlineStr">
        <is>
          <t>Ação</t>
        </is>
      </c>
      <c r="C70" s="33" t="inlineStr">
        <is>
          <t>Ativação do Serviço/Migração da Filial</t>
        </is>
      </c>
      <c r="D70" s="157" t="n"/>
      <c r="E70" s="157" t="n"/>
    </row>
    <row r="71" outlineLevel="1" ht="15.75" customHeight="1" thickBot="1">
      <c r="A71" s="30" t="n"/>
      <c r="B71" s="28" t="inlineStr">
        <is>
          <t>Status</t>
        </is>
      </c>
      <c r="C71" s="39" t="n"/>
      <c r="D71" s="157" t="n"/>
      <c r="E71" s="157" t="n"/>
    </row>
    <row r="72" outlineLevel="1" ht="15.75" customHeight="1" thickBot="1">
      <c r="A72" s="30" t="n"/>
      <c r="B72" s="28" t="inlineStr">
        <is>
          <t xml:space="preserve">Responsável </t>
        </is>
      </c>
      <c r="C72" s="32" t="inlineStr">
        <is>
          <t>CLIENTE/DELFIA</t>
        </is>
      </c>
      <c r="D72" s="155" t="n"/>
      <c r="E72" s="157" t="n"/>
    </row>
    <row r="73" outlineLevel="1" ht="15.75" customHeight="1" thickBot="1">
      <c r="A73" s="30" t="n"/>
      <c r="B73" s="36" t="n"/>
      <c r="C73" s="37" t="n"/>
      <c r="D73" s="38" t="n"/>
      <c r="E73" s="157" t="n"/>
    </row>
    <row r="74" outlineLevel="1" ht="15.75" customHeight="1" thickBot="1">
      <c r="A74" s="30" t="n"/>
      <c r="B74" s="28" t="inlineStr">
        <is>
          <t>Step</t>
        </is>
      </c>
      <c r="C74" s="33" t="n">
        <v>9</v>
      </c>
      <c r="D74" s="156">
        <f>C75+D68</f>
        <v/>
      </c>
      <c r="E74" s="157" t="n"/>
    </row>
    <row r="75" ht="15.75" customHeight="1" thickBot="1">
      <c r="A75" s="30" t="n"/>
      <c r="B75" s="28" t="inlineStr">
        <is>
          <t>Tempo Estimado</t>
        </is>
      </c>
      <c r="C75" s="34" t="n">
        <v>0.04166666666666666</v>
      </c>
      <c r="D75" s="157" t="n"/>
      <c r="E75" s="157" t="n"/>
    </row>
    <row r="76" ht="15.75" customHeight="1" thickBot="1">
      <c r="A76" s="74" t="n"/>
      <c r="B76" s="28" t="inlineStr">
        <is>
          <t>Ação</t>
        </is>
      </c>
      <c r="C76" s="33" t="inlineStr">
        <is>
          <t>Aplicar Caderno de Teste</t>
        </is>
      </c>
      <c r="D76" s="157" t="n"/>
      <c r="E76" s="55" t="n"/>
    </row>
    <row r="77" ht="15.75" customHeight="1" thickBot="1">
      <c r="A77" s="74" t="n"/>
      <c r="B77" s="28" t="inlineStr">
        <is>
          <t>Status</t>
        </is>
      </c>
      <c r="C77" s="33" t="n"/>
      <c r="D77" s="157" t="n"/>
      <c r="E77" s="107" t="inlineStr">
        <is>
          <t>Informe de forma detalhada do Rollback da mudança.</t>
        </is>
      </c>
    </row>
    <row r="78" outlineLevel="1" ht="15.75" customHeight="1" thickBot="1">
      <c r="A78" s="74" t="n"/>
      <c r="B78" s="28" t="inlineStr">
        <is>
          <t xml:space="preserve">Responsável </t>
        </is>
      </c>
      <c r="C78" s="32" t="inlineStr">
        <is>
          <t>VITA-IMP e CLIENTE</t>
        </is>
      </c>
      <c r="D78" s="155" t="n"/>
      <c r="E78" s="158" t="n"/>
    </row>
    <row r="79" outlineLevel="1" ht="15.75" customHeight="1" thickBot="1">
      <c r="A79" s="74" t="n"/>
      <c r="B79" s="36" t="n"/>
      <c r="C79" s="37" t="n"/>
      <c r="D79" s="38" t="n"/>
      <c r="E79" s="158" t="n"/>
    </row>
    <row r="80" outlineLevel="1" ht="15.75" customHeight="1" thickBot="1">
      <c r="A80" s="74" t="n"/>
      <c r="B80" s="28" t="inlineStr">
        <is>
          <t>Step</t>
        </is>
      </c>
      <c r="C80" s="29" t="n">
        <v>10</v>
      </c>
      <c r="D80" s="156">
        <f>C81+D74</f>
        <v/>
      </c>
      <c r="E80" s="158" t="n"/>
    </row>
    <row r="81" outlineLevel="1" ht="15.75" customHeight="1" thickBot="1">
      <c r="A81" s="74" t="n"/>
      <c r="B81" s="28" t="inlineStr">
        <is>
          <t>Tempo Estimado</t>
        </is>
      </c>
      <c r="C81" s="31" t="n">
        <v>0.02083333333333333</v>
      </c>
      <c r="D81" s="157" t="n"/>
      <c r="E81" s="158" t="n"/>
    </row>
    <row r="82" outlineLevel="1" ht="15.75" customHeight="1" thickBot="1">
      <c r="A82" s="74" t="n"/>
      <c r="B82" s="28" t="inlineStr">
        <is>
          <t>Ação</t>
        </is>
      </c>
      <c r="C82" s="29" t="inlineStr">
        <is>
          <t>Backup / Validação / Coleta de Log do Ambiente.</t>
        </is>
      </c>
      <c r="D82" s="157" t="n"/>
      <c r="E82" s="158" t="n"/>
    </row>
    <row r="83" outlineLevel="1" ht="15.75" customHeight="1" thickBot="1">
      <c r="A83" s="74" t="n"/>
      <c r="B83" s="28" t="inlineStr">
        <is>
          <t>Status</t>
        </is>
      </c>
      <c r="C83" s="29" t="n"/>
      <c r="D83" s="157" t="n"/>
      <c r="E83" s="158" t="n"/>
    </row>
    <row r="84" outlineLevel="1" ht="15.75" customHeight="1" thickBot="1">
      <c r="A84" s="74" t="n"/>
      <c r="B84" s="28" t="inlineStr">
        <is>
          <t xml:space="preserve">Responsável </t>
        </is>
      </c>
      <c r="C84" s="32" t="inlineStr">
        <is>
          <t>VITA-IMP</t>
        </is>
      </c>
      <c r="D84" s="155" t="n"/>
      <c r="E84" s="158" t="n"/>
    </row>
    <row r="85" outlineLevel="1" ht="15.75" customHeight="1" thickBot="1">
      <c r="A85" s="74" t="n"/>
      <c r="B85" s="40" t="inlineStr">
        <is>
          <t>Tempo de Execução</t>
        </is>
      </c>
      <c r="C85" s="41" t="n"/>
      <c r="D85" s="42">
        <f>D80</f>
        <v/>
      </c>
      <c r="E85" s="158" t="n"/>
    </row>
    <row r="86" outlineLevel="1" ht="15.75" customHeight="1" thickBot="1">
      <c r="A86" s="95" t="inlineStr">
        <is>
          <t>Rollback</t>
        </is>
      </c>
      <c r="B86" s="43" t="inlineStr">
        <is>
          <t>Step-by-Step</t>
        </is>
      </c>
      <c r="C86" s="149" t="n"/>
      <c r="D86" s="150" t="n"/>
      <c r="E86" s="158" t="n"/>
    </row>
    <row r="87" outlineLevel="1" ht="15.75" customHeight="1" thickBot="1">
      <c r="A87" s="147" t="n"/>
      <c r="B87" s="43" t="inlineStr">
        <is>
          <t>Etapa</t>
        </is>
      </c>
      <c r="C87" s="43" t="inlineStr">
        <is>
          <t>Descrição</t>
        </is>
      </c>
      <c r="D87" s="43" t="inlineStr">
        <is>
          <t>Jornada HS</t>
        </is>
      </c>
      <c r="E87" s="158" t="n"/>
    </row>
    <row r="88" outlineLevel="1" ht="15.75" customHeight="1" thickBot="1">
      <c r="A88" s="44" t="n"/>
      <c r="B88" s="45" t="inlineStr">
        <is>
          <t>Step</t>
        </is>
      </c>
      <c r="C88" s="46" t="n">
        <v>1</v>
      </c>
      <c r="D88" s="159">
        <f>C89</f>
        <v/>
      </c>
      <c r="E88" s="158" t="n"/>
    </row>
    <row r="89" ht="15.75" customHeight="1" thickBot="1">
      <c r="A89" s="44" t="n"/>
      <c r="B89" s="45" t="inlineStr">
        <is>
          <t>Tempo Estimado</t>
        </is>
      </c>
      <c r="C89" s="47" t="n">
        <v>0.003472222222222222</v>
      </c>
      <c r="D89" s="157" t="n"/>
      <c r="E89" s="158" t="n"/>
    </row>
    <row r="90" ht="15.75" customHeight="1" thickBot="1">
      <c r="A90" s="44" t="n"/>
      <c r="B90" s="45" t="inlineStr">
        <is>
          <t>Ação</t>
        </is>
      </c>
      <c r="C90" s="46" t="inlineStr">
        <is>
          <t>Fazer Rollback da Conectividade Wan (MPLS) para o ambiente legado (CPE)</t>
        </is>
      </c>
      <c r="D90" s="157" t="n"/>
    </row>
    <row r="91" ht="15.75" customHeight="1" thickBot="1">
      <c r="A91" s="44" t="n"/>
      <c r="B91" s="45" t="inlineStr">
        <is>
          <t>Status</t>
        </is>
      </c>
      <c r="C91" s="46" t="n"/>
      <c r="D91" s="157" t="n"/>
    </row>
    <row r="92" ht="15.75" customHeight="1" thickBot="1">
      <c r="A92" s="44" t="n"/>
      <c r="B92" s="45" t="inlineStr">
        <is>
          <t xml:space="preserve">Responsável </t>
        </is>
      </c>
      <c r="C92" s="46" t="inlineStr">
        <is>
          <t>DELFIA</t>
        </is>
      </c>
      <c r="D92" s="155" t="n"/>
    </row>
    <row r="93" ht="15.75" customHeight="1" thickBot="1">
      <c r="A93" s="44" t="n"/>
      <c r="B93" s="43" t="n"/>
      <c r="C93" s="43" t="n"/>
      <c r="D93" s="75" t="n"/>
    </row>
    <row r="94" ht="15.75" customHeight="1" thickBot="1">
      <c r="A94" s="44" t="n"/>
      <c r="B94" s="45" t="inlineStr">
        <is>
          <t>Step</t>
        </is>
      </c>
      <c r="C94" s="46" t="n">
        <v>2</v>
      </c>
      <c r="D94" s="159">
        <f>SUM(C95+D88)</f>
        <v/>
      </c>
    </row>
    <row r="95" ht="15.75" customHeight="1" thickBot="1">
      <c r="A95" s="44" t="n"/>
      <c r="B95" s="45" t="inlineStr">
        <is>
          <t>Tempo Estimado</t>
        </is>
      </c>
      <c r="C95" s="47" t="n">
        <v>0.003472222222222222</v>
      </c>
      <c r="D95" s="157" t="n"/>
    </row>
    <row r="96" ht="15.75" customHeight="1" thickBot="1">
      <c r="A96" s="44" t="n"/>
      <c r="B96" s="45" t="inlineStr">
        <is>
          <t>Ação</t>
        </is>
      </c>
      <c r="C96" s="46" t="inlineStr">
        <is>
          <t>Fazer Rollback das Configurações do CPE (MPLS) - Aplicar Backup</t>
        </is>
      </c>
      <c r="D96" s="157" t="n"/>
    </row>
    <row r="97" ht="15.75" customHeight="1" thickBot="1">
      <c r="A97" s="44" t="n"/>
      <c r="B97" s="45" t="inlineStr">
        <is>
          <t>Status</t>
        </is>
      </c>
      <c r="C97" s="46" t="n"/>
      <c r="D97" s="157" t="n"/>
    </row>
    <row r="98" ht="15.75" customHeight="1" thickBot="1">
      <c r="A98" s="44" t="n"/>
      <c r="B98" s="45" t="inlineStr">
        <is>
          <t xml:space="preserve">Responsável </t>
        </is>
      </c>
      <c r="C98" s="46" t="inlineStr">
        <is>
          <t>TBRA</t>
        </is>
      </c>
      <c r="D98" s="155" t="n"/>
    </row>
    <row r="99" ht="15.75" customHeight="1" thickBot="1">
      <c r="A99" s="44" t="n"/>
      <c r="B99" s="43" t="n"/>
      <c r="C99" s="43" t="n"/>
      <c r="D99" s="43" t="n"/>
    </row>
    <row r="100" ht="15.75" customHeight="1" thickBot="1">
      <c r="A100" s="44" t="n"/>
      <c r="B100" s="45" t="inlineStr">
        <is>
          <t>Step</t>
        </is>
      </c>
      <c r="C100" s="46" t="n">
        <v>2</v>
      </c>
      <c r="D100" s="159">
        <f>SUM(C101+D94)</f>
        <v/>
      </c>
    </row>
    <row r="101" ht="15.75" customHeight="1" thickBot="1">
      <c r="A101" s="44" t="n"/>
      <c r="B101" s="45" t="inlineStr">
        <is>
          <t>Tempo Estimado</t>
        </is>
      </c>
      <c r="C101" s="47" t="n">
        <v>0.01388888888888889</v>
      </c>
      <c r="D101" s="157" t="n"/>
    </row>
    <row r="102" ht="15.75" customHeight="1" thickBot="1">
      <c r="A102" s="44" t="n"/>
      <c r="B102" s="45" t="inlineStr">
        <is>
          <t>Ação</t>
        </is>
      </c>
      <c r="C102" s="46" t="inlineStr">
        <is>
          <t>Realizar o Teste/Validação.</t>
        </is>
      </c>
      <c r="D102" s="157" t="n"/>
    </row>
    <row r="103" ht="15.75" customHeight="1" thickBot="1">
      <c r="A103" s="44" t="n"/>
      <c r="B103" s="45" t="inlineStr">
        <is>
          <t>Status</t>
        </is>
      </c>
      <c r="C103" s="46" t="n"/>
      <c r="D103" s="157" t="n"/>
    </row>
    <row r="104" ht="15.75" customHeight="1" thickBot="1">
      <c r="A104" s="44" t="n"/>
      <c r="B104" s="45" t="inlineStr">
        <is>
          <t xml:space="preserve">Responsável </t>
        </is>
      </c>
      <c r="C104" s="46" t="inlineStr">
        <is>
          <t>CLIENTE</t>
        </is>
      </c>
      <c r="D104" s="155" t="n"/>
    </row>
    <row r="105" ht="15.75" customHeight="1" thickBot="1">
      <c r="A105" s="44" t="n"/>
      <c r="B105" s="48" t="inlineStr">
        <is>
          <t>Tempo do Rollback</t>
        </is>
      </c>
      <c r="C105" s="49" t="n"/>
      <c r="D105" s="50">
        <f>D100</f>
        <v/>
      </c>
    </row>
    <row r="106">
      <c r="A106" s="51" t="n"/>
      <c r="B106" s="51" t="n"/>
      <c r="C106" s="51" t="n"/>
      <c r="D106" s="51" t="n"/>
    </row>
    <row r="107">
      <c r="A107" s="51" t="n"/>
      <c r="B107" s="51" t="n"/>
      <c r="C107" s="51" t="n"/>
      <c r="D107" s="51" t="n"/>
    </row>
    <row r="108">
      <c r="A108" s="51" t="n"/>
      <c r="B108" s="51" t="n"/>
      <c r="C108" s="51" t="n"/>
      <c r="D108" s="51" t="n"/>
    </row>
    <row r="109">
      <c r="A109" s="51" t="n"/>
      <c r="B109" s="51" t="n"/>
      <c r="C109" s="51" t="n"/>
      <c r="D109" s="51" t="n"/>
    </row>
    <row r="110">
      <c r="A110" s="51" t="n"/>
      <c r="B110" s="51" t="n"/>
      <c r="C110" s="51" t="n"/>
      <c r="D110" s="51" t="n"/>
    </row>
    <row r="111">
      <c r="A111" s="51" t="n"/>
      <c r="B111" s="51" t="n"/>
      <c r="C111" s="51" t="n"/>
      <c r="D111" s="51" t="n"/>
    </row>
    <row r="112">
      <c r="A112" s="51" t="n"/>
      <c r="B112" s="51" t="n"/>
      <c r="C112" s="51" t="n"/>
      <c r="D112" s="51" t="n"/>
    </row>
    <row r="113">
      <c r="A113" s="51" t="n"/>
      <c r="B113" s="51" t="n"/>
      <c r="C113" s="51" t="n"/>
      <c r="D113" s="51" t="n"/>
    </row>
    <row r="114">
      <c r="A114" s="51" t="n"/>
      <c r="B114" s="51" t="n"/>
      <c r="C114" s="51" t="n"/>
      <c r="D114" s="51" t="n"/>
    </row>
    <row r="115">
      <c r="A115" s="51" t="n"/>
      <c r="B115" s="51" t="n"/>
      <c r="C115" s="51" t="n"/>
      <c r="D115" s="51" t="n"/>
    </row>
    <row r="116">
      <c r="A116" s="51" t="n"/>
      <c r="B116" s="51" t="n"/>
      <c r="C116" s="51" t="n"/>
      <c r="D116" s="51" t="n"/>
    </row>
    <row r="117">
      <c r="A117" s="51" t="n"/>
      <c r="B117" s="51" t="n"/>
      <c r="C117" s="51" t="n"/>
      <c r="D117" s="51" t="n"/>
    </row>
    <row r="118">
      <c r="A118" s="51" t="n"/>
      <c r="B118" s="51" t="n"/>
      <c r="C118" s="51" t="n"/>
      <c r="D118" s="51" t="n"/>
    </row>
    <row r="119">
      <c r="A119" s="51" t="n"/>
      <c r="B119" s="51" t="n"/>
      <c r="C119" s="51" t="n"/>
      <c r="D119" s="51" t="n"/>
    </row>
    <row r="120">
      <c r="A120" s="51" t="n"/>
      <c r="B120" s="51" t="n"/>
      <c r="C120" s="51" t="n"/>
      <c r="D120" s="51" t="n"/>
    </row>
    <row r="121">
      <c r="A121" s="51" t="n"/>
      <c r="B121" s="51" t="n"/>
      <c r="C121" s="51" t="n"/>
      <c r="D121" s="51" t="n"/>
    </row>
    <row r="122">
      <c r="A122" s="51" t="n"/>
      <c r="B122" s="51" t="n"/>
      <c r="C122" s="51" t="n"/>
      <c r="D122" s="51" t="n"/>
    </row>
    <row r="123">
      <c r="A123" s="51" t="n"/>
      <c r="B123" s="51" t="n"/>
      <c r="C123" s="51" t="n"/>
      <c r="D123" s="51" t="n"/>
    </row>
    <row r="124">
      <c r="A124" s="51" t="n"/>
      <c r="B124" s="51" t="n"/>
      <c r="C124" s="51" t="n"/>
      <c r="D124" s="51" t="n"/>
    </row>
    <row r="125">
      <c r="A125" s="51" t="n"/>
      <c r="B125" s="51" t="n"/>
      <c r="C125" s="51" t="n"/>
      <c r="D125" s="51" t="n"/>
    </row>
    <row r="126">
      <c r="A126" s="51" t="n"/>
      <c r="B126" s="51" t="n"/>
      <c r="C126" s="51" t="n"/>
      <c r="D126" s="51" t="n"/>
    </row>
    <row r="127">
      <c r="A127" s="51" t="n"/>
      <c r="B127" s="51" t="n"/>
      <c r="C127" s="51" t="n"/>
      <c r="D127" s="51" t="n"/>
    </row>
    <row r="128">
      <c r="A128" s="51" t="n"/>
      <c r="B128" s="51" t="n"/>
      <c r="C128" s="51" t="n"/>
      <c r="D128" s="51" t="n"/>
    </row>
    <row r="129">
      <c r="A129" s="51" t="n"/>
      <c r="B129" s="51" t="n"/>
      <c r="C129" s="51" t="n"/>
      <c r="D129" s="51" t="n"/>
    </row>
    <row r="130">
      <c r="A130" s="51" t="n"/>
      <c r="B130" s="51" t="n"/>
      <c r="C130" s="51" t="n"/>
      <c r="D130" s="51" t="n"/>
    </row>
    <row r="131">
      <c r="A131" s="51" t="n"/>
      <c r="B131" s="51" t="n"/>
      <c r="C131" s="51" t="n"/>
      <c r="D131" s="51" t="n"/>
    </row>
    <row r="132">
      <c r="A132" s="51" t="n"/>
      <c r="B132" s="51" t="n"/>
      <c r="C132" s="51" t="n"/>
      <c r="D132" s="51" t="n"/>
    </row>
    <row r="133">
      <c r="A133" s="51" t="n"/>
      <c r="B133" s="51" t="n"/>
      <c r="C133" s="51" t="n"/>
      <c r="D133" s="51" t="n"/>
    </row>
    <row r="134">
      <c r="A134" s="51" t="n"/>
      <c r="B134" s="51" t="n"/>
      <c r="C134" s="51" t="n"/>
      <c r="D134" s="51" t="n"/>
    </row>
    <row r="135">
      <c r="A135" s="51" t="n"/>
      <c r="B135" s="51" t="n"/>
      <c r="C135" s="51" t="n"/>
      <c r="D135" s="51" t="n"/>
    </row>
    <row r="136">
      <c r="A136" s="51" t="n"/>
      <c r="B136" s="51" t="n"/>
      <c r="C136" s="51" t="n"/>
      <c r="D136" s="51" t="n"/>
    </row>
    <row r="137">
      <c r="A137" s="51" t="n"/>
      <c r="B137" s="51" t="n"/>
      <c r="C137" s="51" t="n"/>
      <c r="D137" s="51" t="n"/>
    </row>
    <row r="138">
      <c r="A138" s="51" t="n"/>
      <c r="B138" s="51" t="n"/>
      <c r="C138" s="51" t="n"/>
      <c r="D138" s="51" t="n"/>
    </row>
    <row r="139">
      <c r="A139" s="51" t="n"/>
      <c r="B139" s="51" t="n"/>
      <c r="C139" s="51" t="n"/>
      <c r="D139" s="51" t="n"/>
    </row>
    <row r="140">
      <c r="A140" s="51" t="n"/>
      <c r="B140" s="51" t="n"/>
      <c r="C140" s="51" t="n"/>
      <c r="D140" s="51" t="n"/>
    </row>
    <row r="141">
      <c r="A141" s="51" t="n"/>
      <c r="B141" s="51" t="n"/>
      <c r="C141" s="51" t="n"/>
      <c r="D141" s="51" t="n"/>
    </row>
    <row r="142">
      <c r="A142" s="51" t="n"/>
      <c r="B142" s="51" t="n"/>
      <c r="C142" s="51" t="n"/>
      <c r="D142" s="51" t="n"/>
    </row>
    <row r="143">
      <c r="A143" s="51" t="n"/>
      <c r="B143" s="51" t="n"/>
      <c r="C143" s="51" t="n"/>
      <c r="D143" s="51" t="n"/>
    </row>
    <row r="144">
      <c r="A144" s="51" t="n"/>
      <c r="B144" s="51" t="n"/>
      <c r="C144" s="51" t="n"/>
      <c r="D144" s="51" t="n"/>
    </row>
    <row r="145">
      <c r="A145" s="51" t="n"/>
      <c r="B145" s="51" t="n"/>
      <c r="C145" s="51" t="n"/>
      <c r="D145" s="51" t="n"/>
    </row>
    <row r="146">
      <c r="A146" s="51" t="n"/>
      <c r="B146" s="51" t="n"/>
      <c r="C146" s="51" t="n"/>
      <c r="D146" s="51" t="n"/>
    </row>
    <row r="147">
      <c r="A147" s="51" t="n"/>
      <c r="B147" s="51" t="n"/>
      <c r="C147" s="51" t="n"/>
      <c r="D147" s="51" t="n"/>
    </row>
    <row r="148">
      <c r="A148" s="51" t="n"/>
      <c r="B148" s="51" t="n"/>
      <c r="C148" s="51" t="n"/>
      <c r="D148" s="51" t="n"/>
    </row>
    <row r="149">
      <c r="A149" s="51" t="n"/>
      <c r="B149" s="51" t="n"/>
      <c r="C149" s="51" t="n"/>
      <c r="D149" s="51" t="n"/>
    </row>
    <row r="150">
      <c r="A150" s="51" t="n"/>
      <c r="B150" s="51" t="n"/>
      <c r="C150" s="51" t="n"/>
      <c r="D150" s="51" t="n"/>
    </row>
    <row r="151">
      <c r="A151" s="51" t="n"/>
      <c r="B151" s="51" t="n"/>
      <c r="C151" s="51" t="n"/>
      <c r="D151" s="51" t="n"/>
    </row>
    <row r="152">
      <c r="A152" s="51" t="n"/>
      <c r="B152" s="51" t="n"/>
      <c r="C152" s="51" t="n"/>
      <c r="D152" s="51" t="n"/>
    </row>
    <row r="153">
      <c r="A153" s="51" t="n"/>
      <c r="B153" s="51" t="n"/>
      <c r="C153" s="51" t="n"/>
      <c r="D153" s="51" t="n"/>
    </row>
    <row r="154">
      <c r="A154" s="51" t="n"/>
      <c r="B154" s="51" t="n"/>
      <c r="C154" s="51" t="n"/>
      <c r="D154" s="51" t="n"/>
    </row>
    <row r="155">
      <c r="A155" s="51" t="n"/>
      <c r="B155" s="51" t="n"/>
      <c r="C155" s="51" t="n"/>
      <c r="D155" s="51" t="n"/>
    </row>
    <row r="156">
      <c r="A156" s="51" t="n"/>
      <c r="B156" s="51" t="n"/>
      <c r="C156" s="51" t="n"/>
      <c r="D156" s="51" t="n"/>
    </row>
    <row r="157">
      <c r="A157" s="51" t="n"/>
      <c r="B157" s="51" t="n"/>
      <c r="C157" s="51" t="n"/>
      <c r="D157" s="51" t="n"/>
    </row>
    <row r="158">
      <c r="A158" s="51" t="n"/>
      <c r="B158" s="51" t="n"/>
      <c r="C158" s="51" t="n"/>
      <c r="D158" s="51" t="n"/>
    </row>
    <row r="159">
      <c r="A159" s="51" t="n"/>
      <c r="B159" s="51" t="n"/>
      <c r="C159" s="51" t="n"/>
      <c r="D159" s="51" t="n"/>
    </row>
    <row r="160">
      <c r="A160" s="51" t="n"/>
      <c r="B160" s="51" t="n"/>
      <c r="C160" s="51" t="n"/>
      <c r="D160" s="51" t="n"/>
    </row>
    <row r="161">
      <c r="A161" s="51" t="n"/>
      <c r="B161" s="51" t="n"/>
      <c r="C161" s="51" t="n"/>
      <c r="D161" s="51" t="n"/>
    </row>
    <row r="162">
      <c r="A162" s="51" t="n"/>
      <c r="B162" s="51" t="n"/>
      <c r="C162" s="51" t="n"/>
      <c r="D162" s="51" t="n"/>
    </row>
    <row r="163">
      <c r="A163" s="51" t="n"/>
      <c r="B163" s="51" t="n"/>
      <c r="C163" s="51" t="n"/>
      <c r="D163" s="51" t="n"/>
    </row>
    <row r="164">
      <c r="A164" s="51" t="n"/>
      <c r="B164" s="51" t="n"/>
      <c r="C164" s="51" t="n"/>
      <c r="D164" s="51" t="n"/>
    </row>
    <row r="165">
      <c r="A165" s="51" t="n"/>
      <c r="B165" s="51" t="n"/>
      <c r="C165" s="51" t="n"/>
      <c r="D165" s="51" t="n"/>
    </row>
    <row r="166">
      <c r="A166" s="51" t="n"/>
      <c r="B166" s="51" t="n"/>
      <c r="C166" s="51" t="n"/>
      <c r="D166" s="51" t="n"/>
    </row>
    <row r="167">
      <c r="A167" s="51" t="n"/>
      <c r="B167" s="51" t="n"/>
      <c r="C167" s="51" t="n"/>
      <c r="D167" s="51" t="n"/>
    </row>
    <row r="168">
      <c r="A168" s="51" t="n"/>
      <c r="B168" s="51" t="n"/>
      <c r="C168" s="51" t="n"/>
      <c r="D168" s="51" t="n"/>
    </row>
    <row r="169">
      <c r="A169" s="51" t="n"/>
      <c r="B169" s="51" t="n"/>
      <c r="C169" s="51" t="n"/>
      <c r="D169" s="51" t="n"/>
    </row>
    <row r="170">
      <c r="A170" s="51" t="n"/>
      <c r="B170" s="51" t="n"/>
      <c r="C170" s="51" t="n"/>
      <c r="D170" s="51" t="n"/>
    </row>
    <row r="171">
      <c r="A171" s="51" t="n"/>
      <c r="B171" s="51" t="n"/>
      <c r="C171" s="51" t="n"/>
      <c r="D171" s="51" t="n"/>
    </row>
    <row r="172">
      <c r="A172" s="51" t="n"/>
      <c r="B172" s="51" t="n"/>
      <c r="C172" s="51" t="n"/>
      <c r="D172" s="51" t="n"/>
    </row>
    <row r="173">
      <c r="A173" s="51" t="n"/>
      <c r="B173" s="51" t="n"/>
      <c r="C173" s="51" t="n"/>
      <c r="D173" s="51" t="n"/>
    </row>
    <row r="174">
      <c r="A174" s="51" t="n"/>
      <c r="B174" s="51" t="n"/>
      <c r="C174" s="51" t="n"/>
      <c r="D174" s="51" t="n"/>
    </row>
    <row r="175">
      <c r="A175" s="51" t="n"/>
      <c r="B175" s="51" t="n"/>
      <c r="C175" s="51" t="n"/>
      <c r="D175" s="51" t="n"/>
    </row>
    <row r="176">
      <c r="A176" s="51" t="n"/>
      <c r="B176" s="51" t="n"/>
      <c r="C176" s="51" t="n"/>
      <c r="D176" s="51" t="n"/>
    </row>
    <row r="177">
      <c r="A177" s="51" t="n"/>
      <c r="B177" s="51" t="n"/>
      <c r="C177" s="51" t="n"/>
      <c r="D177" s="51" t="n"/>
    </row>
    <row r="178">
      <c r="A178" s="51" t="n"/>
      <c r="B178" s="51" t="n"/>
      <c r="C178" s="51" t="n"/>
      <c r="D178" s="51" t="n"/>
    </row>
    <row r="179">
      <c r="A179" s="51" t="n"/>
      <c r="B179" s="51" t="n"/>
      <c r="C179" s="51" t="n"/>
      <c r="D179" s="51" t="n"/>
    </row>
    <row r="180">
      <c r="A180" s="51" t="n"/>
      <c r="B180" s="51" t="n"/>
      <c r="C180" s="51" t="n"/>
      <c r="D180" s="51" t="n"/>
    </row>
    <row r="181">
      <c r="A181" s="51" t="n"/>
      <c r="B181" s="51" t="n"/>
      <c r="C181" s="51" t="n"/>
      <c r="D181" s="51" t="n"/>
    </row>
    <row r="182">
      <c r="A182" s="51" t="n"/>
      <c r="B182" s="51" t="n"/>
      <c r="C182" s="51" t="n"/>
      <c r="D182" s="51" t="n"/>
    </row>
    <row r="183">
      <c r="A183" s="51" t="n"/>
      <c r="B183" s="51" t="n"/>
      <c r="C183" s="51" t="n"/>
      <c r="D183" s="51" t="n"/>
    </row>
    <row r="184">
      <c r="A184" s="51" t="n"/>
      <c r="B184" s="51" t="n"/>
      <c r="C184" s="51" t="n"/>
      <c r="D184" s="51" t="n"/>
    </row>
    <row r="185">
      <c r="A185" s="51" t="n"/>
      <c r="B185" s="51" t="n"/>
      <c r="C185" s="51" t="n"/>
      <c r="D185" s="51" t="n"/>
    </row>
    <row r="186">
      <c r="A186" s="51" t="n"/>
      <c r="B186" s="51" t="n"/>
      <c r="C186" s="51" t="n"/>
      <c r="D186" s="51" t="n"/>
    </row>
    <row r="187">
      <c r="A187" s="51" t="n"/>
      <c r="B187" s="51" t="n"/>
      <c r="C187" s="51" t="n"/>
      <c r="D187" s="51" t="n"/>
    </row>
    <row r="188">
      <c r="A188" s="51" t="n"/>
      <c r="B188" s="51" t="n"/>
      <c r="C188" s="51" t="n"/>
      <c r="D188" s="51" t="n"/>
    </row>
    <row r="189">
      <c r="A189" s="51" t="n"/>
      <c r="B189" s="51" t="n"/>
      <c r="C189" s="51" t="n"/>
      <c r="D189" s="51" t="n"/>
    </row>
    <row r="190">
      <c r="A190" s="51" t="n"/>
      <c r="B190" s="51" t="n"/>
      <c r="C190" s="51" t="n"/>
      <c r="D190" s="51" t="n"/>
    </row>
    <row r="191">
      <c r="A191" s="51" t="n"/>
      <c r="B191" s="51" t="n"/>
      <c r="C191" s="51" t="n"/>
      <c r="D191" s="51" t="n"/>
    </row>
    <row r="192">
      <c r="A192" s="51" t="n"/>
      <c r="B192" s="51" t="n"/>
      <c r="C192" s="51" t="n"/>
      <c r="D192" s="51" t="n"/>
    </row>
    <row r="193">
      <c r="A193" s="51" t="n"/>
      <c r="B193" s="51" t="n"/>
      <c r="C193" s="51" t="n"/>
      <c r="D193" s="51" t="n"/>
    </row>
    <row r="194">
      <c r="A194" s="51" t="n"/>
      <c r="B194" s="51" t="n"/>
      <c r="C194" s="51" t="n"/>
      <c r="D194" s="51" t="n"/>
    </row>
    <row r="195">
      <c r="A195" s="51" t="n"/>
      <c r="B195" s="51" t="n"/>
      <c r="C195" s="51" t="n"/>
      <c r="D195" s="51" t="n"/>
    </row>
    <row r="196">
      <c r="A196" s="51" t="n"/>
      <c r="B196" s="51" t="n"/>
      <c r="C196" s="51" t="n"/>
      <c r="D196" s="51" t="n"/>
    </row>
    <row r="197">
      <c r="A197" s="51" t="n"/>
      <c r="B197" s="51" t="n"/>
      <c r="C197" s="51" t="n"/>
      <c r="D197" s="51" t="n"/>
    </row>
    <row r="198">
      <c r="A198" s="51" t="n"/>
      <c r="B198" s="51" t="n"/>
      <c r="C198" s="51" t="n"/>
      <c r="D198" s="51" t="n"/>
    </row>
    <row r="199">
      <c r="A199" s="51" t="n"/>
      <c r="B199" s="51" t="n"/>
      <c r="C199" s="51" t="n"/>
      <c r="D199" s="51" t="n"/>
    </row>
    <row r="200">
      <c r="A200" s="51" t="n"/>
      <c r="B200" s="51" t="n"/>
      <c r="C200" s="51" t="n"/>
      <c r="D200" s="51" t="n"/>
    </row>
    <row r="201">
      <c r="A201" s="51" t="n"/>
      <c r="B201" s="51" t="n"/>
      <c r="C201" s="51" t="n"/>
      <c r="D201" s="51" t="n"/>
    </row>
    <row r="202">
      <c r="A202" s="51" t="n"/>
      <c r="B202" s="51" t="n"/>
      <c r="C202" s="51" t="n"/>
      <c r="D202" s="51" t="n"/>
    </row>
    <row r="203">
      <c r="A203" s="51" t="n"/>
      <c r="B203" s="51" t="n"/>
      <c r="C203" s="51" t="n"/>
      <c r="D203" s="51" t="n"/>
    </row>
    <row r="204">
      <c r="A204" s="51" t="n"/>
      <c r="B204" s="51" t="n"/>
      <c r="C204" s="51" t="n"/>
      <c r="D204" s="51" t="n"/>
    </row>
    <row r="205">
      <c r="A205" s="51" t="n"/>
      <c r="B205" s="51" t="n"/>
      <c r="C205" s="51" t="n"/>
      <c r="D205" s="51" t="n"/>
    </row>
    <row r="206">
      <c r="A206" s="51" t="n"/>
      <c r="B206" s="51" t="n"/>
      <c r="C206" s="51" t="n"/>
      <c r="D206" s="51" t="n"/>
    </row>
    <row r="207">
      <c r="A207" s="51" t="n"/>
      <c r="B207" s="51" t="n"/>
      <c r="C207" s="51" t="n"/>
      <c r="D207" s="51" t="n"/>
    </row>
    <row r="208">
      <c r="A208" s="51" t="n"/>
      <c r="B208" s="51" t="n"/>
      <c r="C208" s="51" t="n"/>
      <c r="D208" s="51" t="n"/>
    </row>
    <row r="209">
      <c r="A209" s="51" t="n"/>
      <c r="B209" s="51" t="n"/>
      <c r="C209" s="51" t="n"/>
      <c r="D209" s="51" t="n"/>
    </row>
    <row r="210">
      <c r="A210" s="51" t="n"/>
      <c r="B210" s="51" t="n"/>
      <c r="C210" s="51" t="n"/>
      <c r="D210" s="51" t="n"/>
    </row>
    <row r="211">
      <c r="A211" s="51" t="n"/>
      <c r="B211" s="51" t="n"/>
      <c r="C211" s="51" t="n"/>
      <c r="D211" s="51" t="n"/>
    </row>
    <row r="212">
      <c r="A212" s="51" t="n"/>
      <c r="B212" s="51" t="n"/>
      <c r="C212" s="51" t="n"/>
      <c r="D212" s="51" t="n"/>
    </row>
    <row r="213">
      <c r="A213" s="51" t="n"/>
      <c r="B213" s="51" t="n"/>
      <c r="C213" s="51" t="n"/>
      <c r="D213" s="51" t="n"/>
    </row>
    <row r="214">
      <c r="A214" s="51" t="n"/>
      <c r="B214" s="51" t="n"/>
      <c r="C214" s="51" t="n"/>
      <c r="D214" s="51" t="n"/>
    </row>
    <row r="215">
      <c r="A215" s="51" t="n"/>
      <c r="B215" s="51" t="n"/>
      <c r="C215" s="51" t="n"/>
      <c r="D215" s="51" t="n"/>
    </row>
    <row r="216">
      <c r="A216" s="51" t="n"/>
      <c r="B216" s="51" t="n"/>
      <c r="C216" s="51" t="n"/>
      <c r="D216" s="51" t="n"/>
    </row>
    <row r="217">
      <c r="A217" s="51" t="n"/>
      <c r="B217" s="51" t="n"/>
      <c r="C217" s="51" t="n"/>
      <c r="D217" s="51" t="n"/>
    </row>
    <row r="218">
      <c r="A218" s="51" t="n"/>
      <c r="B218" s="51" t="n"/>
      <c r="C218" s="51" t="n"/>
      <c r="D218" s="51" t="n"/>
    </row>
    <row r="219">
      <c r="A219" s="51" t="n"/>
      <c r="B219" s="51" t="n"/>
      <c r="C219" s="51" t="n"/>
      <c r="D219" s="51" t="n"/>
    </row>
    <row r="220">
      <c r="A220" s="51" t="n"/>
      <c r="B220" s="51" t="n"/>
      <c r="C220" s="51" t="n"/>
      <c r="D220" s="51" t="n"/>
    </row>
    <row r="221">
      <c r="A221" s="51" t="n"/>
      <c r="B221" s="51" t="n"/>
      <c r="C221" s="51" t="n"/>
      <c r="D221" s="51" t="n"/>
    </row>
    <row r="222">
      <c r="A222" s="51" t="n"/>
      <c r="B222" s="51" t="n"/>
      <c r="C222" s="51" t="n"/>
      <c r="D222" s="51" t="n"/>
    </row>
    <row r="223">
      <c r="A223" s="51" t="n"/>
      <c r="B223" s="51" t="n"/>
      <c r="C223" s="51" t="n"/>
      <c r="D223" s="51" t="n"/>
    </row>
    <row r="224">
      <c r="A224" s="51" t="n"/>
      <c r="B224" s="51" t="n"/>
      <c r="C224" s="51" t="n"/>
      <c r="D224" s="51" t="n"/>
    </row>
    <row r="225">
      <c r="A225" s="51" t="n"/>
      <c r="B225" s="51" t="n"/>
      <c r="C225" s="51" t="n"/>
      <c r="D225" s="51" t="n"/>
    </row>
    <row r="226">
      <c r="A226" s="51" t="n"/>
      <c r="B226" s="51" t="n"/>
      <c r="C226" s="51" t="n"/>
      <c r="D226" s="51" t="n"/>
    </row>
    <row r="227">
      <c r="A227" s="51" t="n"/>
      <c r="B227" s="51" t="n"/>
      <c r="C227" s="51" t="n"/>
      <c r="D227" s="51" t="n"/>
    </row>
    <row r="228">
      <c r="A228" s="51" t="n"/>
      <c r="B228" s="51" t="n"/>
      <c r="C228" s="51" t="n"/>
      <c r="D228" s="51" t="n"/>
    </row>
    <row r="229">
      <c r="A229" s="51" t="n"/>
      <c r="B229" s="51" t="n"/>
      <c r="C229" s="51" t="n"/>
      <c r="D229" s="51" t="n"/>
    </row>
    <row r="230">
      <c r="A230" s="51" t="n"/>
      <c r="B230" s="51" t="n"/>
      <c r="C230" s="51" t="n"/>
      <c r="D230" s="51" t="n"/>
    </row>
    <row r="231">
      <c r="B231" s="51" t="n"/>
      <c r="C231" s="51" t="n"/>
      <c r="D231" s="51" t="n"/>
    </row>
    <row r="232">
      <c r="B232" s="51" t="n"/>
      <c r="C232" s="51" t="n"/>
      <c r="D232" s="51" t="n"/>
    </row>
    <row r="233">
      <c r="B233" s="51" t="n"/>
      <c r="C233" s="51" t="n"/>
      <c r="D233" s="51" t="n"/>
    </row>
    <row r="234">
      <c r="B234" s="51" t="n"/>
      <c r="C234" s="51" t="n"/>
      <c r="D234" s="51" t="n"/>
    </row>
    <row r="235">
      <c r="B235" s="51" t="n"/>
      <c r="C235" s="51" t="n"/>
      <c r="D235" s="51" t="n"/>
    </row>
    <row r="236">
      <c r="B236" s="51" t="n"/>
      <c r="C236" s="51" t="n"/>
      <c r="D236" s="51" t="n"/>
    </row>
    <row r="237">
      <c r="B237" s="51" t="n"/>
      <c r="C237" s="51" t="n"/>
      <c r="D237" s="51" t="n"/>
    </row>
    <row r="238">
      <c r="B238" s="51" t="n"/>
      <c r="C238" s="51" t="n"/>
      <c r="D238" s="51" t="n"/>
    </row>
    <row r="239">
      <c r="B239" s="51" t="n"/>
      <c r="C239" s="51" t="n"/>
      <c r="D239" s="51" t="n"/>
    </row>
    <row r="240">
      <c r="B240" s="51" t="n"/>
      <c r="C240" s="51" t="n"/>
      <c r="D240" s="51" t="n"/>
    </row>
  </sheetData>
  <autoFilter ref="A1:E89">
    <filterColumn colId="0" hiddenButton="0" showButton="0"/>
    <filterColumn colId="1" hiddenButton="0" showButton="0"/>
    <filterColumn colId="2" hiddenButton="0" showButton="0"/>
    <filterColumn colId="3" hiddenButton="0" showButton="0"/>
  </autoFilter>
  <mergeCells count="42">
    <mergeCell ref="B16:C16"/>
    <mergeCell ref="A24:A25"/>
    <mergeCell ref="B14:D14"/>
    <mergeCell ref="D62:D66"/>
    <mergeCell ref="D56:D60"/>
    <mergeCell ref="B17:D17"/>
    <mergeCell ref="B13:D13"/>
    <mergeCell ref="A1:E1"/>
    <mergeCell ref="D74:D78"/>
    <mergeCell ref="D68:D72"/>
    <mergeCell ref="B10:D10"/>
    <mergeCell ref="A86:A87"/>
    <mergeCell ref="B9:D9"/>
    <mergeCell ref="D38:D42"/>
    <mergeCell ref="E25:E75"/>
    <mergeCell ref="B15:D15"/>
    <mergeCell ref="A2:D3"/>
    <mergeCell ref="B8:C8"/>
    <mergeCell ref="E2:E3"/>
    <mergeCell ref="D94:D98"/>
    <mergeCell ref="E11:E12"/>
    <mergeCell ref="B6:D6"/>
    <mergeCell ref="B20:D20"/>
    <mergeCell ref="B24:D24"/>
    <mergeCell ref="D88:D92"/>
    <mergeCell ref="D50:D54"/>
    <mergeCell ref="B5:D5"/>
    <mergeCell ref="D26:D30"/>
    <mergeCell ref="D44:D48"/>
    <mergeCell ref="E77:E89"/>
    <mergeCell ref="D100:D104"/>
    <mergeCell ref="B4:D4"/>
    <mergeCell ref="B7:D7"/>
    <mergeCell ref="D80:D84"/>
    <mergeCell ref="B86:D86"/>
    <mergeCell ref="B31:D31"/>
    <mergeCell ref="B22:D22"/>
    <mergeCell ref="C19:D19"/>
    <mergeCell ref="B18:D18"/>
    <mergeCell ref="B21:D21"/>
    <mergeCell ref="A11:D12"/>
    <mergeCell ref="D32:D36"/>
  </mergeCells>
  <conditionalFormatting sqref="B8 D8">
    <cfRule type="beginsWith" priority="1" operator="beginsWith" dxfId="1" text="5">
      <formula>LEFT(B8,LEN("5"))="5"</formula>
    </cfRule>
    <cfRule type="containsText" priority="2" operator="containsText" dxfId="1" text="BAIXO">
      <formula>NOT(ISERROR(SEARCH("BAIXO",B8)))</formula>
    </cfRule>
    <cfRule type="containsText" priority="3" operator="containsText" dxfId="3" text="15">
      <formula>NOT(ISERROR(SEARCH("15",B8)))</formula>
    </cfRule>
    <cfRule type="containsText" priority="4" operator="containsText" dxfId="17" text="10">
      <formula>NOT(ISERROR(SEARCH("10",B8)))</formula>
    </cfRule>
    <cfRule type="containsText" priority="5" operator="containsText" dxfId="17" text="MÉDIO">
      <formula>NOT(ISERROR(SEARCH("MÉDIO",B8)))</formula>
    </cfRule>
    <cfRule type="containsText" priority="6" operator="containsText" dxfId="3" text="ALTO">
      <formula>NOT(ISERROR(SEARCH("ALTO",B8)))</formula>
    </cfRule>
  </conditionalFormatting>
  <conditionalFormatting sqref="B16 D16">
    <cfRule type="beginsWith" priority="13" operator="beginsWith" dxfId="1" text="5">
      <formula>LEFT(B16,LEN("5"))="5"</formula>
    </cfRule>
    <cfRule type="containsText" priority="14" operator="containsText" dxfId="1" text="BAIXO">
      <formula>NOT(ISERROR(SEARCH("BAIXO",B16)))</formula>
    </cfRule>
    <cfRule type="containsText" priority="15" operator="containsText" dxfId="3" text="15">
      <formula>NOT(ISERROR(SEARCH("15",B16)))</formula>
    </cfRule>
    <cfRule type="containsText" priority="16" operator="containsText" dxfId="17" text="10">
      <formula>NOT(ISERROR(SEARCH("10",B16)))</formula>
    </cfRule>
    <cfRule type="containsText" priority="17" operator="containsText" dxfId="17" text="MÉDIO">
      <formula>NOT(ISERROR(SEARCH("MÉDIO",B16)))</formula>
    </cfRule>
    <cfRule type="containsText" priority="21" operator="containsText" dxfId="3" text="ALTO">
      <formula>NOT(ISERROR(SEARCH("ALTO",B16)))</formula>
    </cfRule>
  </conditionalFormatting>
  <conditionalFormatting sqref="C23">
    <cfRule type="containsText" priority="19" operator="containsText" dxfId="1" text="Dentro da Janela">
      <formula>NOT(ISERROR(SEARCH("Dentro da Janela",C23)))</formula>
    </cfRule>
    <cfRule type="containsText" priority="20" operator="containsText" dxfId="3" text="Fora da Janela">
      <formula>NOT(ISERROR(SEARCH("Fora da Janela",C23)))</formula>
    </cfRule>
  </conditionalFormatting>
  <conditionalFormatting sqref="D23">
    <cfRule type="cellIs" priority="8" operator="greaterThan" dxfId="3">
      <formula>$B$19</formula>
    </cfRule>
    <cfRule type="cellIs" priority="9" operator="between" dxfId="1">
      <formula>$B$23</formula>
      <formula>$B$19</formula>
    </cfRule>
  </conditionalFormatting>
  <pageMargins left="0.25" right="0.25" top="0.75" bottom="0.75" header="0.3" footer="0.3"/>
  <pageSetup orientation="portrait" paperSize="9" scale="63" fitToHeight="0"/>
  <headerFooter>
    <oddHeader/>
    <oddFooter>&amp;L&amp;"Arial"&amp;7 &amp;K000000_x000d_# ***Este documento está clasificado como PUBLICO por TELEFÓNICA._x000a_***This document is classified as PUBLIC by TELEFÓNICA.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Planilha4">
    <outlinePr summaryBelow="1" summaryRight="1"/>
    <pageSetUpPr/>
  </sheetPr>
  <dimension ref="B5:F49"/>
  <sheetViews>
    <sheetView showGridLines="0" tabSelected="1" zoomScaleNormal="100" workbookViewId="0">
      <selection activeCell="C6" sqref="C6"/>
    </sheetView>
  </sheetViews>
  <sheetFormatPr baseColWidth="8" defaultColWidth="8.85546875" defaultRowHeight="15" customHeight="1"/>
  <cols>
    <col width="3.7109375" customWidth="1" style="2" min="1" max="1"/>
    <col width="51.7109375" customWidth="1" style="2" min="2" max="2"/>
    <col width="35.5703125" customWidth="1" style="2" min="3" max="3"/>
    <col width="24.28515625" customWidth="1" style="2" min="4" max="4"/>
    <col width="16.28515625" customWidth="1" style="2" min="5" max="5"/>
    <col width="39.7109375" customWidth="1" style="2" min="6" max="6"/>
    <col width="8.85546875" customWidth="1" style="2" min="7" max="16384"/>
  </cols>
  <sheetData>
    <row r="5" ht="15" customHeight="1" thickBot="1">
      <c r="B5" s="137" t="inlineStr">
        <is>
          <t>SITE</t>
        </is>
      </c>
      <c r="C5" s="160" t="n"/>
    </row>
    <row r="6" ht="15" customHeight="1" thickBot="1">
      <c r="B6" s="71" t="inlineStr">
        <is>
          <t>ID SDWAN-INTRAGOV:</t>
        </is>
      </c>
      <c r="C6" s="14" t="inlineStr">
        <is>
          <t>IG999</t>
        </is>
      </c>
    </row>
    <row r="7" ht="15" customHeight="1" thickBot="1">
      <c r="B7" s="71" t="inlineStr">
        <is>
          <t>ID SDWAN-VTV:</t>
        </is>
      </c>
      <c r="C7" s="14" t="inlineStr">
        <is>
          <t>TEST999</t>
        </is>
      </c>
    </row>
    <row r="8" ht="15" customHeight="1" thickBot="1">
      <c r="B8" s="71" t="inlineStr">
        <is>
          <t>ACRONIMO:</t>
        </is>
      </c>
      <c r="C8" s="14" t="inlineStr">
        <is>
          <t>TST</t>
        </is>
      </c>
    </row>
    <row r="9" ht="15" customHeight="1" thickBot="1">
      <c r="B9" s="71" t="inlineStr">
        <is>
          <t>SITE NAME:</t>
        </is>
      </c>
      <c r="C9" s="14" t="n"/>
    </row>
    <row r="10" ht="15" customHeight="1" thickBot="1">
      <c r="B10" s="71" t="inlineStr">
        <is>
          <t>LOCALIDADE:</t>
        </is>
      </c>
      <c r="C10" s="14" t="inlineStr">
        <is>
          <t>Sao Paulo/SP</t>
        </is>
      </c>
    </row>
    <row r="11" ht="15" customHeight="1" thickBot="1">
      <c r="B11" s="71" t="inlineStr">
        <is>
          <t>TOPOLOGIA:</t>
        </is>
      </c>
      <c r="C11" s="14" t="inlineStr">
        <is>
          <t>SD-WAN</t>
        </is>
      </c>
    </row>
    <row r="12" ht="15" customHeight="1" thickBot="1">
      <c r="B12" s="71" t="inlineStr">
        <is>
          <t>MODELO DE SOLUÇÃO:</t>
        </is>
      </c>
      <c r="C12" s="14" t="inlineStr">
        <is>
          <t>G</t>
        </is>
      </c>
    </row>
    <row r="13" ht="15" customHeight="1" thickBot="1">
      <c r="B13" s="71" t="inlineStr">
        <is>
          <t>FORNECEDOR:</t>
        </is>
      </c>
      <c r="C13" s="14" t="inlineStr">
        <is>
          <t>Fortinet</t>
        </is>
      </c>
    </row>
    <row r="14" ht="15" customHeight="1" thickBot="1">
      <c r="B14" s="71" t="inlineStr">
        <is>
          <t>MODELO DE EQUIPAMENTO:</t>
        </is>
      </c>
      <c r="C14" s="14" t="inlineStr">
        <is>
          <t>FGT-81F</t>
        </is>
      </c>
    </row>
    <row r="15" ht="15" customHeight="1" thickBot="1">
      <c r="B15" s="71" t="inlineStr">
        <is>
          <t>REDUNDANCIA (HA)</t>
        </is>
      </c>
      <c r="C15" s="14" t="inlineStr">
        <is>
          <t>NÃO</t>
        </is>
      </c>
    </row>
    <row r="16" ht="15" customHeight="1" thickBot="1">
      <c r="B16" s="71" t="inlineStr">
        <is>
          <t>HOSTNAME PRIMARIO:</t>
        </is>
      </c>
      <c r="C16" s="14" t="inlineStr">
        <is>
          <t>fgt-test</t>
        </is>
      </c>
    </row>
    <row r="17" ht="15" customHeight="1" thickBot="1">
      <c r="B17" s="71" t="inlineStr">
        <is>
          <t>SERIAL NUMBER PRIMARIO:</t>
        </is>
      </c>
      <c r="C17" s="14" t="inlineStr">
        <is>
          <t>FG81FTEST</t>
        </is>
      </c>
    </row>
    <row r="18" ht="15" customHeight="1" thickBot="1">
      <c r="B18" s="71" t="inlineStr">
        <is>
          <t>IP-MGMT:</t>
        </is>
      </c>
      <c r="C18" s="14" t="inlineStr">
        <is>
          <t>10.0.0.1</t>
        </is>
      </c>
    </row>
    <row r="19" ht="15" customHeight="1" thickBot="1">
      <c r="B19" s="71" t="inlineStr">
        <is>
          <t>POSSUI DHCP-SERVER:</t>
        </is>
      </c>
      <c r="C19" s="14" t="inlineStr">
        <is>
          <t>NÃO</t>
        </is>
      </c>
    </row>
    <row r="20" ht="15" customHeight="1" thickBot="1">
      <c r="B20" s="71" t="inlineStr">
        <is>
          <t>POSSUI DHCP-RELAY:</t>
        </is>
      </c>
      <c r="C20" s="14" t="inlineStr">
        <is>
          <t>NÃO</t>
        </is>
      </c>
    </row>
    <row r="21" ht="15" customHeight="1" thickBot="1">
      <c r="B21" s="71" t="inlineStr">
        <is>
          <t>POSSUI VLAN:</t>
        </is>
      </c>
      <c r="C21" s="14" t="inlineStr">
        <is>
          <t>SIM</t>
        </is>
      </c>
    </row>
    <row r="22" ht="15" customHeight="1" thickBot="1">
      <c r="B22" s="71" t="inlineStr">
        <is>
          <t>POSSUI MAIS DE UM IP NA LAN:</t>
        </is>
      </c>
      <c r="C22" s="14" t="inlineStr">
        <is>
          <t>NÃO</t>
        </is>
      </c>
    </row>
    <row r="23" ht="15" customHeight="1" thickBot="1">
      <c r="B23" s="71" t="inlineStr">
        <is>
          <t>VOIP - CPE OU FGT:</t>
        </is>
      </c>
      <c r="C23" s="14" t="inlineStr">
        <is>
          <t>N/A</t>
        </is>
      </c>
    </row>
    <row r="24" ht="15" customHeight="1" thickBot="1">
      <c r="B24" s="71" t="inlineStr">
        <is>
          <t>VOIP - NOME DO COLABORADOR QUE VALIDOU</t>
        </is>
      </c>
      <c r="C24" s="14" t="n"/>
    </row>
    <row r="25" ht="15" customHeight="1" thickBot="1">
      <c r="B25" s="71" t="inlineStr">
        <is>
          <t>VOIP - TELEFONE FIXO DO COLABORADOR</t>
        </is>
      </c>
      <c r="C25" s="14" t="n"/>
    </row>
    <row r="28" ht="15" customHeight="1">
      <c r="B28" s="10" t="inlineStr">
        <is>
          <t>ITEM</t>
        </is>
      </c>
      <c r="C28" s="11" t="inlineStr">
        <is>
          <t>RESPONSÁVEL</t>
        </is>
      </c>
      <c r="D28" s="10" t="inlineStr">
        <is>
          <t>EXECUTOR</t>
        </is>
      </c>
      <c r="E28" s="11" t="inlineStr">
        <is>
          <t>STATUS</t>
        </is>
      </c>
      <c r="F28" s="11" t="inlineStr">
        <is>
          <t>OBS</t>
        </is>
      </c>
    </row>
    <row r="29" ht="15" customHeight="1">
      <c r="B29" s="7" t="inlineStr">
        <is>
          <t>Certificar Registro de Licença - FortiGuard</t>
        </is>
      </c>
      <c r="C29" s="6" t="inlineStr">
        <is>
          <t>Vivo Vita</t>
        </is>
      </c>
      <c r="D29" s="8" t="n"/>
      <c r="E29" s="8" t="n"/>
      <c r="F29" s="9" t="inlineStr">
        <is>
          <t>get sys fortiguard-service status</t>
        </is>
      </c>
    </row>
    <row r="30" ht="15" customHeight="1">
      <c r="B30" s="7" t="inlineStr">
        <is>
          <t>Certificar Saúde do Sdwan</t>
        </is>
      </c>
      <c r="C30" s="6" t="inlineStr">
        <is>
          <t>Vivo Vita</t>
        </is>
      </c>
      <c r="D30" s="8" t="n"/>
      <c r="E30" s="8" t="n"/>
      <c r="F30" s="9" t="inlineStr">
        <is>
          <t>get sys performance status</t>
        </is>
      </c>
    </row>
    <row r="31" ht="15" customHeight="1">
      <c r="B31" s="7" t="inlineStr">
        <is>
          <t>Certificar Conectividade com FMG - Prodesp</t>
        </is>
      </c>
      <c r="C31" s="6" t="inlineStr">
        <is>
          <t>Vivo Vita</t>
        </is>
      </c>
      <c r="D31" s="8" t="n"/>
      <c r="E31" s="8" t="n"/>
      <c r="F31" s="9" t="inlineStr">
        <is>
          <t>diagnose fdsm central-mgmt-status</t>
        </is>
      </c>
    </row>
    <row r="32" ht="15" customHeight="1">
      <c r="B32" s="7" t="inlineStr">
        <is>
          <t>Certificar Conectividade com FAZ - Prodesp</t>
        </is>
      </c>
      <c r="C32" s="6" t="inlineStr">
        <is>
          <t>Vivo Vita</t>
        </is>
      </c>
      <c r="D32" s="8" t="n"/>
      <c r="E32" s="8" t="n"/>
      <c r="F32" s="9" t="inlineStr">
        <is>
          <t>get sys fortianalyzer-connectivity status</t>
        </is>
      </c>
    </row>
    <row r="33" ht="15" customHeight="1">
      <c r="B33" s="7" t="inlineStr">
        <is>
          <t>Certificar Conectividade FGCP - High Availability</t>
        </is>
      </c>
      <c r="C33" s="6" t="inlineStr">
        <is>
          <t>Vivo Vita</t>
        </is>
      </c>
      <c r="D33" s="8" t="inlineStr">
        <is>
          <t>Vivo Vita</t>
        </is>
      </c>
      <c r="E33" s="8" t="inlineStr">
        <is>
          <t>✔️ Concluido</t>
        </is>
      </c>
      <c r="F33" s="9" t="inlineStr">
        <is>
          <t>get sys ha status</t>
        </is>
      </c>
    </row>
    <row r="34" ht="15" customHeight="1">
      <c r="B34" s="7" t="inlineStr">
        <is>
          <t>Teste de Conectividade - Health Check Sdwan</t>
        </is>
      </c>
      <c r="C34" s="6" t="inlineStr">
        <is>
          <t>Vivo Vita</t>
        </is>
      </c>
      <c r="D34" s="8" t="n"/>
      <c r="E34" s="8" t="n"/>
      <c r="F34" s="9" t="inlineStr">
        <is>
          <t>diag sys sdwan health-check status</t>
        </is>
      </c>
    </row>
    <row r="35">
      <c r="B35" s="7" t="inlineStr">
        <is>
          <t>Teste de VPN - Overlay e Mgmt</t>
        </is>
      </c>
      <c r="C35" s="6" t="inlineStr">
        <is>
          <t>Vivo Vita</t>
        </is>
      </c>
      <c r="D35" s="8" t="n"/>
      <c r="E35" s="8" t="n"/>
      <c r="F35" s="9" t="inlineStr">
        <is>
          <t>get ipsec tunnel list</t>
        </is>
      </c>
    </row>
    <row r="36" ht="15" customHeight="1">
      <c r="B36" s="7" t="inlineStr">
        <is>
          <t>Certificar Alias e Description - WAN</t>
        </is>
      </c>
      <c r="C36" s="6" t="inlineStr">
        <is>
          <t>Vivo Vita</t>
        </is>
      </c>
      <c r="D36" s="8" t="inlineStr">
        <is>
          <t>Vivo Vita</t>
        </is>
      </c>
      <c r="E36" s="8" t="inlineStr">
        <is>
          <t>✔️ Concluido</t>
        </is>
      </c>
      <c r="F36" s="9" t="inlineStr">
        <is>
          <t>show sys interface</t>
        </is>
      </c>
    </row>
    <row r="37" ht="15" customHeight="1">
      <c r="B37" s="7" t="inlineStr">
        <is>
          <t>Teste FÍsico Das Interfaces - (WAN e LAN)</t>
        </is>
      </c>
      <c r="C37" s="6" t="inlineStr">
        <is>
          <t>Vivo Vita</t>
        </is>
      </c>
      <c r="D37" s="8" t="n"/>
      <c r="E37" s="8" t="n"/>
      <c r="F37" s="9" t="inlineStr">
        <is>
          <t>get sys interface physical</t>
        </is>
      </c>
    </row>
    <row r="38" ht="15" customHeight="1">
      <c r="B38" s="7" t="inlineStr">
        <is>
          <t>Teste de IP Dinamico - Escopo DHCP</t>
        </is>
      </c>
      <c r="C38" s="6" t="inlineStr">
        <is>
          <t>Vivo Vita</t>
        </is>
      </c>
      <c r="D38" s="8" t="n"/>
      <c r="E38" s="8" t="n"/>
      <c r="F38" s="9" t="inlineStr">
        <is>
          <t>exec dhcp lease-list</t>
        </is>
      </c>
    </row>
    <row r="39" ht="15" customHeight="1">
      <c r="B39" s="7" t="inlineStr">
        <is>
          <t>Teste de Conectividade - Lan</t>
        </is>
      </c>
      <c r="C39" s="6" t="inlineStr">
        <is>
          <t>Vivo Vita</t>
        </is>
      </c>
      <c r="D39" s="8" t="n"/>
      <c r="E39" s="8" t="n"/>
      <c r="F39" s="9" t="inlineStr">
        <is>
          <t>get sys arp</t>
        </is>
      </c>
    </row>
    <row r="40" ht="15" customHeight="1">
      <c r="B40" s="7" t="inlineStr">
        <is>
          <t>Teste de Velocidade - Bandwidth</t>
        </is>
      </c>
      <c r="C40" s="6" t="inlineStr">
        <is>
          <t>Vivo Vita</t>
        </is>
      </c>
      <c r="D40" s="8" t="inlineStr">
        <is>
          <t>Vivo Vita</t>
        </is>
      </c>
      <c r="E40" s="8" t="inlineStr">
        <is>
          <t>✔️ Concluido</t>
        </is>
      </c>
      <c r="F40" s="9" t="inlineStr">
        <is>
          <t>Site ESAQ</t>
        </is>
      </c>
    </row>
    <row r="41" ht="15" customHeight="1">
      <c r="B41" s="7" t="inlineStr">
        <is>
          <t>Testes de Voz - Inter-Site (Entre Secretária)</t>
        </is>
      </c>
      <c r="C41" s="6" t="inlineStr">
        <is>
          <t>Cliente</t>
        </is>
      </c>
      <c r="D41" s="8" t="inlineStr">
        <is>
          <t>Cliente</t>
        </is>
      </c>
      <c r="E41" s="8" t="inlineStr">
        <is>
          <t>⚠️Pendente</t>
        </is>
      </c>
      <c r="F41" s="9" t="n"/>
    </row>
    <row r="42" ht="15" customHeight="1">
      <c r="B42" s="7" t="inlineStr">
        <is>
          <t>Testes de Voz - Entre Ramais</t>
        </is>
      </c>
      <c r="C42" s="6" t="inlineStr">
        <is>
          <t>Cliente</t>
        </is>
      </c>
      <c r="D42" s="8" t="inlineStr">
        <is>
          <t>Cliente</t>
        </is>
      </c>
      <c r="E42" s="8" t="inlineStr">
        <is>
          <t>⚠️Pendente</t>
        </is>
      </c>
      <c r="F42" s="9" t="n"/>
    </row>
    <row r="43" ht="15" customHeight="1">
      <c r="B43" s="7" t="inlineStr">
        <is>
          <t>Testes de Voz - Ligações Externa (Celular e/ou Call-Center)</t>
        </is>
      </c>
      <c r="C43" s="6" t="inlineStr">
        <is>
          <t>Cliente</t>
        </is>
      </c>
      <c r="D43" s="8" t="inlineStr">
        <is>
          <t>Cliente</t>
        </is>
      </c>
      <c r="E43" s="8" t="inlineStr">
        <is>
          <t>⚠️Pendente</t>
        </is>
      </c>
      <c r="F43" s="9" t="n"/>
    </row>
    <row r="44" ht="15" customHeight="1">
      <c r="B44" s="7" t="inlineStr">
        <is>
          <t>Teste de Navegação Web - DIA</t>
        </is>
      </c>
      <c r="C44" s="6" t="inlineStr">
        <is>
          <t>Cliente</t>
        </is>
      </c>
      <c r="D44" s="8" t="inlineStr">
        <is>
          <t>Cliente</t>
        </is>
      </c>
      <c r="E44" s="8" t="inlineStr">
        <is>
          <t>⚠️Pendente</t>
        </is>
      </c>
      <c r="F44" s="9" t="n"/>
    </row>
    <row r="45" ht="15" customHeight="1">
      <c r="B45" s="7" t="inlineStr">
        <is>
          <t>Teste de Navegação Web - SIA</t>
        </is>
      </c>
      <c r="C45" s="6" t="inlineStr">
        <is>
          <t>Cliente</t>
        </is>
      </c>
      <c r="D45" s="8" t="inlineStr">
        <is>
          <t>Cliente</t>
        </is>
      </c>
      <c r="E45" s="8" t="inlineStr">
        <is>
          <t>⚠️Pendente</t>
        </is>
      </c>
      <c r="F45" s="9" t="n"/>
    </row>
    <row r="46" ht="15" customHeight="1">
      <c r="B46" s="7" t="inlineStr">
        <is>
          <t>Teste de Aplicação Cliente (VoIP, DNS, ERP, Cloud, Website)</t>
        </is>
      </c>
      <c r="C46" s="6" t="inlineStr">
        <is>
          <t>Cliente</t>
        </is>
      </c>
      <c r="D46" s="8" t="inlineStr">
        <is>
          <t>Cliente</t>
        </is>
      </c>
      <c r="E46" s="8" t="inlineStr">
        <is>
          <t>⚠️Pendente</t>
        </is>
      </c>
      <c r="F46" s="9" t="n"/>
    </row>
    <row r="47" ht="15" customHeight="1">
      <c r="B47" s="7" t="inlineStr">
        <is>
          <t>Teste de Autenticação (Ldap, Radius, User Local)</t>
        </is>
      </c>
      <c r="C47" s="6" t="inlineStr">
        <is>
          <t>Cliente</t>
        </is>
      </c>
      <c r="D47" s="8" t="inlineStr">
        <is>
          <t>Cliente</t>
        </is>
      </c>
      <c r="E47" s="8" t="inlineStr">
        <is>
          <t>⚠️Pendente</t>
        </is>
      </c>
      <c r="F47" s="9" t="n"/>
    </row>
    <row r="48" ht="15" customHeight="1">
      <c r="B48" s="7" t="inlineStr">
        <is>
          <t>Teste de Contigência dos Links</t>
        </is>
      </c>
      <c r="C48" s="6" t="inlineStr">
        <is>
          <t>Cliente</t>
        </is>
      </c>
      <c r="D48" s="8" t="inlineStr">
        <is>
          <t>Cliente</t>
        </is>
      </c>
      <c r="E48" s="8" t="inlineStr">
        <is>
          <t>⚠️Pendente</t>
        </is>
      </c>
      <c r="F48" s="9" t="n"/>
    </row>
    <row r="49" ht="15" customHeight="1">
      <c r="B49" s="7" t="inlineStr">
        <is>
          <t>Testes de Conectivade Entre Unidades</t>
        </is>
      </c>
      <c r="C49" s="6" t="inlineStr">
        <is>
          <t>Cliente</t>
        </is>
      </c>
      <c r="D49" s="8" t="inlineStr">
        <is>
          <t>Cliente</t>
        </is>
      </c>
      <c r="E49" s="8" t="inlineStr">
        <is>
          <t>⚠️Pendente</t>
        </is>
      </c>
      <c r="F49" s="9" t="n"/>
    </row>
  </sheetData>
  <mergeCells count="1">
    <mergeCell ref="B5:C5"/>
  </mergeCells>
  <conditionalFormatting sqref="E29:E49">
    <cfRule type="containsText" priority="85" operator="containsText" dxfId="3" text="Falhou">
      <formula>NOT(ISERROR(SEARCH("Falhou",E29)))</formula>
    </cfRule>
    <cfRule type="containsText" priority="86" operator="containsText" dxfId="2" text="N/A">
      <formula>NOT(ISERROR(SEARCH("N/A",E29)))</formula>
    </cfRule>
    <cfRule type="containsText" priority="87" operator="containsText" dxfId="1" text="Concluido">
      <formula>NOT(ISERROR(SEARCH("Concluido",E29)))</formula>
    </cfRule>
    <cfRule type="containsText" priority="88" operator="containsText" dxfId="0" text="Pendente">
      <formula>NOT(ISERROR(SEARCH("Pendente",E29)))</formula>
    </cfRule>
  </conditionalFormatting>
  <conditionalFormatting sqref="E38:E41">
    <cfRule type="containsText" priority="1" operator="containsText" dxfId="3" text="Falhou">
      <formula>NOT(ISERROR(SEARCH("Falhou",E38)))</formula>
    </cfRule>
    <cfRule type="containsText" priority="2" operator="containsText" dxfId="2" text="N/A">
      <formula>NOT(ISERROR(SEARCH("N/A",E38)))</formula>
    </cfRule>
    <cfRule type="containsText" priority="3" operator="containsText" dxfId="1" text="Concluido">
      <formula>NOT(ISERROR(SEARCH("Concluido",E38)))</formula>
    </cfRule>
    <cfRule type="containsText" priority="4" operator="containsText" dxfId="0" text="Pendente">
      <formula>NOT(ISERROR(SEARCH("Pendente",E38)))</formula>
    </cfRule>
  </conditionalFormatting>
  <conditionalFormatting sqref="E42:E121">
    <cfRule type="containsText" priority="89" operator="containsText" dxfId="3" text="Falhou">
      <formula>NOT(ISERROR(SEARCH("Falhou",E42)))</formula>
    </cfRule>
    <cfRule type="containsText" priority="90" operator="containsText" dxfId="2" text="N/A">
      <formula>NOT(ISERROR(SEARCH("N/A",E42)))</formula>
    </cfRule>
    <cfRule type="containsText" priority="91" operator="containsText" dxfId="1" text="Concluido">
      <formula>NOT(ISERROR(SEARCH("Concluido",E42)))</formula>
    </cfRule>
    <cfRule type="containsText" priority="92" operator="containsText" dxfId="0" text="Pendente">
      <formula>NOT(ISERROR(SEARCH("Pendente",E42)))</formula>
    </cfRule>
  </conditionalFormatting>
  <pageMargins left="0.7" right="0.7" top="0.75" bottom="0.75" header="0.3" footer="0.3"/>
  <pageSetup orientation="portrait" paperSize="9"/>
  <headerFooter>
    <oddHeader/>
    <oddFooter>&amp;L&amp;"Arial"&amp;7 &amp;K000000_x000d_# ***Este documento está clasificado como PUBLICO por TELEFÓNICA._x000a_***This document is classified as PUBLIC by TELEFÓNICA.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B5:G1415"/>
  <sheetViews>
    <sheetView showGridLines="0" zoomScaleNormal="100" workbookViewId="0">
      <selection activeCell="C5" sqref="C5"/>
    </sheetView>
  </sheetViews>
  <sheetFormatPr baseColWidth="8" defaultColWidth="8.85546875" defaultRowHeight="15" customHeight="1"/>
  <cols>
    <col width="4.7109375" customWidth="1" style="2" min="1" max="1"/>
    <col width="29.28515625" customWidth="1" style="2" min="2" max="2"/>
    <col width="26.7109375" bestFit="1" customWidth="1" style="2" min="3" max="3"/>
    <col width="46.28515625" bestFit="1" customWidth="1" style="2" min="4" max="4"/>
    <col width="65.85546875" customWidth="1" style="2" min="5" max="5"/>
    <col width="11.7109375" bestFit="1" customWidth="1" style="2" min="6" max="6"/>
    <col width="8.85546875" customWidth="1" style="2" min="7" max="16384"/>
  </cols>
  <sheetData>
    <row r="5" ht="15" customHeight="1">
      <c r="B5" s="63" t="inlineStr">
        <is>
          <t>TASK DO PROJETO</t>
        </is>
      </c>
      <c r="C5" s="64" t="n"/>
      <c r="D5" s="3" t="n"/>
      <c r="E5" s="3" t="n"/>
    </row>
    <row r="6" ht="15" customHeight="1" thickBot="1"/>
    <row r="7" ht="15" customHeight="1" thickBot="1">
      <c r="B7" s="89" t="n">
        <v>1</v>
      </c>
      <c r="C7" s="58" t="inlineStr">
        <is>
          <t>Description</t>
        </is>
      </c>
      <c r="D7" s="59" t="inlineStr">
        <is>
          <t>Info Device</t>
        </is>
      </c>
      <c r="E7" s="21" t="inlineStr">
        <is>
          <t>CARIMBO - SDWAN</t>
        </is>
      </c>
    </row>
    <row r="8" ht="15" customHeight="1" thickBot="1">
      <c r="B8" s="161" t="n"/>
      <c r="C8" s="65" t="n"/>
      <c r="D8" s="66" t="n"/>
      <c r="E8" s="65" t="n"/>
    </row>
    <row r="9" ht="15" customHeight="1" thickBot="1">
      <c r="B9" s="161" t="n"/>
      <c r="C9" s="71" t="inlineStr">
        <is>
          <t>ID SDWAN-INTRAGOV:</t>
        </is>
      </c>
      <c r="D9" s="70">
        <f>'CADERNO DE TESTE'!C6</f>
        <v/>
      </c>
      <c r="E9" s="73">
        <f>_xlfn.CONCAT(C9," ",D9)</f>
        <v/>
      </c>
      <c r="G9" s="4" t="n"/>
    </row>
    <row r="10" ht="15" customHeight="1" thickBot="1">
      <c r="B10" s="161" t="n"/>
      <c r="C10" s="71" t="inlineStr">
        <is>
          <t>ID SDWAN-VTV:</t>
        </is>
      </c>
      <c r="D10" s="70">
        <f>'CADERNO DE TESTE'!C7</f>
        <v/>
      </c>
      <c r="E10" s="73">
        <f>_xlfn.CONCAT(C10," ",D10)</f>
        <v/>
      </c>
      <c r="G10" s="4" t="n"/>
    </row>
    <row r="11" ht="15" customHeight="1" thickBot="1">
      <c r="B11" s="161" t="n"/>
      <c r="C11" s="71" t="inlineStr">
        <is>
          <t>ACRONIMO:</t>
        </is>
      </c>
      <c r="D11" s="70">
        <f>'CADERNO DE TESTE'!C8</f>
        <v/>
      </c>
      <c r="E11" s="73">
        <f>UPPER(_xlfn.CONCAT(C11," ",D11))</f>
        <v/>
      </c>
      <c r="G11" s="4" t="n"/>
    </row>
    <row r="12" ht="15" customHeight="1" thickBot="1">
      <c r="B12" s="161" t="n"/>
      <c r="C12" s="71" t="inlineStr">
        <is>
          <t>SITE NAME:</t>
        </is>
      </c>
      <c r="D12" s="70">
        <f>'CADERNO DE TESTE'!C9</f>
        <v/>
      </c>
      <c r="E12" s="73">
        <f>UPPER(_xlfn.CONCAT(C12," ",D12))</f>
        <v/>
      </c>
      <c r="G12" s="4" t="n"/>
    </row>
    <row r="13" ht="15" customHeight="1" thickBot="1">
      <c r="B13" s="161" t="n"/>
      <c r="C13" s="71" t="inlineStr">
        <is>
          <t>LOCALIDADE:</t>
        </is>
      </c>
      <c r="D13" s="70">
        <f>'CADERNO DE TESTE'!C10</f>
        <v/>
      </c>
      <c r="E13" s="73">
        <f>UPPER(_xlfn.CONCAT(C13," ",D13))</f>
        <v/>
      </c>
      <c r="G13" s="4" t="n"/>
    </row>
    <row r="14" ht="15" customHeight="1" thickBot="1">
      <c r="B14" s="161" t="n"/>
      <c r="C14" s="71" t="inlineStr">
        <is>
          <t>TOPOLOGIA:</t>
        </is>
      </c>
      <c r="D14" s="70">
        <f>'CADERNO DE TESTE'!C11</f>
        <v/>
      </c>
      <c r="E14" s="73">
        <f>_xlfn.CONCAT(C14," ",D14)</f>
        <v/>
      </c>
      <c r="G14" s="4" t="n"/>
    </row>
    <row r="15" ht="15" customHeight="1" thickBot="1">
      <c r="B15" s="161" t="n"/>
      <c r="C15" s="71" t="inlineStr">
        <is>
          <t>MODELO DE SOLUÇÃO:</t>
        </is>
      </c>
      <c r="D15" s="70">
        <f>'CADERNO DE TESTE'!C12</f>
        <v/>
      </c>
      <c r="E15" s="73">
        <f>_xlfn.CONCAT(C15," ",D15)</f>
        <v/>
      </c>
      <c r="G15" s="4" t="n"/>
    </row>
    <row r="16" ht="15" customHeight="1" thickBot="1">
      <c r="B16" s="161" t="n"/>
      <c r="C16" s="71" t="inlineStr">
        <is>
          <t>FORNECEDOR:</t>
        </is>
      </c>
      <c r="D16" s="70">
        <f>'CADERNO DE TESTE'!C13</f>
        <v/>
      </c>
      <c r="E16" s="73">
        <f>_xlfn.CONCAT(C16," ",D16)</f>
        <v/>
      </c>
      <c r="G16" s="4" t="n"/>
    </row>
    <row r="17" ht="15" customHeight="1" thickBot="1">
      <c r="B17" s="161" t="n"/>
      <c r="C17" s="71" t="inlineStr">
        <is>
          <t>MODELO DE EQUIPAMENTO:</t>
        </is>
      </c>
      <c r="D17" s="70">
        <f>'CADERNO DE TESTE'!C14</f>
        <v/>
      </c>
      <c r="E17" s="73">
        <f>_xlfn.CONCAT(C17," ",D17)</f>
        <v/>
      </c>
      <c r="G17" s="4" t="n"/>
    </row>
    <row r="18" ht="15" customHeight="1" thickBot="1">
      <c r="B18" s="161" t="n"/>
      <c r="C18" s="71" t="inlineStr">
        <is>
          <t>REDUNDANCIA (HA):</t>
        </is>
      </c>
      <c r="D18" s="70">
        <f>'CADERNO DE TESTE'!C15</f>
        <v/>
      </c>
      <c r="E18" s="73">
        <f>_xlfn.CONCAT(C18," ",D18)</f>
        <v/>
      </c>
      <c r="G18" s="4" t="n"/>
    </row>
    <row r="19" ht="15" customHeight="1" thickBot="1">
      <c r="B19" s="161" t="n"/>
      <c r="C19" s="71" t="inlineStr">
        <is>
          <t>HOSTNAME PRIMARIO:</t>
        </is>
      </c>
      <c r="D19" s="70">
        <f>LOWER('CADERNO DE TESTE'!C16)</f>
        <v/>
      </c>
      <c r="E19" s="73">
        <f>_xlfn.CONCAT(C19," ",D19)</f>
        <v/>
      </c>
      <c r="G19" s="4" t="n"/>
    </row>
    <row r="20" ht="15" customHeight="1" thickBot="1">
      <c r="B20" s="161" t="n"/>
      <c r="C20" s="71" t="inlineStr">
        <is>
          <t>SERIAL NUMBER:</t>
        </is>
      </c>
      <c r="D20" s="70">
        <f>'CADERNO DE TESTE'!C17</f>
        <v/>
      </c>
      <c r="E20" s="73">
        <f>_xlfn.CONCAT(C20," ",D20)</f>
        <v/>
      </c>
      <c r="G20" s="4" t="n"/>
    </row>
    <row r="21" ht="15" customHeight="1" thickBot="1">
      <c r="B21" s="161" t="n"/>
      <c r="C21" s="71" t="inlineStr">
        <is>
          <t>IP-MGMT:</t>
        </is>
      </c>
      <c r="D21" s="70">
        <f>'CADERNO DE TESTE'!C18</f>
        <v/>
      </c>
      <c r="E21" s="73">
        <f>_xlfn.CONCAT(C21," ",D21)</f>
        <v/>
      </c>
      <c r="G21" s="4" t="n"/>
    </row>
    <row r="22" ht="15" customHeight="1" thickBot="1">
      <c r="B22" s="161" t="n"/>
      <c r="C22" s="71" t="inlineStr">
        <is>
          <t>POSSUI DHCP-SERVER:</t>
        </is>
      </c>
      <c r="D22" s="70">
        <f>'CADERNO DE TESTE'!C19</f>
        <v/>
      </c>
      <c r="E22" s="73">
        <f>_xlfn.CONCAT(C22," ",D22)</f>
        <v/>
      </c>
      <c r="G22" s="4" t="n"/>
    </row>
    <row r="23" ht="15" customHeight="1" thickBot="1">
      <c r="B23" s="161" t="n"/>
      <c r="C23" s="71" t="inlineStr">
        <is>
          <t>POSSUI DHCP-RELAY:</t>
        </is>
      </c>
      <c r="D23" s="70">
        <f>'CADERNO DE TESTE'!C20</f>
        <v/>
      </c>
      <c r="E23" s="73">
        <f>_xlfn.CONCAT(C23," ",D23)</f>
        <v/>
      </c>
      <c r="G23" s="4" t="n"/>
    </row>
    <row r="24" ht="15" customHeight="1" thickBot="1">
      <c r="B24" s="161" t="n"/>
      <c r="C24" s="71" t="inlineStr">
        <is>
          <t>POSSUI VLAN:</t>
        </is>
      </c>
      <c r="D24" s="70">
        <f>'CADERNO DE TESTE'!C21</f>
        <v/>
      </c>
      <c r="E24" s="73">
        <f>_xlfn.CONCAT(C24," ",D24)</f>
        <v/>
      </c>
      <c r="G24" s="4" t="n"/>
    </row>
    <row r="25" ht="15" customHeight="1" thickBot="1">
      <c r="B25" s="161" t="n"/>
      <c r="C25" s="71" t="inlineStr">
        <is>
          <t>POSSUI MAIS DE UM IP NA LAN:</t>
        </is>
      </c>
      <c r="D25" s="70">
        <f>'CADERNO DE TESTE'!C22</f>
        <v/>
      </c>
      <c r="E25" s="73">
        <f>_xlfn.CONCAT(C25," ",D25)</f>
        <v/>
      </c>
      <c r="G25" s="4" t="n"/>
    </row>
    <row r="26" ht="15" customHeight="1" thickBot="1">
      <c r="B26" s="162" t="n"/>
      <c r="C26" s="71" t="inlineStr">
        <is>
          <t>VOIP - CPE OU FGT:</t>
        </is>
      </c>
      <c r="D26" s="70">
        <f>'CADERNO DE TESTE'!C23</f>
        <v/>
      </c>
      <c r="E26" s="73">
        <f>_xlfn.CONCAT(C26," ",D26)</f>
        <v/>
      </c>
      <c r="G26" s="4" t="n"/>
    </row>
    <row r="27" ht="15" customHeight="1" thickBot="1"/>
    <row r="28" ht="15" customHeight="1" thickBot="1">
      <c r="B28" s="90" t="n">
        <v>2</v>
      </c>
      <c r="C28" s="58" t="inlineStr">
        <is>
          <t>Description</t>
        </is>
      </c>
      <c r="D28" s="59" t="inlineStr">
        <is>
          <t>Info Device</t>
        </is>
      </c>
      <c r="E28" s="60" t="inlineStr">
        <is>
          <t>Conectividade SAI-BL</t>
        </is>
      </c>
    </row>
    <row r="29" ht="15" customHeight="1" thickBot="1">
      <c r="B29" s="2" t="n"/>
      <c r="C29" s="67" t="n"/>
      <c r="D29" s="15" t="n"/>
      <c r="E29" s="15" t="n"/>
    </row>
    <row r="30" ht="15" customHeight="1" thickBot="1">
      <c r="B30" s="2" t="n"/>
      <c r="C30" s="72" t="inlineStr">
        <is>
          <t>INTERFACE:</t>
        </is>
      </c>
      <c r="D30" s="15" t="inlineStr">
        <is>
          <t>wan</t>
        </is>
      </c>
      <c r="E30" s="73">
        <f>_xlfn.CONCAT(C30," ",D30)</f>
        <v/>
      </c>
    </row>
    <row r="31" ht="15" customHeight="1" thickBot="1">
      <c r="B31" s="2" t="n"/>
      <c r="C31" s="72" t="inlineStr">
        <is>
          <t>CIRCUITO:</t>
        </is>
      </c>
      <c r="D31" s="15" t="inlineStr">
        <is>
          <t>SAI-BL</t>
        </is>
      </c>
      <c r="E31" s="73">
        <f>_xlfn.CONCAT(C31," ",D31)</f>
        <v/>
      </c>
    </row>
    <row r="32" ht="15" customHeight="1" thickBot="1">
      <c r="B32" s="2" t="n"/>
      <c r="C32" s="72" t="inlineStr">
        <is>
          <t>TEGNOLOGIA:</t>
        </is>
      </c>
      <c r="D32" s="15" t="inlineStr">
        <is>
          <t>INET1</t>
        </is>
      </c>
      <c r="E32" s="73">
        <f>_xlfn.CONCAT(C32," ",D32)</f>
        <v/>
      </c>
    </row>
    <row r="33" ht="15" customHeight="1" thickBot="1">
      <c r="B33" s="2" t="n"/>
      <c r="C33" s="72" t="inlineStr">
        <is>
          <t>ID VANTIVE:</t>
        </is>
      </c>
      <c r="D33" s="15" t="inlineStr">
        <is>
          <t>111</t>
        </is>
      </c>
      <c r="E33" s="73">
        <f>_xlfn.CONCAT(C33," ",D33)</f>
        <v/>
      </c>
    </row>
    <row r="34" ht="15" customHeight="1" thickBot="1">
      <c r="B34" s="2" t="n"/>
      <c r="C34" s="72" t="inlineStr">
        <is>
          <t>VELOCIDADE:</t>
        </is>
      </c>
      <c r="D34" s="15" t="inlineStr">
        <is>
          <t>100Mb</t>
        </is>
      </c>
      <c r="E34" s="73">
        <f>_xlfn.CONCAT(C34," ",D34)</f>
        <v/>
      </c>
    </row>
    <row r="35" ht="15" customHeight="1" thickBot="1">
      <c r="B35" s="2" t="n"/>
      <c r="C35" s="72" t="inlineStr">
        <is>
          <t>DESCRIPTION:</t>
        </is>
      </c>
      <c r="D35" s="15" t="inlineStr">
        <is>
          <t>SAI-BL_INET1_111_100</t>
        </is>
      </c>
      <c r="E35" s="73">
        <f>_xlfn.CONCAT(C35," ",D35)</f>
        <v/>
      </c>
    </row>
    <row r="36" ht="15" customHeight="1" thickBot="1">
      <c r="B36" s="2" t="n"/>
      <c r="C36" s="72" t="inlineStr">
        <is>
          <t>IP WAN:</t>
        </is>
      </c>
      <c r="D36" s="15" t="inlineStr">
        <is>
          <t>187.1.1.1</t>
        </is>
      </c>
      <c r="E36" s="73">
        <f>_xlfn.CONCAT(C36," ",D36)</f>
        <v/>
      </c>
    </row>
    <row r="37" ht="15" customHeight="1" thickBot="1">
      <c r="B37" s="2" t="n"/>
      <c r="C37" s="72" t="inlineStr">
        <is>
          <t>REMOTO:</t>
        </is>
      </c>
      <c r="D37" s="15" t="inlineStr">
        <is>
          <t>187.1.1.0</t>
        </is>
      </c>
      <c r="E37" s="73">
        <f>_xlfn.CONCAT(C37," ",D37)</f>
        <v/>
      </c>
    </row>
    <row r="38" ht="15" customHeight="1" thickBot="1">
      <c r="B38" s="2" t="n"/>
      <c r="C38" s="68" t="n"/>
      <c r="D38" s="16" t="n"/>
      <c r="E38" s="16" t="n"/>
    </row>
    <row r="39" ht="15" customHeight="1" thickBot="1">
      <c r="B39" s="2" t="n"/>
      <c r="C39" s="58" t="inlineStr">
        <is>
          <t>Description</t>
        </is>
      </c>
      <c r="D39" s="59" t="inlineStr">
        <is>
          <t>Info Device</t>
        </is>
      </c>
      <c r="E39" s="60" t="inlineStr">
        <is>
          <t>Conectividade SAI-BLI</t>
        </is>
      </c>
    </row>
    <row r="40" ht="15" customHeight="1" thickBot="1">
      <c r="B40" s="2" t="n"/>
      <c r="C40" s="18" t="n"/>
      <c r="D40" s="18" t="n"/>
      <c r="E40" s="18" t="n"/>
    </row>
    <row r="41" ht="15" customHeight="1" thickBot="1">
      <c r="B41" s="2" t="n"/>
      <c r="C41" s="72" t="inlineStr">
        <is>
          <t>INTERFACE:</t>
        </is>
      </c>
      <c r="D41" s="15" t="inlineStr"/>
      <c r="E41" s="73">
        <f>_xlfn.CONCAT(C41," ",D41)</f>
        <v/>
      </c>
    </row>
    <row r="42" ht="15" customHeight="1" thickBot="1">
      <c r="B42" s="2" t="n"/>
      <c r="C42" s="72" t="inlineStr">
        <is>
          <t>CIRCUITO:</t>
        </is>
      </c>
      <c r="D42" s="15" t="inlineStr"/>
      <c r="E42" s="73">
        <f>_xlfn.CONCAT(C42," ",D42)</f>
        <v/>
      </c>
    </row>
    <row r="43" ht="15" customHeight="1" thickBot="1">
      <c r="B43" s="2" t="n"/>
      <c r="C43" s="72" t="inlineStr">
        <is>
          <t>TEGNOLOGIA:</t>
        </is>
      </c>
      <c r="D43" s="15" t="inlineStr"/>
      <c r="E43" s="73">
        <f>_xlfn.CONCAT(C43," ",D43)</f>
        <v/>
      </c>
    </row>
    <row r="44" ht="15" customHeight="1" thickBot="1">
      <c r="B44" s="2" t="n"/>
      <c r="C44" s="72" t="inlineStr">
        <is>
          <t>ID VANTIVE:</t>
        </is>
      </c>
      <c r="D44" s="15" t="inlineStr"/>
      <c r="E44" s="73">
        <f>_xlfn.CONCAT(C44," ",D44)</f>
        <v/>
      </c>
    </row>
    <row r="45" ht="15" customHeight="1" thickBot="1">
      <c r="B45" s="2" t="n"/>
      <c r="C45" s="72" t="inlineStr">
        <is>
          <t>VELOCIDADE:</t>
        </is>
      </c>
      <c r="D45" s="15" t="inlineStr"/>
      <c r="E45" s="73">
        <f>_xlfn.CONCAT(C45," ",D45)</f>
        <v/>
      </c>
    </row>
    <row r="46" ht="15" customHeight="1" thickBot="1">
      <c r="B46" s="2" t="n"/>
      <c r="C46" s="72" t="inlineStr">
        <is>
          <t>DESCRIPTION:</t>
        </is>
      </c>
      <c r="D46" s="15" t="inlineStr"/>
      <c r="E46" s="73">
        <f>_xlfn.CONCAT(C46," ",D46)</f>
        <v/>
      </c>
    </row>
    <row r="47" ht="15" customHeight="1" thickBot="1">
      <c r="B47" s="2" t="n"/>
      <c r="C47" s="72" t="inlineStr">
        <is>
          <t>IP WAN:</t>
        </is>
      </c>
      <c r="D47" s="15" t="inlineStr"/>
      <c r="E47" s="73">
        <f>_xlfn.CONCAT(C47," ",D47)</f>
        <v/>
      </c>
    </row>
    <row r="48" ht="15" customHeight="1" thickBot="1">
      <c r="B48" s="2" t="n"/>
      <c r="C48" s="72" t="inlineStr">
        <is>
          <t>REMOTO:</t>
        </is>
      </c>
      <c r="D48" s="15" t="inlineStr"/>
      <c r="E48" s="73">
        <f>_xlfn.CONCAT(C48," ",D48)</f>
        <v/>
      </c>
    </row>
    <row r="49" ht="15" customHeight="1" thickBot="1">
      <c r="B49" s="2" t="n"/>
      <c r="C49" s="62" t="n"/>
      <c r="D49" s="76" t="n"/>
      <c r="E49" s="76" t="n"/>
    </row>
    <row r="50" ht="15" customHeight="1" thickBot="1">
      <c r="B50" s="2" t="n"/>
      <c r="C50" s="58" t="inlineStr">
        <is>
          <t>Description</t>
        </is>
      </c>
      <c r="D50" s="59" t="inlineStr">
        <is>
          <t>Info Device</t>
        </is>
      </c>
      <c r="E50" s="60" t="inlineStr">
        <is>
          <t>Conectividade SCM-MPLS1</t>
        </is>
      </c>
    </row>
    <row r="51" ht="15" customHeight="1" thickBot="1">
      <c r="B51" s="2" t="n"/>
      <c r="C51" s="18" t="n"/>
      <c r="D51" s="18" t="n"/>
      <c r="E51" s="18" t="n"/>
    </row>
    <row r="52" ht="15" customHeight="1" thickBot="1">
      <c r="B52" s="2" t="n"/>
      <c r="C52" s="72" t="inlineStr">
        <is>
          <t>INTERFACE:</t>
        </is>
      </c>
      <c r="D52" s="15" t="inlineStr">
        <is>
          <t>lan3</t>
        </is>
      </c>
      <c r="E52" s="73">
        <f>_xlfn.CONCAT(C52," ",D52)</f>
        <v/>
      </c>
    </row>
    <row r="53" ht="15" customHeight="1" thickBot="1">
      <c r="B53" s="2" t="n"/>
      <c r="C53" s="72" t="inlineStr">
        <is>
          <t>CIRCUITO:</t>
        </is>
      </c>
      <c r="D53" s="15" t="inlineStr">
        <is>
          <t>SCM</t>
        </is>
      </c>
      <c r="E53" s="73">
        <f>_xlfn.CONCAT(C53," ",D53)</f>
        <v/>
      </c>
    </row>
    <row r="54" ht="15" customHeight="1" thickBot="1">
      <c r="B54" s="2" t="n"/>
      <c r="C54" s="72" t="inlineStr">
        <is>
          <t>TEGNOLOGIA:</t>
        </is>
      </c>
      <c r="D54" s="15" t="inlineStr">
        <is>
          <t>MPLS1</t>
        </is>
      </c>
      <c r="E54" s="73">
        <f>_xlfn.CONCAT(C54," ",D54)</f>
        <v/>
      </c>
    </row>
    <row r="55" ht="15" customHeight="1" thickBot="1">
      <c r="B55" s="2" t="n"/>
      <c r="C55" s="72" t="inlineStr">
        <is>
          <t>ID VANTIVE:</t>
        </is>
      </c>
      <c r="D55" s="15" t="inlineStr">
        <is>
          <t>222</t>
        </is>
      </c>
      <c r="E55" s="73">
        <f>_xlfn.CONCAT(C55," ",D55)</f>
        <v/>
      </c>
    </row>
    <row r="56" ht="15" customHeight="1" thickBot="1">
      <c r="B56" s="2" t="n"/>
      <c r="C56" s="72" t="inlineStr">
        <is>
          <t>VELOCIDADE:</t>
        </is>
      </c>
      <c r="D56" s="15" t="inlineStr">
        <is>
          <t>10Mb</t>
        </is>
      </c>
      <c r="E56" s="73">
        <f>_xlfn.CONCAT(C56," ",D56)</f>
        <v/>
      </c>
    </row>
    <row r="57" ht="15" customHeight="1" thickBot="1">
      <c r="B57" s="2" t="n"/>
      <c r="C57" s="72" t="inlineStr">
        <is>
          <t>DESCRIPTION:</t>
        </is>
      </c>
      <c r="D57" s="15" t="inlineStr">
        <is>
          <t>SCM_MPLS1_222_10</t>
        </is>
      </c>
      <c r="E57" s="73">
        <f>_xlfn.CONCAT(C57," ",D57)</f>
        <v/>
      </c>
    </row>
    <row r="58" ht="15" customHeight="1" thickBot="1">
      <c r="B58" s="2" t="n"/>
      <c r="C58" s="72" t="inlineStr">
        <is>
          <t>IP WAN:</t>
        </is>
      </c>
      <c r="D58" s="15" t="inlineStr">
        <is>
          <t>10.1.1.1</t>
        </is>
      </c>
      <c r="E58" s="73">
        <f>_xlfn.CONCAT(C58," ",D58)</f>
        <v/>
      </c>
    </row>
    <row r="59" ht="15" customHeight="1" thickBot="1">
      <c r="B59" s="2" t="n"/>
      <c r="C59" s="72" t="inlineStr">
        <is>
          <t>REMOTO:</t>
        </is>
      </c>
      <c r="D59" s="15" t="inlineStr">
        <is>
          <t>10.1.1.0</t>
        </is>
      </c>
      <c r="E59" s="73">
        <f>_xlfn.CONCAT(C59," ",D59)</f>
        <v/>
      </c>
    </row>
    <row r="60" ht="15" customHeight="1">
      <c r="B60" s="69" t="n"/>
      <c r="C60" s="17" t="n"/>
      <c r="D60" s="17" t="n"/>
      <c r="E60" s="17" t="n"/>
    </row>
    <row r="61" ht="15" customHeight="1" thickBot="1">
      <c r="B61" s="13" t="n"/>
      <c r="C61" s="12" t="n"/>
      <c r="D61" s="12" t="n"/>
      <c r="E61" s="61" t="inlineStr">
        <is>
          <t>Log de Registro da Licença - FortiGuard</t>
        </is>
      </c>
    </row>
    <row r="62" ht="15" customHeight="1" thickBot="1">
      <c r="B62" s="88" t="inlineStr">
        <is>
          <t>Cole a Saída do Comando →</t>
        </is>
      </c>
      <c r="C62" s="2" t="n"/>
      <c r="D62" s="2" t="n"/>
      <c r="E62" s="73" t="inlineStr">
        <is>
          <t>get sys fortiguard-service status</t>
        </is>
      </c>
    </row>
    <row r="63" ht="15" customHeight="1">
      <c r="B63" s="2" t="n"/>
      <c r="C63" s="2" t="n"/>
      <c r="D63" s="2" t="n"/>
    </row>
    <row r="64" ht="15" customHeight="1">
      <c r="B64" s="2" t="n"/>
      <c r="C64" s="2" t="n"/>
      <c r="D64" s="2" t="n"/>
    </row>
    <row r="65" ht="15" customHeight="1">
      <c r="B65" s="2" t="n"/>
      <c r="C65" s="2" t="n"/>
      <c r="D65" s="2" t="n"/>
    </row>
    <row r="66" ht="15" customHeight="1">
      <c r="B66" s="2" t="n"/>
      <c r="C66" s="2" t="n"/>
      <c r="D66" s="2" t="n"/>
    </row>
    <row r="67" ht="15" customHeight="1">
      <c r="B67" s="2" t="n"/>
      <c r="C67" s="2" t="n"/>
      <c r="D67" s="2" t="n"/>
    </row>
    <row r="68" ht="15" customHeight="1">
      <c r="B68" s="2" t="n"/>
      <c r="C68" s="2" t="n"/>
      <c r="D68" s="2" t="n"/>
    </row>
    <row r="69" ht="15" customHeight="1">
      <c r="B69" s="2" t="n"/>
      <c r="C69" s="2" t="n"/>
      <c r="D69" s="2" t="n"/>
    </row>
    <row r="70" ht="15" customHeight="1">
      <c r="B70" s="2" t="n"/>
      <c r="C70" s="2" t="n"/>
      <c r="D70" s="2" t="n"/>
    </row>
    <row r="71" ht="15" customHeight="1">
      <c r="B71" s="2" t="n"/>
      <c r="C71" s="2" t="n"/>
      <c r="D71" s="2" t="n"/>
    </row>
    <row r="72" ht="15" customHeight="1">
      <c r="B72" s="2" t="n"/>
      <c r="C72" s="2" t="n"/>
      <c r="D72" s="2" t="n"/>
    </row>
    <row r="73" ht="15" customHeight="1">
      <c r="B73" s="2" t="n"/>
      <c r="C73" s="2" t="n"/>
      <c r="D73" s="2" t="n"/>
    </row>
    <row r="74" ht="15" customHeight="1">
      <c r="B74" s="2" t="n"/>
      <c r="C74" s="2" t="n"/>
      <c r="D74" s="2" t="n"/>
    </row>
    <row r="75" ht="15" customHeight="1">
      <c r="B75" s="2" t="n"/>
      <c r="C75" s="2" t="n"/>
      <c r="D75" s="2" t="n"/>
    </row>
    <row r="76" ht="15" customHeight="1">
      <c r="B76" s="2" t="n"/>
      <c r="C76" s="2" t="n"/>
      <c r="D76" s="2" t="n"/>
    </row>
    <row r="77" ht="15" customHeight="1">
      <c r="B77" s="2" t="n"/>
      <c r="C77" s="2" t="n"/>
      <c r="D77" s="2" t="n"/>
    </row>
    <row r="78" ht="15" customHeight="1">
      <c r="B78" s="2" t="n"/>
      <c r="C78" s="2" t="n"/>
      <c r="D78" s="2" t="n"/>
    </row>
    <row r="79" ht="15" customHeight="1">
      <c r="B79" s="2" t="n"/>
      <c r="C79" s="2" t="n"/>
      <c r="D79" s="2" t="n"/>
    </row>
    <row r="80" ht="15" customHeight="1">
      <c r="B80" s="2" t="n"/>
      <c r="C80" s="2" t="n"/>
      <c r="D80" s="2" t="n"/>
    </row>
    <row r="81" ht="15" customHeight="1">
      <c r="B81" s="2" t="n"/>
      <c r="C81" s="2" t="n"/>
      <c r="D81" s="2" t="n"/>
    </row>
    <row r="82" ht="15" customHeight="1">
      <c r="B82" s="2" t="n"/>
      <c r="C82" s="2" t="n"/>
      <c r="D82" s="2" t="n"/>
    </row>
    <row r="83" ht="15" customHeight="1">
      <c r="B83" s="2" t="n"/>
      <c r="C83" s="2" t="n"/>
      <c r="D83" s="2" t="n"/>
    </row>
    <row r="84" ht="15" customHeight="1">
      <c r="B84" s="2" t="n"/>
      <c r="C84" s="2" t="n"/>
      <c r="D84" s="2" t="n"/>
    </row>
    <row r="85" ht="15" customHeight="1">
      <c r="B85" s="2" t="n"/>
      <c r="C85" s="2" t="n"/>
      <c r="D85" s="2" t="n"/>
    </row>
    <row r="86" ht="15" customHeight="1">
      <c r="B86" s="2" t="n"/>
      <c r="C86" s="2" t="n"/>
      <c r="D86" s="2" t="n"/>
    </row>
    <row r="87" ht="15" customHeight="1">
      <c r="B87" s="2" t="n"/>
      <c r="C87" s="2" t="n"/>
      <c r="D87" s="2" t="n"/>
    </row>
    <row r="88" ht="15" customHeight="1">
      <c r="B88" s="2" t="n"/>
      <c r="C88" s="2" t="n"/>
      <c r="D88" s="2" t="n"/>
    </row>
    <row r="89" ht="15" customHeight="1">
      <c r="B89" s="2" t="n"/>
      <c r="C89" s="2" t="n"/>
      <c r="D89" s="2" t="n"/>
    </row>
    <row r="90" ht="15" customHeight="1">
      <c r="B90" s="62" t="n"/>
      <c r="C90" s="62" t="n"/>
      <c r="D90" s="62" t="n"/>
      <c r="E90" s="62" t="n"/>
    </row>
    <row r="91" ht="15" customHeight="1" thickBot="1">
      <c r="B91" s="13" t="n"/>
      <c r="C91" s="12" t="n"/>
      <c r="D91" s="12" t="n"/>
      <c r="E91" s="61" t="inlineStr">
        <is>
          <t>Log de Saúde do Sdwan</t>
        </is>
      </c>
    </row>
    <row r="92" ht="15" customHeight="1" thickBot="1">
      <c r="B92" s="88" t="inlineStr">
        <is>
          <t>Cole a Saída do Comando →</t>
        </is>
      </c>
      <c r="C92" s="2" t="n"/>
      <c r="D92" s="2" t="n"/>
      <c r="E92" s="73" t="inlineStr">
        <is>
          <t>get sys performance status</t>
        </is>
      </c>
    </row>
    <row r="93" ht="15" customHeight="1">
      <c r="B93" s="2" t="n"/>
      <c r="C93" s="2" t="n"/>
      <c r="D93" s="2" t="n"/>
    </row>
    <row r="94" ht="15" customHeight="1">
      <c r="B94" s="2" t="n"/>
      <c r="C94" s="2" t="n"/>
      <c r="D94" s="2" t="n"/>
    </row>
    <row r="95" ht="15" customHeight="1">
      <c r="B95" s="2" t="n"/>
      <c r="C95" s="2" t="n"/>
      <c r="D95" s="2" t="n"/>
    </row>
    <row r="96" ht="15" customHeight="1">
      <c r="B96" s="2" t="n"/>
      <c r="C96" s="2" t="n"/>
      <c r="D96" s="2" t="n"/>
    </row>
    <row r="97" ht="15" customHeight="1">
      <c r="B97" s="2" t="n"/>
      <c r="C97" s="2" t="n"/>
      <c r="D97" s="2" t="n"/>
    </row>
    <row r="98" ht="15" customHeight="1">
      <c r="B98" s="2" t="n"/>
      <c r="C98" s="2" t="n"/>
      <c r="D98" s="2" t="n"/>
    </row>
    <row r="99" ht="15" customHeight="1">
      <c r="B99" s="2" t="n"/>
      <c r="C99" s="2" t="n"/>
      <c r="D99" s="2" t="n"/>
    </row>
    <row r="100" ht="15" customHeight="1">
      <c r="B100" s="2" t="n"/>
      <c r="C100" s="2" t="n"/>
      <c r="D100" s="2" t="n"/>
    </row>
    <row r="101" ht="15" customHeight="1">
      <c r="B101" s="2" t="n"/>
      <c r="C101" s="2" t="n"/>
      <c r="D101" s="2" t="n"/>
    </row>
    <row r="102" ht="15" customHeight="1">
      <c r="B102" s="2" t="n"/>
      <c r="C102" s="2" t="n"/>
      <c r="D102" s="2" t="n"/>
    </row>
    <row r="103" ht="15" customHeight="1">
      <c r="B103" s="2" t="n"/>
      <c r="C103" s="2" t="n"/>
      <c r="D103" s="2" t="n"/>
    </row>
    <row r="104" ht="15" customHeight="1">
      <c r="B104" s="2" t="n"/>
      <c r="C104" s="2" t="n"/>
      <c r="D104" s="2" t="n"/>
    </row>
    <row r="105" ht="15" customHeight="1">
      <c r="B105" s="2" t="n"/>
      <c r="C105" s="2" t="n"/>
      <c r="D105" s="2" t="n"/>
    </row>
    <row r="106" ht="15" customHeight="1">
      <c r="B106" s="2" t="n"/>
      <c r="C106" s="2" t="n"/>
      <c r="D106" s="2" t="n"/>
    </row>
    <row r="107" ht="15" customHeight="1">
      <c r="B107" s="2" t="n"/>
      <c r="C107" s="2" t="n"/>
      <c r="D107" s="2" t="n"/>
    </row>
    <row r="108" ht="15" customHeight="1">
      <c r="B108" s="2" t="n"/>
      <c r="C108" s="2" t="n"/>
      <c r="D108" s="2" t="n"/>
    </row>
    <row r="109" ht="15" customHeight="1">
      <c r="B109" s="2" t="n"/>
      <c r="C109" s="2" t="n"/>
      <c r="D109" s="2" t="n"/>
    </row>
    <row r="110" ht="15" customHeight="1">
      <c r="B110" s="2" t="n"/>
      <c r="C110" s="2" t="n"/>
      <c r="D110" s="2" t="n"/>
    </row>
    <row r="111" ht="15" customHeight="1">
      <c r="B111" s="2" t="n"/>
      <c r="C111" s="2" t="n"/>
      <c r="D111" s="2" t="n"/>
    </row>
    <row r="112" ht="15" customHeight="1">
      <c r="B112" s="2" t="n"/>
      <c r="C112" s="2" t="n"/>
      <c r="D112" s="2" t="n"/>
    </row>
    <row r="113" ht="15" customHeight="1">
      <c r="B113" s="2" t="n"/>
      <c r="C113" s="2" t="n"/>
      <c r="D113" s="2" t="n"/>
    </row>
    <row r="114" ht="15" customHeight="1">
      <c r="B114" s="2" t="n"/>
      <c r="C114" s="2" t="n"/>
      <c r="D114" s="2" t="n"/>
    </row>
    <row r="115" ht="15" customHeight="1">
      <c r="B115" s="2" t="n"/>
      <c r="C115" s="2" t="n"/>
      <c r="D115" s="2" t="n"/>
    </row>
    <row r="116" ht="15" customHeight="1">
      <c r="B116" s="62" t="n"/>
      <c r="C116" s="62" t="n"/>
      <c r="D116" s="62" t="n"/>
      <c r="E116" s="62" t="n"/>
    </row>
    <row r="117" ht="15" customHeight="1" thickBot="1">
      <c r="B117" s="88" t="inlineStr">
        <is>
          <t>Cole a Saída do Comando →</t>
        </is>
      </c>
      <c r="C117" s="2" t="n"/>
      <c r="D117" s="2" t="n"/>
      <c r="E117" s="61" t="inlineStr">
        <is>
          <t>Logs de Registros do Voip</t>
        </is>
      </c>
    </row>
    <row r="118" ht="15" customHeight="1" thickBot="1">
      <c r="B118" s="2" t="n"/>
      <c r="C118" s="2" t="n"/>
      <c r="D118" s="2" t="n"/>
      <c r="E118" s="163" t="inlineStr">
        <is>
          <t>sip-proxy ok</t>
        </is>
      </c>
    </row>
    <row r="119" ht="15" customHeight="1">
      <c r="B119" s="2" t="n"/>
      <c r="C119" s="2" t="n"/>
      <c r="D119" s="2" t="n"/>
      <c r="E119" s="164" t="n"/>
    </row>
    <row r="120" ht="15" customHeight="1">
      <c r="B120" s="2" t="n"/>
      <c r="C120" s="2" t="n"/>
      <c r="D120" s="2" t="n"/>
      <c r="E120" s="164" t="n"/>
    </row>
    <row r="121" ht="15" customHeight="1">
      <c r="B121" s="2" t="n"/>
      <c r="C121" s="2" t="n"/>
      <c r="D121" s="2" t="n"/>
      <c r="E121" s="164" t="n"/>
    </row>
    <row r="122" ht="15" customHeight="1">
      <c r="B122" s="2" t="n"/>
      <c r="C122" s="2" t="n"/>
      <c r="D122" s="2" t="n"/>
      <c r="E122" s="164" t="n"/>
    </row>
    <row r="123" ht="15" customHeight="1">
      <c r="B123" s="2" t="n"/>
      <c r="C123" s="2" t="n"/>
      <c r="D123" s="2" t="n"/>
      <c r="E123" s="164" t="n"/>
    </row>
    <row r="124" ht="15" customHeight="1">
      <c r="B124" s="2" t="n"/>
      <c r="C124" s="2" t="n"/>
      <c r="D124" s="2" t="n"/>
      <c r="E124" s="164" t="n"/>
    </row>
    <row r="125" ht="15" customHeight="1">
      <c r="B125" s="2" t="n"/>
      <c r="C125" s="2" t="n"/>
      <c r="D125" s="2" t="n"/>
      <c r="E125" s="164" t="n"/>
    </row>
    <row r="126" ht="15" customHeight="1">
      <c r="B126" s="2" t="n"/>
      <c r="C126" s="2" t="n"/>
      <c r="D126" s="2" t="n"/>
      <c r="E126" s="164" t="n"/>
    </row>
    <row r="127" ht="15" customHeight="1">
      <c r="B127" s="2" t="n"/>
      <c r="C127" s="2" t="n"/>
      <c r="D127" s="2" t="n"/>
      <c r="E127" s="164" t="n"/>
    </row>
    <row r="128" ht="15" customHeight="1">
      <c r="B128" s="2" t="n"/>
      <c r="C128" s="2" t="n"/>
      <c r="D128" s="2" t="n"/>
      <c r="E128" s="164" t="n"/>
    </row>
    <row r="129" ht="15" customHeight="1">
      <c r="B129" s="2" t="n"/>
      <c r="C129" s="2" t="n"/>
      <c r="D129" s="2" t="n"/>
      <c r="E129" s="164" t="n"/>
    </row>
    <row r="130" ht="15" customHeight="1">
      <c r="B130" s="2" t="n"/>
      <c r="C130" s="2" t="n"/>
      <c r="D130" s="2" t="n"/>
      <c r="E130" s="164" t="n"/>
    </row>
    <row r="131" ht="15" customHeight="1">
      <c r="B131" s="2" t="n"/>
      <c r="C131" s="2" t="n"/>
      <c r="D131" s="2" t="n"/>
      <c r="E131" s="164" t="n"/>
    </row>
    <row r="132" ht="15" customHeight="1">
      <c r="B132" s="2" t="n"/>
      <c r="C132" s="2" t="n"/>
      <c r="D132" s="2" t="n"/>
      <c r="E132" s="164" t="n"/>
    </row>
    <row r="133" ht="15" customHeight="1">
      <c r="B133" s="2" t="n"/>
      <c r="C133" s="2" t="n"/>
      <c r="D133" s="2" t="n"/>
      <c r="E133" s="164" t="n"/>
    </row>
    <row r="134" ht="15" customHeight="1">
      <c r="B134" s="2" t="n"/>
      <c r="C134" s="2" t="n"/>
      <c r="D134" s="2" t="n"/>
      <c r="E134" s="164" t="n"/>
    </row>
    <row r="135" ht="15" customHeight="1">
      <c r="B135" s="2" t="n"/>
      <c r="C135" s="2" t="n"/>
      <c r="D135" s="2" t="n"/>
      <c r="E135" s="164" t="n"/>
    </row>
    <row r="136" ht="15" customHeight="1">
      <c r="B136" s="2" t="n"/>
      <c r="C136" s="2" t="n"/>
      <c r="D136" s="2" t="n"/>
      <c r="E136" s="164" t="n"/>
    </row>
    <row r="137" ht="15" customHeight="1">
      <c r="B137" s="2" t="n"/>
      <c r="C137" s="2" t="n"/>
      <c r="D137" s="2" t="n"/>
      <c r="E137" s="164" t="n"/>
    </row>
    <row r="138" ht="15" customHeight="1">
      <c r="B138" s="2" t="n"/>
      <c r="C138" s="2" t="n"/>
      <c r="D138" s="2" t="n"/>
      <c r="E138" s="164" t="n"/>
    </row>
    <row r="139" ht="15" customHeight="1">
      <c r="B139" s="2" t="n"/>
      <c r="C139" s="2" t="n"/>
      <c r="D139" s="2" t="n"/>
      <c r="E139" s="164" t="n"/>
    </row>
    <row r="140" ht="15" customHeight="1">
      <c r="B140" s="2" t="n"/>
      <c r="C140" s="2" t="n"/>
      <c r="D140" s="2" t="n"/>
      <c r="E140" s="164" t="n"/>
    </row>
    <row r="141" ht="15" customHeight="1">
      <c r="B141" s="2" t="n"/>
      <c r="C141" s="2" t="n"/>
      <c r="D141" s="2" t="n"/>
      <c r="E141" s="164" t="n"/>
    </row>
    <row r="142" ht="15" customHeight="1">
      <c r="B142" s="2" t="n"/>
      <c r="C142" s="2" t="n"/>
      <c r="D142" s="2" t="n"/>
      <c r="E142" s="164" t="n"/>
    </row>
    <row r="143" ht="15" customHeight="1">
      <c r="B143" s="2" t="n"/>
      <c r="C143" s="2" t="n"/>
      <c r="D143" s="2" t="n"/>
      <c r="E143" s="164" t="n"/>
    </row>
    <row r="144" ht="15" customHeight="1">
      <c r="B144" s="2" t="n"/>
      <c r="C144" s="2" t="n"/>
      <c r="D144" s="2" t="n"/>
      <c r="E144" s="164" t="n"/>
    </row>
    <row r="145" ht="15" customHeight="1">
      <c r="B145" s="2" t="n"/>
      <c r="C145" s="2" t="n"/>
      <c r="D145" s="2" t="n"/>
      <c r="E145" s="164" t="n"/>
    </row>
    <row r="146" ht="15" customHeight="1">
      <c r="B146" s="2" t="n"/>
      <c r="C146" s="2" t="n"/>
      <c r="D146" s="2" t="n"/>
      <c r="E146" s="164" t="n"/>
    </row>
    <row r="147" ht="15" customHeight="1">
      <c r="B147" s="2" t="n"/>
      <c r="C147" s="2" t="n"/>
      <c r="D147" s="2" t="n"/>
      <c r="E147" s="164" t="n"/>
    </row>
    <row r="148" ht="15" customHeight="1">
      <c r="B148" s="2" t="n"/>
      <c r="C148" s="2" t="n"/>
      <c r="D148" s="2" t="n"/>
      <c r="E148" s="164" t="n"/>
    </row>
    <row r="149" ht="15" customHeight="1">
      <c r="B149" s="2" t="n"/>
      <c r="C149" s="2" t="n"/>
      <c r="D149" s="2" t="n"/>
      <c r="E149" s="164" t="n"/>
    </row>
    <row r="150" ht="15" customHeight="1">
      <c r="B150" s="2" t="n"/>
      <c r="C150" s="2" t="n"/>
      <c r="D150" s="2" t="n"/>
      <c r="E150" s="164" t="n"/>
    </row>
    <row r="151" ht="15" customHeight="1">
      <c r="B151" s="62" t="n"/>
      <c r="C151" s="62" t="n"/>
      <c r="D151" s="62" t="n"/>
      <c r="E151" s="62" t="n"/>
    </row>
    <row r="152" ht="15" customHeight="1" thickBot="1">
      <c r="B152" s="13" t="n"/>
      <c r="C152" s="12" t="n"/>
      <c r="D152" s="12" t="n"/>
      <c r="E152" s="61" t="inlineStr">
        <is>
          <t>Log de Conectividade com FMG - Vivo</t>
        </is>
      </c>
    </row>
    <row r="153" ht="15" customHeight="1" thickBot="1">
      <c r="B153" s="88" t="inlineStr">
        <is>
          <t>Cole a Saída do Comando →</t>
        </is>
      </c>
      <c r="C153" s="2" t="n"/>
      <c r="D153" s="2" t="n"/>
      <c r="E153" s="73" t="inlineStr">
        <is>
          <t>diagnose fdsm central-mgmt-status</t>
        </is>
      </c>
    </row>
    <row r="154" ht="15" customHeight="1">
      <c r="B154" s="2" t="n"/>
      <c r="C154" s="2" t="n"/>
      <c r="D154" s="2" t="n"/>
    </row>
    <row r="155" ht="15" customHeight="1">
      <c r="B155" s="2" t="n"/>
      <c r="C155" s="2" t="n"/>
      <c r="D155" s="2" t="n"/>
    </row>
    <row r="156" ht="15" customHeight="1">
      <c r="B156" s="2" t="n"/>
      <c r="C156" s="2" t="n"/>
      <c r="D156" s="2" t="n"/>
    </row>
    <row r="157" ht="15" customHeight="1">
      <c r="B157" s="2" t="n"/>
      <c r="C157" s="2" t="n"/>
      <c r="D157" s="2" t="n"/>
    </row>
    <row r="158" ht="15" customHeight="1">
      <c r="B158" s="2" t="n"/>
      <c r="C158" s="2" t="n"/>
      <c r="D158" s="2" t="n"/>
    </row>
    <row r="159" ht="15" customHeight="1">
      <c r="B159" s="2" t="n"/>
      <c r="C159" s="2" t="n"/>
      <c r="D159" s="2" t="n"/>
    </row>
    <row r="160" ht="15" customHeight="1">
      <c r="B160" s="2" t="n"/>
      <c r="C160" s="2" t="n"/>
      <c r="D160" s="2" t="n"/>
    </row>
    <row r="161" ht="15" customHeight="1">
      <c r="B161" s="2" t="n"/>
      <c r="C161" s="2" t="n"/>
      <c r="D161" s="2" t="n"/>
    </row>
    <row r="162" ht="15" customHeight="1">
      <c r="B162" s="2" t="n"/>
      <c r="C162" s="2" t="n"/>
      <c r="D162" s="2" t="n"/>
    </row>
    <row r="163" ht="15" customHeight="1">
      <c r="B163" s="2" t="n"/>
      <c r="C163" s="2" t="n"/>
      <c r="D163" s="2" t="n"/>
    </row>
    <row r="164" ht="15" customHeight="1">
      <c r="B164" s="2" t="n"/>
      <c r="C164" s="2" t="n"/>
      <c r="D164" s="2" t="n"/>
    </row>
    <row r="166" ht="15" customHeight="1" thickBot="1">
      <c r="B166" s="13" t="n"/>
      <c r="C166" s="12" t="n"/>
      <c r="D166" s="12" t="n"/>
      <c r="E166" s="61" t="inlineStr">
        <is>
          <t>Log de Conectividade com FAZ - Vivo</t>
        </is>
      </c>
    </row>
    <row r="167" ht="15" customHeight="1" thickBot="1">
      <c r="B167" s="88" t="inlineStr">
        <is>
          <t>Cole a Saída do Comando →</t>
        </is>
      </c>
      <c r="C167" s="2" t="n"/>
      <c r="D167" s="2" t="n"/>
      <c r="E167" s="73" t="inlineStr">
        <is>
          <t>get sys fortianalyzer-connectivity status</t>
        </is>
      </c>
    </row>
    <row r="168" ht="15" customHeight="1">
      <c r="B168" s="2" t="n"/>
      <c r="C168" s="2" t="n"/>
      <c r="D168" s="2" t="n"/>
    </row>
    <row r="169" ht="15" customHeight="1">
      <c r="B169" s="2" t="n"/>
      <c r="C169" s="2" t="n"/>
      <c r="D169" s="2" t="n"/>
    </row>
    <row r="170" ht="15" customHeight="1">
      <c r="B170" s="2" t="n"/>
      <c r="C170" s="2" t="n"/>
      <c r="D170" s="2" t="n"/>
    </row>
    <row r="171" ht="15" customHeight="1">
      <c r="B171" s="2" t="n"/>
      <c r="C171" s="2" t="n"/>
      <c r="D171" s="2" t="n"/>
    </row>
    <row r="172" ht="15" customHeight="1">
      <c r="B172" s="2" t="n"/>
      <c r="C172" s="2" t="n"/>
      <c r="D172" s="2" t="n"/>
    </row>
    <row r="173" ht="15" customHeight="1">
      <c r="B173" s="2" t="n"/>
      <c r="C173" s="2" t="n"/>
      <c r="D173" s="2" t="n"/>
    </row>
    <row r="174" ht="15" customHeight="1">
      <c r="B174" s="2" t="n"/>
      <c r="C174" s="2" t="n"/>
      <c r="D174" s="2" t="n"/>
    </row>
    <row r="175" ht="15" customHeight="1">
      <c r="B175" s="2" t="n"/>
      <c r="C175" s="2" t="n"/>
      <c r="D175" s="2" t="n"/>
    </row>
    <row r="176" ht="15" customHeight="1">
      <c r="B176" s="2" t="n"/>
      <c r="C176" s="2" t="n"/>
      <c r="D176" s="2" t="n"/>
    </row>
    <row r="177" ht="15" customHeight="1">
      <c r="B177" s="2" t="n"/>
      <c r="C177" s="2" t="n"/>
      <c r="D177" s="2" t="n"/>
    </row>
    <row r="178" ht="15" customHeight="1">
      <c r="B178" s="2" t="n"/>
      <c r="C178" s="2" t="n"/>
      <c r="D178" s="2" t="n"/>
    </row>
    <row r="179" ht="15" customHeight="1">
      <c r="B179" s="62" t="n"/>
      <c r="C179" s="62" t="n"/>
      <c r="D179" s="62" t="n"/>
      <c r="E179" s="62" t="n"/>
    </row>
    <row r="180" ht="15" customHeight="1" thickBot="1">
      <c r="B180" s="13" t="n"/>
      <c r="C180" s="12" t="n"/>
      <c r="D180" s="12" t="n"/>
      <c r="E180" s="61" t="inlineStr">
        <is>
          <t>Log da Conectividade FGCP - High Availability</t>
        </is>
      </c>
    </row>
    <row r="181" ht="15" customHeight="1" thickBot="1">
      <c r="B181" s="88" t="inlineStr">
        <is>
          <t>Cole a Saída do Comando →</t>
        </is>
      </c>
      <c r="C181" s="2" t="n"/>
      <c r="D181" s="2" t="n"/>
      <c r="E181" s="73" t="inlineStr">
        <is>
          <t>get sys ha status</t>
        </is>
      </c>
    </row>
    <row r="182" ht="15" customHeight="1">
      <c r="B182" s="2" t="n"/>
      <c r="C182" s="2" t="n"/>
      <c r="D182" s="2" t="n"/>
      <c r="E182" s="165" t="inlineStr">
        <is>
          <t>HA: active</t>
        </is>
      </c>
    </row>
    <row r="183" ht="15" customHeight="1">
      <c r="B183" s="2" t="n"/>
      <c r="C183" s="2" t="n"/>
      <c r="D183" s="2" t="n"/>
      <c r="E183" s="165" t="n"/>
    </row>
    <row r="184" ht="15" customHeight="1">
      <c r="B184" s="2" t="n"/>
      <c r="C184" s="2" t="n"/>
      <c r="D184" s="2" t="n"/>
      <c r="E184" s="165" t="n"/>
    </row>
    <row r="185" ht="15" customHeight="1">
      <c r="B185" s="2" t="n"/>
      <c r="C185" s="2" t="n"/>
      <c r="D185" s="2" t="n"/>
      <c r="E185" s="165" t="n"/>
    </row>
    <row r="186" ht="15" customHeight="1">
      <c r="B186" s="2" t="n"/>
      <c r="C186" s="2" t="n"/>
      <c r="D186" s="2" t="n"/>
      <c r="E186" s="165" t="n"/>
    </row>
    <row r="187" ht="15" customHeight="1">
      <c r="B187" s="2" t="n"/>
      <c r="C187" s="2" t="n"/>
      <c r="D187" s="2" t="n"/>
      <c r="E187" s="165" t="n"/>
    </row>
    <row r="188" ht="15" customHeight="1">
      <c r="B188" s="2" t="n"/>
      <c r="C188" s="2" t="n"/>
      <c r="D188" s="2" t="n"/>
      <c r="E188" s="165" t="n"/>
    </row>
    <row r="189" ht="15" customHeight="1">
      <c r="B189" s="2" t="n"/>
      <c r="C189" s="2" t="n"/>
      <c r="D189" s="2" t="n"/>
      <c r="E189" s="165" t="n"/>
    </row>
    <row r="190" ht="15" customHeight="1">
      <c r="B190" s="2" t="n"/>
      <c r="C190" s="2" t="n"/>
      <c r="D190" s="2" t="n"/>
      <c r="E190" s="165" t="n"/>
    </row>
    <row r="191" ht="15" customHeight="1">
      <c r="B191" s="2" t="n"/>
      <c r="C191" s="2" t="n"/>
      <c r="D191" s="2" t="n"/>
      <c r="E191" s="165" t="n"/>
    </row>
    <row r="192" ht="15" customHeight="1">
      <c r="B192" s="2" t="n"/>
      <c r="C192" s="2" t="n"/>
      <c r="D192" s="2" t="n"/>
      <c r="E192" s="165" t="n"/>
    </row>
    <row r="193" ht="15" customHeight="1">
      <c r="B193" s="2" t="n"/>
      <c r="C193" s="2" t="n"/>
      <c r="D193" s="2" t="n"/>
      <c r="E193" s="165" t="n"/>
    </row>
    <row r="194" ht="15" customHeight="1">
      <c r="B194" s="2" t="n"/>
      <c r="C194" s="2" t="n"/>
      <c r="D194" s="2" t="n"/>
      <c r="E194" s="165" t="n"/>
    </row>
    <row r="195" ht="15" customHeight="1">
      <c r="B195" s="2" t="n"/>
      <c r="C195" s="2" t="n"/>
      <c r="D195" s="2" t="n"/>
      <c r="E195" s="165" t="n"/>
    </row>
    <row r="196" ht="15" customHeight="1">
      <c r="B196" s="2" t="n"/>
      <c r="C196" s="2" t="n"/>
      <c r="D196" s="2" t="n"/>
      <c r="E196" s="165" t="n"/>
    </row>
    <row r="197" ht="15" customHeight="1">
      <c r="B197" s="2" t="n"/>
      <c r="C197" s="2" t="n"/>
      <c r="D197" s="2" t="n"/>
      <c r="E197" s="165" t="n"/>
    </row>
    <row r="198" ht="15" customHeight="1">
      <c r="B198" s="2" t="n"/>
      <c r="C198" s="2" t="n"/>
      <c r="D198" s="2" t="n"/>
      <c r="E198" s="165" t="n"/>
    </row>
    <row r="199" ht="15" customHeight="1">
      <c r="B199" s="62" t="n"/>
      <c r="C199" s="62" t="n"/>
      <c r="D199" s="62" t="n"/>
      <c r="E199" s="62" t="n"/>
    </row>
    <row r="200" ht="15" customHeight="1" thickBot="1">
      <c r="B200" s="13" t="n"/>
      <c r="C200" s="12" t="n"/>
      <c r="D200" s="12" t="n"/>
      <c r="E200" s="61" t="inlineStr">
        <is>
          <t>SD-WAN Rules</t>
        </is>
      </c>
    </row>
    <row r="201" ht="15" customHeight="1" thickBot="1">
      <c r="B201" s="88" t="inlineStr">
        <is>
          <t>Cole a Saída do Comando →</t>
        </is>
      </c>
      <c r="C201" s="2" t="n"/>
      <c r="D201" s="2" t="n"/>
      <c r="E201" s="73" t="inlineStr">
        <is>
          <t>diagnose sys sdwan service4</t>
        </is>
      </c>
    </row>
    <row r="202" ht="15" customHeight="1">
      <c r="B202" s="2" t="n"/>
      <c r="C202" s="2" t="n"/>
      <c r="D202" s="2" t="n"/>
      <c r="E202" s="62" t="n"/>
    </row>
    <row r="203" ht="15" customHeight="1">
      <c r="B203" s="2" t="n"/>
      <c r="C203" s="2" t="n"/>
      <c r="D203" s="2" t="n"/>
      <c r="E203" s="62" t="n"/>
    </row>
    <row r="204" ht="15" customHeight="1">
      <c r="B204" s="2" t="n"/>
      <c r="C204" s="2" t="n"/>
      <c r="D204" s="2" t="n"/>
      <c r="E204" s="62" t="n"/>
    </row>
    <row r="205" ht="15" customHeight="1">
      <c r="B205" s="2" t="n"/>
      <c r="C205" s="2" t="n"/>
      <c r="D205" s="2" t="n"/>
      <c r="E205" s="62" t="n"/>
    </row>
    <row r="206" ht="15" customHeight="1">
      <c r="B206" s="2" t="n"/>
      <c r="C206" s="2" t="n"/>
      <c r="D206" s="2" t="n"/>
      <c r="E206" s="62" t="n"/>
    </row>
    <row r="207" ht="15" customHeight="1">
      <c r="B207" s="2" t="n"/>
      <c r="C207" s="2" t="n"/>
      <c r="D207" s="2" t="n"/>
      <c r="E207" s="62" t="n"/>
    </row>
    <row r="208" ht="15" customHeight="1">
      <c r="B208" s="2" t="n"/>
      <c r="C208" s="2" t="n"/>
      <c r="D208" s="2" t="n"/>
      <c r="E208" s="62" t="n"/>
    </row>
    <row r="209" ht="15" customHeight="1">
      <c r="B209" s="2" t="n"/>
      <c r="C209" s="2" t="n"/>
      <c r="D209" s="2" t="n"/>
      <c r="E209" s="62" t="n"/>
    </row>
    <row r="210" ht="15" customHeight="1">
      <c r="B210" s="2" t="n"/>
      <c r="C210" s="2" t="n"/>
      <c r="D210" s="2" t="n"/>
      <c r="E210" s="62" t="n"/>
    </row>
    <row r="211" ht="15" customHeight="1">
      <c r="B211" s="2" t="n"/>
      <c r="C211" s="2" t="n"/>
      <c r="D211" s="2" t="n"/>
      <c r="E211" s="62" t="n"/>
    </row>
    <row r="212" ht="15" customHeight="1">
      <c r="B212" s="2" t="n"/>
      <c r="C212" s="2" t="n"/>
      <c r="D212" s="2" t="n"/>
      <c r="E212" s="62" t="n"/>
    </row>
    <row r="213" ht="15" customHeight="1">
      <c r="B213" s="2" t="n"/>
      <c r="C213" s="2" t="n"/>
      <c r="D213" s="2" t="n"/>
      <c r="E213" s="62" t="n"/>
    </row>
    <row r="214" ht="15" customHeight="1">
      <c r="B214" s="2" t="n"/>
      <c r="C214" s="2" t="n"/>
      <c r="D214" s="2" t="n"/>
      <c r="E214" s="62" t="n"/>
    </row>
    <row r="215" ht="15" customHeight="1">
      <c r="B215" s="2" t="n"/>
      <c r="C215" s="2" t="n"/>
      <c r="D215" s="2" t="n"/>
      <c r="E215" s="62" t="n"/>
    </row>
    <row r="216" ht="15" customHeight="1">
      <c r="B216" s="2" t="n"/>
      <c r="C216" s="2" t="n"/>
      <c r="D216" s="2" t="n"/>
      <c r="E216" s="62" t="n"/>
    </row>
    <row r="217" ht="15" customHeight="1">
      <c r="B217" s="2" t="n"/>
      <c r="C217" s="2" t="n"/>
      <c r="D217" s="2" t="n"/>
      <c r="E217" s="62" t="n"/>
    </row>
    <row r="218" ht="15" customHeight="1">
      <c r="B218" s="2" t="n"/>
      <c r="C218" s="2" t="n"/>
      <c r="D218" s="2" t="n"/>
      <c r="E218" s="62" t="n"/>
    </row>
    <row r="219" ht="15" customHeight="1">
      <c r="B219" s="2" t="n"/>
      <c r="C219" s="2" t="n"/>
      <c r="D219" s="2" t="n"/>
      <c r="E219" s="62" t="n"/>
    </row>
    <row r="220" ht="15" customHeight="1">
      <c r="B220" s="2" t="n"/>
      <c r="C220" s="2" t="n"/>
      <c r="D220" s="2" t="n"/>
      <c r="E220" s="62" t="n"/>
    </row>
    <row r="221" ht="15" customHeight="1">
      <c r="B221" s="2" t="n"/>
      <c r="C221" s="2" t="n"/>
      <c r="D221" s="2" t="n"/>
      <c r="E221" s="62" t="n"/>
    </row>
    <row r="222" ht="15" customHeight="1">
      <c r="B222" s="2" t="n"/>
      <c r="C222" s="2" t="n"/>
      <c r="D222" s="2" t="n"/>
      <c r="E222" s="62" t="n"/>
    </row>
    <row r="223" ht="15" customHeight="1">
      <c r="B223" s="2" t="n"/>
      <c r="C223" s="2" t="n"/>
      <c r="D223" s="2" t="n"/>
      <c r="E223" s="62" t="n"/>
    </row>
    <row r="224" ht="15" customHeight="1">
      <c r="B224" s="2" t="n"/>
      <c r="C224" s="2" t="n"/>
      <c r="D224" s="2" t="n"/>
      <c r="E224" s="62" t="n"/>
    </row>
    <row r="225" ht="15" customHeight="1">
      <c r="B225" s="2" t="n"/>
      <c r="C225" s="2" t="n"/>
      <c r="D225" s="2" t="n"/>
      <c r="E225" s="62" t="n"/>
    </row>
    <row r="226" ht="15" customHeight="1">
      <c r="B226" s="2" t="n"/>
      <c r="C226" s="2" t="n"/>
      <c r="D226" s="2" t="n"/>
      <c r="E226" s="62" t="n"/>
    </row>
    <row r="227" ht="15" customHeight="1">
      <c r="B227" s="2" t="n"/>
      <c r="C227" s="2" t="n"/>
      <c r="D227" s="2" t="n"/>
      <c r="E227" s="62" t="n"/>
    </row>
    <row r="228" ht="15" customHeight="1">
      <c r="B228" s="2" t="n"/>
      <c r="C228" s="2" t="n"/>
      <c r="D228" s="2" t="n"/>
      <c r="E228" s="62" t="n"/>
    </row>
    <row r="229" ht="15" customHeight="1">
      <c r="B229" s="2" t="n"/>
      <c r="C229" s="2" t="n"/>
      <c r="D229" s="2" t="n"/>
      <c r="E229" s="62" t="n"/>
    </row>
    <row r="230" ht="15" customHeight="1">
      <c r="B230" s="2" t="n"/>
      <c r="C230" s="2" t="n"/>
      <c r="D230" s="2" t="n"/>
      <c r="E230" s="62" t="n"/>
    </row>
    <row r="231" ht="15" customHeight="1">
      <c r="B231" s="2" t="n"/>
      <c r="C231" s="2" t="n"/>
      <c r="D231" s="2" t="n"/>
      <c r="E231" s="62" t="n"/>
    </row>
    <row r="232" ht="15" customHeight="1">
      <c r="B232" s="2" t="n"/>
      <c r="C232" s="2" t="n"/>
      <c r="D232" s="2" t="n"/>
      <c r="E232" s="62" t="n"/>
    </row>
    <row r="233" ht="15" customHeight="1">
      <c r="B233" s="2" t="n"/>
      <c r="C233" s="2" t="n"/>
      <c r="D233" s="2" t="n"/>
      <c r="E233" s="62" t="n"/>
    </row>
    <row r="234" ht="15" customHeight="1">
      <c r="B234" s="2" t="n"/>
      <c r="C234" s="2" t="n"/>
      <c r="D234" s="2" t="n"/>
      <c r="E234" s="62" t="n"/>
    </row>
    <row r="235" ht="15" customHeight="1">
      <c r="B235" s="2" t="n"/>
      <c r="C235" s="2" t="n"/>
      <c r="D235" s="2" t="n"/>
      <c r="E235" s="62" t="n"/>
    </row>
    <row r="236" ht="15" customHeight="1">
      <c r="B236" s="2" t="n"/>
      <c r="C236" s="2" t="n"/>
      <c r="D236" s="2" t="n"/>
      <c r="E236" s="62" t="n"/>
    </row>
    <row r="237" ht="15" customHeight="1">
      <c r="B237" s="2" t="n"/>
      <c r="C237" s="2" t="n"/>
      <c r="D237" s="2" t="n"/>
      <c r="E237" s="62" t="n"/>
    </row>
    <row r="238" ht="15" customHeight="1">
      <c r="B238" s="2" t="n"/>
      <c r="C238" s="2" t="n"/>
      <c r="D238" s="2" t="n"/>
      <c r="E238" s="62" t="n"/>
    </row>
    <row r="239" ht="15" customHeight="1">
      <c r="B239" s="2" t="n"/>
      <c r="C239" s="2" t="n"/>
      <c r="D239" s="2" t="n"/>
      <c r="E239" s="62" t="n"/>
    </row>
    <row r="240" ht="15" customHeight="1">
      <c r="B240" s="2" t="n"/>
      <c r="C240" s="2" t="n"/>
      <c r="D240" s="2" t="n"/>
      <c r="E240" s="62" t="n"/>
    </row>
    <row r="241" ht="15" customHeight="1">
      <c r="B241" s="2" t="n"/>
      <c r="C241" s="2" t="n"/>
      <c r="D241" s="2" t="n"/>
      <c r="E241" s="62" t="n"/>
    </row>
    <row r="242" ht="15" customHeight="1">
      <c r="B242" s="2" t="n"/>
      <c r="C242" s="2" t="n"/>
      <c r="D242" s="2" t="n"/>
      <c r="E242" s="62" t="n"/>
    </row>
    <row r="243" ht="15" customHeight="1">
      <c r="B243" s="2" t="n"/>
      <c r="C243" s="2" t="n"/>
      <c r="D243" s="2" t="n"/>
      <c r="E243" s="62" t="n"/>
    </row>
    <row r="244" ht="15" customHeight="1">
      <c r="B244" s="2" t="n"/>
      <c r="C244" s="2" t="n"/>
      <c r="D244" s="2" t="n"/>
      <c r="E244" s="62" t="n"/>
    </row>
    <row r="245" ht="15" customHeight="1">
      <c r="B245" s="2" t="n"/>
      <c r="C245" s="2" t="n"/>
      <c r="D245" s="2" t="n"/>
      <c r="E245" s="62" t="n"/>
    </row>
    <row r="246" ht="15" customHeight="1">
      <c r="B246" s="2" t="n"/>
      <c r="C246" s="2" t="n"/>
      <c r="D246" s="2" t="n"/>
      <c r="E246" s="62" t="n"/>
    </row>
    <row r="247" ht="15" customHeight="1">
      <c r="B247" s="2" t="n"/>
      <c r="C247" s="2" t="n"/>
      <c r="D247" s="2" t="n"/>
      <c r="E247" s="62" t="n"/>
    </row>
    <row r="248" ht="15" customHeight="1">
      <c r="B248" s="2" t="n"/>
      <c r="C248" s="2" t="n"/>
      <c r="D248" s="2" t="n"/>
      <c r="E248" s="62" t="n"/>
    </row>
    <row r="249" ht="15" customHeight="1">
      <c r="B249" s="2" t="n"/>
      <c r="C249" s="2" t="n"/>
      <c r="D249" s="2" t="n"/>
      <c r="E249" s="62" t="n"/>
    </row>
    <row r="250" ht="15" customHeight="1">
      <c r="B250" s="2" t="n"/>
      <c r="C250" s="2" t="n"/>
      <c r="D250" s="2" t="n"/>
      <c r="E250" s="62" t="n"/>
    </row>
    <row r="251" ht="15" customHeight="1">
      <c r="B251" s="2" t="n"/>
      <c r="C251" s="2" t="n"/>
      <c r="D251" s="2" t="n"/>
      <c r="E251" s="62" t="n"/>
    </row>
    <row r="252" ht="15" customHeight="1">
      <c r="B252" s="2" t="n"/>
      <c r="C252" s="2" t="n"/>
      <c r="D252" s="2" t="n"/>
      <c r="E252" s="62" t="n"/>
    </row>
    <row r="253" ht="15" customHeight="1">
      <c r="B253" s="2" t="n"/>
      <c r="C253" s="2" t="n"/>
      <c r="D253" s="2" t="n"/>
      <c r="E253" s="62" t="n"/>
    </row>
    <row r="254" ht="15" customHeight="1">
      <c r="B254" s="2" t="n"/>
      <c r="C254" s="2" t="n"/>
      <c r="D254" s="2" t="n"/>
      <c r="E254" s="62" t="n"/>
    </row>
    <row r="255" ht="15" customHeight="1">
      <c r="B255" s="2" t="n"/>
      <c r="C255" s="2" t="n"/>
      <c r="D255" s="2" t="n"/>
      <c r="E255" s="62" t="n"/>
    </row>
    <row r="256" ht="15" customHeight="1">
      <c r="B256" s="2" t="n"/>
      <c r="C256" s="2" t="n"/>
      <c r="D256" s="2" t="n"/>
      <c r="E256" s="62" t="n"/>
    </row>
    <row r="257" ht="15" customHeight="1">
      <c r="B257" s="2" t="n"/>
      <c r="C257" s="2" t="n"/>
      <c r="D257" s="2" t="n"/>
      <c r="E257" s="62" t="n"/>
    </row>
    <row r="258" ht="15" customHeight="1">
      <c r="B258" s="2" t="n"/>
      <c r="C258" s="2" t="n"/>
      <c r="D258" s="2" t="n"/>
      <c r="E258" s="62" t="n"/>
    </row>
    <row r="259" ht="15" customHeight="1">
      <c r="B259" s="2" t="n"/>
      <c r="C259" s="2" t="n"/>
      <c r="D259" s="2" t="n"/>
      <c r="E259" s="62" t="n"/>
    </row>
    <row r="260" ht="15" customHeight="1">
      <c r="B260" s="2" t="n"/>
      <c r="C260" s="2" t="n"/>
      <c r="D260" s="2" t="n"/>
      <c r="E260" s="62" t="n"/>
    </row>
    <row r="261" ht="15" customHeight="1">
      <c r="B261" s="2" t="n"/>
      <c r="C261" s="2" t="n"/>
      <c r="D261" s="2" t="n"/>
      <c r="E261" s="62" t="n"/>
    </row>
    <row r="262" ht="15" customHeight="1">
      <c r="B262" s="2" t="n"/>
      <c r="C262" s="2" t="n"/>
      <c r="D262" s="2" t="n"/>
      <c r="E262" s="62" t="n"/>
    </row>
    <row r="263" ht="15" customHeight="1">
      <c r="B263" s="2" t="n"/>
      <c r="C263" s="2" t="n"/>
      <c r="D263" s="2" t="n"/>
      <c r="E263" s="62" t="n"/>
    </row>
    <row r="264" ht="15" customHeight="1">
      <c r="B264" s="2" t="n"/>
      <c r="C264" s="2" t="n"/>
      <c r="D264" s="2" t="n"/>
      <c r="E264" s="62" t="n"/>
    </row>
    <row r="265" ht="15" customHeight="1">
      <c r="B265" s="2" t="n"/>
      <c r="C265" s="2" t="n"/>
      <c r="D265" s="2" t="n"/>
      <c r="E265" s="62" t="n"/>
    </row>
    <row r="266" ht="15" customHeight="1">
      <c r="B266" s="2" t="n"/>
      <c r="C266" s="2" t="n"/>
      <c r="D266" s="2" t="n"/>
      <c r="E266" s="62" t="n"/>
    </row>
    <row r="267" ht="15" customHeight="1">
      <c r="B267" s="2" t="n"/>
      <c r="C267" s="2" t="n"/>
      <c r="D267" s="2" t="n"/>
      <c r="E267" s="62" t="n"/>
    </row>
    <row r="268" ht="15" customHeight="1">
      <c r="B268" s="2" t="n"/>
      <c r="C268" s="2" t="n"/>
      <c r="D268" s="2" t="n"/>
      <c r="E268" s="62" t="n"/>
    </row>
    <row r="269" ht="15" customHeight="1">
      <c r="B269" s="2" t="n"/>
      <c r="C269" s="2" t="n"/>
      <c r="D269" s="2" t="n"/>
      <c r="E269" s="62" t="n"/>
    </row>
    <row r="270" ht="15" customHeight="1">
      <c r="B270" s="2" t="n"/>
      <c r="C270" s="2" t="n"/>
      <c r="D270" s="2" t="n"/>
      <c r="E270" s="62" t="n"/>
    </row>
    <row r="271" ht="15" customHeight="1">
      <c r="B271" s="2" t="n"/>
      <c r="C271" s="2" t="n"/>
      <c r="D271" s="2" t="n"/>
      <c r="E271" s="62" t="n"/>
    </row>
    <row r="272" ht="15" customHeight="1">
      <c r="B272" s="2" t="n"/>
      <c r="C272" s="2" t="n"/>
      <c r="D272" s="2" t="n"/>
      <c r="E272" s="62" t="n"/>
    </row>
    <row r="273" ht="15" customHeight="1">
      <c r="B273" s="2" t="n"/>
      <c r="C273" s="2" t="n"/>
      <c r="D273" s="2" t="n"/>
      <c r="E273" s="62" t="n"/>
    </row>
    <row r="274" ht="15" customHeight="1">
      <c r="B274" s="2" t="n"/>
      <c r="C274" s="2" t="n"/>
      <c r="D274" s="2" t="n"/>
      <c r="E274" s="62" t="n"/>
    </row>
    <row r="275" ht="15" customHeight="1">
      <c r="B275" s="2" t="n"/>
      <c r="C275" s="2" t="n"/>
      <c r="D275" s="2" t="n"/>
      <c r="E275" s="62" t="n"/>
    </row>
    <row r="276" ht="15" customHeight="1">
      <c r="B276" s="2" t="n"/>
      <c r="C276" s="2" t="n"/>
      <c r="D276" s="2" t="n"/>
      <c r="E276" s="62" t="n"/>
    </row>
    <row r="277" ht="15" customHeight="1">
      <c r="B277" s="2" t="n"/>
      <c r="C277" s="2" t="n"/>
      <c r="D277" s="2" t="n"/>
      <c r="E277" s="62" t="n"/>
    </row>
    <row r="278" ht="15" customHeight="1">
      <c r="B278" s="2" t="n"/>
      <c r="C278" s="2" t="n"/>
      <c r="D278" s="2" t="n"/>
      <c r="E278" s="62" t="n"/>
    </row>
    <row r="279" ht="15" customHeight="1">
      <c r="B279" s="2" t="n"/>
      <c r="C279" s="2" t="n"/>
      <c r="D279" s="2" t="n"/>
      <c r="E279" s="62" t="n"/>
    </row>
    <row r="280" ht="15" customHeight="1">
      <c r="B280" s="2" t="n"/>
      <c r="C280" s="2" t="n"/>
      <c r="D280" s="2" t="n"/>
      <c r="E280" s="62" t="n"/>
    </row>
    <row r="281" ht="15" customHeight="1">
      <c r="B281" s="2" t="n"/>
      <c r="C281" s="2" t="n"/>
      <c r="D281" s="2" t="n"/>
      <c r="E281" s="62" t="n"/>
    </row>
    <row r="282" ht="15" customHeight="1">
      <c r="B282" s="2" t="n"/>
      <c r="C282" s="2" t="n"/>
      <c r="D282" s="2" t="n"/>
      <c r="E282" s="62" t="n"/>
    </row>
    <row r="283" ht="15" customHeight="1">
      <c r="B283" s="2" t="n"/>
      <c r="C283" s="2" t="n"/>
      <c r="D283" s="2" t="n"/>
      <c r="E283" s="62" t="n"/>
    </row>
    <row r="284" ht="15" customHeight="1">
      <c r="B284" s="2" t="n"/>
      <c r="C284" s="2" t="n"/>
      <c r="D284" s="2" t="n"/>
      <c r="E284" s="62" t="n"/>
    </row>
    <row r="285" ht="15" customHeight="1">
      <c r="B285" s="2" t="n"/>
      <c r="C285" s="2" t="n"/>
      <c r="D285" s="2" t="n"/>
      <c r="E285" s="62" t="n"/>
    </row>
    <row r="286" ht="15" customHeight="1">
      <c r="B286" s="2" t="n"/>
      <c r="C286" s="2" t="n"/>
      <c r="D286" s="2" t="n"/>
      <c r="E286" s="62" t="n"/>
    </row>
    <row r="287" ht="15" customHeight="1">
      <c r="B287" s="2" t="n"/>
      <c r="C287" s="2" t="n"/>
      <c r="D287" s="2" t="n"/>
      <c r="E287" s="62" t="n"/>
    </row>
    <row r="288" ht="15" customHeight="1">
      <c r="B288" s="2" t="n"/>
      <c r="C288" s="2" t="n"/>
      <c r="D288" s="2" t="n"/>
      <c r="E288" s="62" t="n"/>
    </row>
    <row r="289" ht="15" customHeight="1">
      <c r="B289" s="2" t="n"/>
      <c r="C289" s="2" t="n"/>
      <c r="D289" s="2" t="n"/>
      <c r="E289" s="62" t="n"/>
    </row>
    <row r="290" ht="15" customHeight="1">
      <c r="B290" s="2" t="n"/>
      <c r="C290" s="2" t="n"/>
      <c r="D290" s="2" t="n"/>
      <c r="E290" s="62" t="n"/>
    </row>
    <row r="291" ht="15" customHeight="1">
      <c r="B291" s="2" t="n"/>
      <c r="C291" s="2" t="n"/>
      <c r="D291" s="2" t="n"/>
      <c r="E291" s="62" t="n"/>
    </row>
    <row r="292" ht="15" customHeight="1">
      <c r="B292" s="2" t="n"/>
      <c r="C292" s="2" t="n"/>
      <c r="D292" s="2" t="n"/>
      <c r="E292" s="62" t="n"/>
    </row>
    <row r="293" ht="15" customHeight="1">
      <c r="B293" s="2" t="n"/>
      <c r="C293" s="2" t="n"/>
      <c r="D293" s="2" t="n"/>
      <c r="E293" s="62" t="n"/>
    </row>
    <row r="294" ht="15" customHeight="1">
      <c r="B294" s="2" t="n"/>
      <c r="C294" s="2" t="n"/>
      <c r="D294" s="2" t="n"/>
      <c r="E294" s="62" t="n"/>
    </row>
    <row r="295" ht="15" customHeight="1">
      <c r="B295" s="2" t="n"/>
      <c r="C295" s="2" t="n"/>
      <c r="D295" s="2" t="n"/>
      <c r="E295" s="62" t="n"/>
    </row>
    <row r="296" ht="15" customHeight="1">
      <c r="B296" s="2" t="n"/>
      <c r="C296" s="2" t="n"/>
      <c r="D296" s="2" t="n"/>
      <c r="E296" s="62" t="n"/>
    </row>
    <row r="297" ht="15" customHeight="1">
      <c r="B297" s="2" t="n"/>
      <c r="C297" s="2" t="n"/>
      <c r="D297" s="2" t="n"/>
      <c r="E297" s="62" t="n"/>
    </row>
    <row r="298" ht="15" customHeight="1">
      <c r="B298" s="2" t="n"/>
      <c r="C298" s="2" t="n"/>
      <c r="D298" s="2" t="n"/>
      <c r="E298" s="62" t="n"/>
    </row>
    <row r="299" ht="15" customHeight="1">
      <c r="B299" s="2" t="n"/>
      <c r="C299" s="2" t="n"/>
      <c r="D299" s="2" t="n"/>
      <c r="E299" s="62" t="n"/>
    </row>
    <row r="300" ht="15" customHeight="1">
      <c r="B300" s="2" t="n"/>
      <c r="C300" s="2" t="n"/>
      <c r="D300" s="2" t="n"/>
      <c r="E300" s="62" t="n"/>
    </row>
    <row r="301" ht="15" customHeight="1">
      <c r="B301" s="2" t="n"/>
      <c r="C301" s="2" t="n"/>
      <c r="D301" s="2" t="n"/>
      <c r="E301" s="62" t="n"/>
    </row>
    <row r="302" ht="15" customHeight="1">
      <c r="B302" s="2" t="n"/>
      <c r="C302" s="2" t="n"/>
      <c r="D302" s="2" t="n"/>
      <c r="E302" s="62" t="n"/>
    </row>
    <row r="303" ht="15" customHeight="1">
      <c r="B303" s="2" t="n"/>
      <c r="C303" s="2" t="n"/>
      <c r="D303" s="2" t="n"/>
      <c r="E303" s="62" t="n"/>
    </row>
    <row r="304" ht="15" customHeight="1">
      <c r="B304" s="2" t="n"/>
      <c r="C304" s="2" t="n"/>
      <c r="D304" s="2" t="n"/>
      <c r="E304" s="62" t="n"/>
    </row>
    <row r="305" ht="15" customHeight="1">
      <c r="B305" s="2" t="n"/>
      <c r="C305" s="2" t="n"/>
      <c r="D305" s="2" t="n"/>
      <c r="E305" s="62" t="n"/>
    </row>
    <row r="306" ht="15" customHeight="1">
      <c r="B306" s="2" t="n"/>
      <c r="C306" s="2" t="n"/>
      <c r="D306" s="2" t="n"/>
      <c r="E306" s="62" t="n"/>
    </row>
    <row r="307" ht="15" customHeight="1">
      <c r="B307" s="2" t="n"/>
      <c r="C307" s="2" t="n"/>
      <c r="D307" s="2" t="n"/>
      <c r="E307" s="62" t="n"/>
    </row>
    <row r="308" ht="15" customHeight="1">
      <c r="B308" s="2" t="n"/>
      <c r="C308" s="2" t="n"/>
      <c r="D308" s="2" t="n"/>
      <c r="E308" s="62" t="n"/>
    </row>
    <row r="309" ht="15" customHeight="1">
      <c r="B309" s="2" t="n"/>
      <c r="C309" s="2" t="n"/>
      <c r="D309" s="2" t="n"/>
      <c r="E309" s="62" t="n"/>
    </row>
    <row r="310" ht="15" customHeight="1">
      <c r="B310" s="2" t="n"/>
      <c r="C310" s="2" t="n"/>
      <c r="D310" s="2" t="n"/>
      <c r="E310" s="62" t="n"/>
    </row>
    <row r="311" ht="15" customHeight="1">
      <c r="B311" s="2" t="n"/>
      <c r="C311" s="2" t="n"/>
      <c r="D311" s="2" t="n"/>
      <c r="E311" s="62" t="n"/>
    </row>
    <row r="312" ht="15" customHeight="1">
      <c r="B312" s="2" t="n"/>
      <c r="C312" s="2" t="n"/>
      <c r="D312" s="2" t="n"/>
      <c r="E312" s="62" t="n"/>
    </row>
    <row r="313" ht="15" customHeight="1">
      <c r="B313" s="2" t="n"/>
      <c r="C313" s="2" t="n"/>
      <c r="D313" s="2" t="n"/>
      <c r="E313" s="62" t="n"/>
    </row>
    <row r="314" ht="15" customHeight="1">
      <c r="B314" s="2" t="n"/>
      <c r="C314" s="2" t="n"/>
      <c r="D314" s="2" t="n"/>
      <c r="E314" s="62" t="n"/>
    </row>
    <row r="315" ht="15" customHeight="1">
      <c r="B315" s="2" t="n"/>
      <c r="C315" s="2" t="n"/>
      <c r="D315" s="2" t="n"/>
      <c r="E315" s="62" t="n"/>
    </row>
    <row r="316" ht="15" customHeight="1">
      <c r="B316" s="2" t="n"/>
      <c r="C316" s="2" t="n"/>
      <c r="D316" s="2" t="n"/>
      <c r="E316" s="62" t="n"/>
    </row>
    <row r="317" ht="15" customHeight="1">
      <c r="B317" s="2" t="n"/>
      <c r="C317" s="2" t="n"/>
      <c r="D317" s="2" t="n"/>
      <c r="E317" s="62" t="n"/>
    </row>
    <row r="318" ht="15" customHeight="1">
      <c r="B318" s="2" t="n"/>
      <c r="C318" s="2" t="n"/>
      <c r="D318" s="2" t="n"/>
      <c r="E318" s="62" t="n"/>
    </row>
    <row r="319" ht="15" customHeight="1">
      <c r="B319" s="2" t="n"/>
      <c r="C319" s="2" t="n"/>
      <c r="D319" s="2" t="n"/>
      <c r="E319" s="62" t="n"/>
    </row>
    <row r="320" ht="15" customHeight="1">
      <c r="B320" s="2" t="n"/>
      <c r="C320" s="2" t="n"/>
      <c r="D320" s="2" t="n"/>
      <c r="E320" s="62" t="n"/>
    </row>
    <row r="321" ht="15" customHeight="1">
      <c r="B321" s="2" t="n"/>
      <c r="C321" s="2" t="n"/>
      <c r="D321" s="2" t="n"/>
      <c r="E321" s="62" t="n"/>
    </row>
    <row r="322" ht="15" customHeight="1">
      <c r="B322" s="2" t="n"/>
      <c r="C322" s="2" t="n"/>
      <c r="D322" s="2" t="n"/>
      <c r="E322" s="62" t="n"/>
    </row>
    <row r="323" ht="15" customHeight="1">
      <c r="B323" s="2" t="n"/>
      <c r="C323" s="2" t="n"/>
      <c r="D323" s="2" t="n"/>
      <c r="E323" s="62" t="n"/>
    </row>
    <row r="324" ht="15" customHeight="1">
      <c r="B324" s="2" t="n"/>
      <c r="C324" s="2" t="n"/>
      <c r="D324" s="2" t="n"/>
      <c r="E324" s="62" t="n"/>
    </row>
    <row r="325" ht="15" customHeight="1">
      <c r="B325" s="2" t="n"/>
      <c r="C325" s="2" t="n"/>
      <c r="D325" s="2" t="n"/>
      <c r="E325" s="62" t="n"/>
    </row>
    <row r="326" ht="15" customHeight="1">
      <c r="B326" s="2" t="n"/>
      <c r="C326" s="2" t="n"/>
      <c r="D326" s="2" t="n"/>
      <c r="E326" s="62" t="n"/>
    </row>
    <row r="327" ht="15" customHeight="1">
      <c r="B327" s="2" t="n"/>
      <c r="C327" s="2" t="n"/>
      <c r="D327" s="2" t="n"/>
      <c r="E327" s="62" t="n"/>
    </row>
    <row r="328" ht="15" customHeight="1">
      <c r="B328" s="2" t="n"/>
      <c r="C328" s="2" t="n"/>
      <c r="D328" s="2" t="n"/>
      <c r="E328" s="62" t="n"/>
    </row>
    <row r="329" ht="15" customHeight="1">
      <c r="B329" s="2" t="n"/>
      <c r="C329" s="2" t="n"/>
      <c r="D329" s="2" t="n"/>
      <c r="E329" s="62" t="n"/>
    </row>
    <row r="330" ht="15" customHeight="1">
      <c r="B330" s="2" t="n"/>
      <c r="C330" s="2" t="n"/>
      <c r="D330" s="2" t="n"/>
      <c r="E330" s="62" t="n"/>
    </row>
    <row r="331" ht="15" customHeight="1">
      <c r="B331" s="2" t="n"/>
      <c r="C331" s="2" t="n"/>
      <c r="D331" s="2" t="n"/>
      <c r="E331" s="62" t="n"/>
    </row>
    <row r="332" ht="15" customHeight="1">
      <c r="B332" s="2" t="n"/>
      <c r="C332" s="2" t="n"/>
      <c r="D332" s="2" t="n"/>
      <c r="E332" s="62" t="n"/>
    </row>
    <row r="333" ht="15" customHeight="1">
      <c r="B333" s="62" t="n"/>
      <c r="C333" s="62" t="n"/>
      <c r="D333" s="62" t="n"/>
      <c r="E333" s="62" t="n"/>
    </row>
    <row r="334" ht="15" customHeight="1" thickBot="1">
      <c r="B334" s="13" t="n"/>
      <c r="C334" s="12" t="n"/>
      <c r="D334" s="12" t="n"/>
      <c r="E334" s="61" t="inlineStr">
        <is>
          <t>Log de Conectividade - Health Check Sdwan</t>
        </is>
      </c>
    </row>
    <row r="335" ht="15" customHeight="1" thickBot="1">
      <c r="B335" s="88" t="inlineStr">
        <is>
          <t>Cole a Saída do Comando →</t>
        </is>
      </c>
      <c r="C335" s="2" t="n"/>
      <c r="D335" s="2" t="n"/>
      <c r="E335" s="73" t="inlineStr">
        <is>
          <t>diag sys sdwan health-check status</t>
        </is>
      </c>
    </row>
    <row r="336" ht="15" customHeight="1">
      <c r="B336" s="2" t="n"/>
      <c r="C336" s="2" t="n"/>
      <c r="D336" s="2" t="n"/>
    </row>
    <row r="337" ht="15" customHeight="1">
      <c r="B337" s="2" t="n"/>
      <c r="C337" s="2" t="n"/>
      <c r="D337" s="2" t="n"/>
    </row>
    <row r="338" ht="15" customHeight="1">
      <c r="B338" s="2" t="n"/>
      <c r="C338" s="2" t="n"/>
      <c r="D338" s="2" t="n"/>
    </row>
    <row r="339" ht="15" customHeight="1">
      <c r="B339" s="2" t="n"/>
      <c r="C339" s="2" t="n"/>
      <c r="D339" s="2" t="n"/>
    </row>
    <row r="340" ht="15" customHeight="1">
      <c r="B340" s="2" t="n"/>
      <c r="C340" s="2" t="n"/>
      <c r="D340" s="2" t="n"/>
    </row>
    <row r="341" ht="15" customHeight="1">
      <c r="B341" s="2" t="n"/>
      <c r="C341" s="2" t="n"/>
      <c r="D341" s="2" t="n"/>
    </row>
    <row r="342" ht="15" customHeight="1">
      <c r="B342" s="2" t="n"/>
      <c r="C342" s="2" t="n"/>
      <c r="D342" s="2" t="n"/>
    </row>
    <row r="343" ht="15" customHeight="1">
      <c r="B343" s="2" t="n"/>
      <c r="C343" s="2" t="n"/>
      <c r="D343" s="2" t="n"/>
    </row>
    <row r="344" ht="15" customHeight="1">
      <c r="B344" s="2" t="n"/>
      <c r="C344" s="2" t="n"/>
      <c r="D344" s="2" t="n"/>
    </row>
    <row r="345" ht="15" customHeight="1">
      <c r="B345" s="2" t="n"/>
      <c r="C345" s="2" t="n"/>
      <c r="D345" s="2" t="n"/>
    </row>
    <row r="346" ht="15" customHeight="1">
      <c r="B346" s="2" t="n"/>
      <c r="C346" s="2" t="n"/>
      <c r="D346" s="2" t="n"/>
    </row>
    <row r="347" ht="15" customHeight="1">
      <c r="B347" s="2" t="n"/>
      <c r="C347" s="2" t="n"/>
      <c r="D347" s="2" t="n"/>
    </row>
    <row r="348" ht="15" customHeight="1">
      <c r="B348" s="2" t="n"/>
      <c r="C348" s="2" t="n"/>
      <c r="D348" s="2" t="n"/>
    </row>
    <row r="349" ht="15" customHeight="1">
      <c r="B349" s="2" t="n"/>
      <c r="C349" s="2" t="n"/>
      <c r="D349" s="2" t="n"/>
    </row>
    <row r="350" ht="15" customHeight="1">
      <c r="B350" s="2" t="n"/>
      <c r="C350" s="2" t="n"/>
      <c r="D350" s="2" t="n"/>
    </row>
    <row r="351" ht="15" customHeight="1">
      <c r="B351" s="2" t="n"/>
      <c r="C351" s="2" t="n"/>
      <c r="D351" s="2" t="n"/>
    </row>
    <row r="352" ht="15" customHeight="1">
      <c r="B352" s="2" t="n"/>
      <c r="C352" s="2" t="n"/>
      <c r="D352" s="2" t="n"/>
    </row>
    <row r="353" ht="15" customHeight="1">
      <c r="B353" s="2" t="n"/>
      <c r="C353" s="2" t="n"/>
      <c r="D353" s="2" t="n"/>
    </row>
    <row r="354" ht="15" customHeight="1">
      <c r="B354" s="2" t="n"/>
      <c r="C354" s="2" t="n"/>
      <c r="D354" s="2" t="n"/>
    </row>
    <row r="355" ht="15" customHeight="1">
      <c r="B355" s="2" t="n"/>
      <c r="C355" s="2" t="n"/>
      <c r="D355" s="2" t="n"/>
    </row>
    <row r="356" ht="15" customHeight="1">
      <c r="B356" s="2" t="n"/>
      <c r="C356" s="2" t="n"/>
      <c r="D356" s="2" t="n"/>
    </row>
    <row r="357" ht="15" customHeight="1">
      <c r="B357" s="2" t="n"/>
      <c r="C357" s="2" t="n"/>
      <c r="D357" s="2" t="n"/>
    </row>
    <row r="358" ht="15" customHeight="1">
      <c r="B358" s="2" t="n"/>
      <c r="C358" s="2" t="n"/>
      <c r="D358" s="2" t="n"/>
    </row>
    <row r="359" ht="15" customHeight="1">
      <c r="B359" s="2" t="n"/>
      <c r="C359" s="2" t="n"/>
      <c r="D359" s="2" t="n"/>
    </row>
    <row r="360" ht="15" customHeight="1">
      <c r="B360" s="2" t="n"/>
      <c r="C360" s="2" t="n"/>
      <c r="D360" s="2" t="n"/>
    </row>
    <row r="361" ht="15" customHeight="1">
      <c r="B361" s="2" t="n"/>
      <c r="C361" s="2" t="n"/>
      <c r="D361" s="2" t="n"/>
    </row>
    <row r="362" ht="15" customHeight="1">
      <c r="B362" s="2" t="n"/>
      <c r="C362" s="2" t="n"/>
      <c r="D362" s="2" t="n"/>
    </row>
    <row r="363" ht="15" customHeight="1">
      <c r="B363" s="62" t="n"/>
      <c r="C363" s="62" t="n"/>
      <c r="D363" s="62" t="n"/>
      <c r="E363" s="62" t="n"/>
    </row>
    <row r="364" ht="15" customHeight="1" thickBot="1">
      <c r="B364" s="13" t="n"/>
      <c r="C364" s="12" t="n"/>
      <c r="D364" s="12" t="n"/>
      <c r="E364" s="61" t="inlineStr">
        <is>
          <t>Log de VPN - Overlay e Mgmt</t>
        </is>
      </c>
    </row>
    <row r="365" ht="15" customHeight="1" thickBot="1">
      <c r="B365" s="88" t="inlineStr">
        <is>
          <t>Cole a Saída do Comando →</t>
        </is>
      </c>
      <c r="C365" s="2" t="n"/>
      <c r="D365" s="2" t="n"/>
      <c r="E365" s="73" t="inlineStr">
        <is>
          <t>get ipsec tunnel list</t>
        </is>
      </c>
    </row>
    <row r="366" ht="15" customHeight="1">
      <c r="B366" s="2" t="n"/>
      <c r="C366" s="2" t="n"/>
      <c r="D366" s="2" t="n"/>
    </row>
    <row r="367" ht="15" customHeight="1">
      <c r="B367" s="2" t="n"/>
      <c r="C367" s="2" t="n"/>
      <c r="D367" s="2" t="n"/>
    </row>
    <row r="368" ht="15" customHeight="1">
      <c r="B368" s="2" t="n"/>
      <c r="C368" s="2" t="n"/>
      <c r="D368" s="2" t="n"/>
    </row>
    <row r="369" ht="15" customHeight="1">
      <c r="B369" s="2" t="n"/>
      <c r="C369" s="2" t="n"/>
      <c r="D369" s="2" t="n"/>
    </row>
    <row r="370" ht="15" customHeight="1">
      <c r="B370" s="2" t="n"/>
      <c r="C370" s="2" t="n"/>
      <c r="D370" s="2" t="n"/>
    </row>
    <row r="371" ht="15" customHeight="1">
      <c r="B371" s="2" t="n"/>
      <c r="C371" s="2" t="n"/>
      <c r="D371" s="2" t="n"/>
    </row>
    <row r="372" ht="15" customHeight="1">
      <c r="B372" s="2" t="n"/>
      <c r="C372" s="2" t="n"/>
      <c r="D372" s="2" t="n"/>
    </row>
    <row r="373" ht="15" customHeight="1">
      <c r="B373" s="2" t="n"/>
      <c r="C373" s="2" t="n"/>
      <c r="D373" s="2" t="n"/>
    </row>
    <row r="374" ht="15" customHeight="1">
      <c r="B374" s="2" t="n"/>
      <c r="C374" s="2" t="n"/>
      <c r="D374" s="2" t="n"/>
    </row>
    <row r="375" ht="15" customHeight="1">
      <c r="B375" s="2" t="n"/>
      <c r="C375" s="2" t="n"/>
      <c r="D375" s="2" t="n"/>
    </row>
    <row r="376" ht="15" customHeight="1">
      <c r="B376" s="2" t="n"/>
      <c r="C376" s="2" t="n"/>
      <c r="D376" s="2" t="n"/>
    </row>
    <row r="377" ht="15" customHeight="1">
      <c r="B377" s="2" t="n"/>
      <c r="C377" s="2" t="n"/>
      <c r="D377" s="2" t="n"/>
    </row>
    <row r="378" ht="15" customHeight="1">
      <c r="B378" s="2" t="n"/>
      <c r="C378" s="2" t="n"/>
      <c r="D378" s="2" t="n"/>
    </row>
    <row r="379" ht="15" customHeight="1">
      <c r="B379" s="2" t="n"/>
      <c r="C379" s="2" t="n"/>
      <c r="D379" s="2" t="n"/>
    </row>
    <row r="380" ht="15" customHeight="1">
      <c r="B380" s="2" t="n"/>
      <c r="C380" s="2" t="n"/>
      <c r="D380" s="2" t="n"/>
    </row>
    <row r="381" ht="15" customHeight="1">
      <c r="B381" s="2" t="n"/>
      <c r="C381" s="2" t="n"/>
      <c r="D381" s="2" t="n"/>
    </row>
    <row r="382" ht="15" customHeight="1">
      <c r="B382" s="2" t="n"/>
      <c r="C382" s="2" t="n"/>
      <c r="D382" s="2" t="n"/>
    </row>
    <row r="383" ht="15" customHeight="1">
      <c r="B383" s="2" t="n"/>
      <c r="C383" s="2" t="n"/>
      <c r="D383" s="2" t="n"/>
    </row>
    <row r="384" ht="15" customHeight="1">
      <c r="B384" s="2" t="n"/>
      <c r="C384" s="2" t="n"/>
      <c r="D384" s="2" t="n"/>
    </row>
    <row r="385" ht="15" customHeight="1">
      <c r="B385" s="2" t="n"/>
      <c r="C385" s="2" t="n"/>
      <c r="D385" s="2" t="n"/>
    </row>
    <row r="386" ht="15" customHeight="1">
      <c r="B386" s="2" t="n"/>
      <c r="C386" s="2" t="n"/>
      <c r="D386" s="2" t="n"/>
    </row>
    <row r="387" ht="15" customHeight="1">
      <c r="B387" s="2" t="n"/>
      <c r="C387" s="2" t="n"/>
      <c r="D387" s="2" t="n"/>
    </row>
    <row r="388" ht="15" customHeight="1">
      <c r="B388" s="2" t="n"/>
      <c r="C388" s="2" t="n"/>
      <c r="D388" s="2" t="n"/>
    </row>
    <row r="389" ht="15" customHeight="1">
      <c r="B389" s="2" t="n"/>
      <c r="C389" s="2" t="n"/>
      <c r="D389" s="2" t="n"/>
    </row>
    <row r="390" ht="15" customHeight="1">
      <c r="B390" s="2" t="n"/>
      <c r="C390" s="2" t="n"/>
      <c r="D390" s="2" t="n"/>
    </row>
    <row r="391" ht="15" customHeight="1">
      <c r="B391" s="2" t="n"/>
      <c r="C391" s="2" t="n"/>
      <c r="D391" s="2" t="n"/>
    </row>
    <row r="392" ht="15" customHeight="1">
      <c r="B392" s="2" t="n"/>
      <c r="C392" s="2" t="n"/>
      <c r="D392" s="2" t="n"/>
    </row>
    <row r="393" ht="15" customHeight="1">
      <c r="B393" s="62" t="n"/>
      <c r="C393" s="62" t="n"/>
      <c r="D393" s="62" t="n"/>
      <c r="E393" s="62" t="n"/>
    </row>
    <row r="394" ht="15" customHeight="1" thickBot="1">
      <c r="B394" s="13" t="n"/>
      <c r="C394" s="12" t="n"/>
      <c r="D394" s="12" t="n"/>
      <c r="E394" s="61" t="inlineStr">
        <is>
          <t>Log - Alias e Description - WAN</t>
        </is>
      </c>
    </row>
    <row r="395" ht="15" customHeight="1" thickBot="1">
      <c r="B395" s="88" t="inlineStr">
        <is>
          <t>Cole a Saída do Comando →</t>
        </is>
      </c>
      <c r="C395" s="2" t="n"/>
      <c r="D395" s="2" t="n"/>
      <c r="E395" s="73" t="inlineStr">
        <is>
          <t>show sys interface wan e lan3 ou hswitch-mpls</t>
        </is>
      </c>
    </row>
    <row r="396" ht="15" customHeight="1">
      <c r="B396" s="2" t="n"/>
      <c r="C396" s="2" t="n"/>
      <c r="D396" s="2" t="n"/>
      <c r="E396" s="165">
        <f>== show sys interface wan ===</f>
        <v/>
      </c>
    </row>
    <row r="397" ht="15" customHeight="1">
      <c r="B397" s="2" t="n"/>
      <c r="C397" s="2" t="n"/>
      <c r="D397" s="2" t="n"/>
      <c r="E397" s="165" t="inlineStr">
        <is>
          <t>wan up</t>
        </is>
      </c>
    </row>
    <row r="398" ht="15" customHeight="1">
      <c r="B398" s="2" t="n"/>
      <c r="C398" s="2" t="n"/>
      <c r="D398" s="2" t="n"/>
      <c r="E398" s="165" t="n"/>
    </row>
    <row r="399" ht="15" customHeight="1">
      <c r="B399" s="2" t="n"/>
      <c r="C399" s="2" t="n"/>
      <c r="D399" s="2" t="n"/>
      <c r="E399" s="165" t="n"/>
    </row>
    <row r="400" ht="15" customHeight="1">
      <c r="B400" s="2" t="n"/>
      <c r="C400" s="2" t="n"/>
      <c r="D400" s="2" t="n"/>
      <c r="E400" s="165" t="n"/>
    </row>
    <row r="401" ht="15" customHeight="1">
      <c r="B401" s="2" t="n"/>
      <c r="C401" s="2" t="n"/>
      <c r="D401" s="2" t="n"/>
      <c r="E401" s="165" t="n"/>
    </row>
    <row r="402" ht="15" customHeight="1">
      <c r="B402" s="2" t="n"/>
      <c r="C402" s="2" t="n"/>
      <c r="D402" s="2" t="n"/>
      <c r="E402" s="165" t="n"/>
    </row>
    <row r="403" ht="15" customHeight="1">
      <c r="B403" s="2" t="n"/>
      <c r="C403" s="2" t="n"/>
      <c r="D403" s="2" t="n"/>
      <c r="E403" s="165" t="n"/>
    </row>
    <row r="404" ht="15" customHeight="1">
      <c r="B404" s="2" t="n"/>
      <c r="C404" s="2" t="n"/>
      <c r="D404" s="2" t="n"/>
      <c r="E404" s="165" t="n"/>
    </row>
    <row r="405" ht="15" customHeight="1">
      <c r="B405" s="2" t="n"/>
      <c r="C405" s="2" t="n"/>
      <c r="D405" s="2" t="n"/>
      <c r="E405" s="165" t="n"/>
    </row>
    <row r="406" ht="15" customHeight="1">
      <c r="B406" s="2" t="n"/>
      <c r="C406" s="2" t="n"/>
      <c r="D406" s="2" t="n"/>
      <c r="E406" s="165" t="n"/>
    </row>
    <row r="407" ht="15" customHeight="1">
      <c r="B407" s="2" t="n"/>
      <c r="C407" s="2" t="n"/>
      <c r="D407" s="2" t="n"/>
      <c r="E407" s="165" t="n"/>
    </row>
    <row r="408" ht="15" customHeight="1">
      <c r="B408" s="2" t="n"/>
      <c r="C408" s="2" t="n"/>
      <c r="D408" s="2" t="n"/>
      <c r="E408" s="165" t="n"/>
    </row>
    <row r="409" ht="15" customHeight="1">
      <c r="B409" s="2" t="n"/>
      <c r="C409" s="2" t="n"/>
      <c r="D409" s="2" t="n"/>
      <c r="E409" s="165" t="n"/>
    </row>
    <row r="410" ht="15" customHeight="1">
      <c r="B410" s="2" t="n"/>
      <c r="C410" s="2" t="n"/>
      <c r="D410" s="2" t="n"/>
      <c r="E410" s="165" t="n"/>
    </row>
    <row r="411" ht="15" customHeight="1">
      <c r="B411" s="2" t="n"/>
      <c r="C411" s="2" t="n"/>
      <c r="D411" s="2" t="n"/>
      <c r="E411" s="165" t="n"/>
    </row>
    <row r="412" ht="15" customHeight="1">
      <c r="B412" s="2" t="n"/>
      <c r="C412" s="2" t="n"/>
      <c r="D412" s="2" t="n"/>
      <c r="E412" s="165" t="n"/>
    </row>
    <row r="413" ht="15" customHeight="1">
      <c r="B413" s="2" t="n"/>
      <c r="C413" s="2" t="n"/>
      <c r="D413" s="2" t="n"/>
      <c r="E413" s="165" t="n"/>
    </row>
    <row r="414" ht="15" customHeight="1">
      <c r="B414" s="2" t="n"/>
      <c r="C414" s="2" t="n"/>
      <c r="D414" s="2" t="n"/>
      <c r="E414" s="165" t="n"/>
    </row>
    <row r="415" ht="15" customHeight="1">
      <c r="B415" s="2" t="n"/>
      <c r="C415" s="2" t="n"/>
      <c r="D415" s="2" t="n"/>
      <c r="E415" s="165" t="n"/>
    </row>
    <row r="416" ht="15" customHeight="1">
      <c r="B416" s="2" t="n"/>
      <c r="C416" s="2" t="n"/>
      <c r="D416" s="2" t="n"/>
      <c r="E416" s="165" t="n"/>
    </row>
    <row r="417" ht="15" customHeight="1">
      <c r="B417" s="2" t="n"/>
      <c r="C417" s="2" t="n"/>
      <c r="D417" s="2" t="n"/>
      <c r="E417" s="165" t="n"/>
    </row>
    <row r="418" ht="15" customHeight="1">
      <c r="B418" s="2" t="n"/>
      <c r="C418" s="2" t="n"/>
      <c r="D418" s="2" t="n"/>
      <c r="E418" s="165" t="n"/>
    </row>
    <row r="419" ht="15" customHeight="1">
      <c r="B419" s="2" t="n"/>
      <c r="C419" s="2" t="n"/>
      <c r="D419" s="2" t="n"/>
      <c r="E419" s="165" t="n"/>
    </row>
    <row r="420" ht="15" customHeight="1">
      <c r="B420" s="2" t="n"/>
      <c r="C420" s="2" t="n"/>
      <c r="D420" s="2" t="n"/>
      <c r="E420" s="165" t="n"/>
    </row>
    <row r="421" ht="15" customHeight="1">
      <c r="B421" s="2" t="n"/>
      <c r="C421" s="2" t="n"/>
      <c r="D421" s="2" t="n"/>
      <c r="E421" s="165" t="n"/>
    </row>
    <row r="422" ht="15" customHeight="1">
      <c r="B422" s="2" t="n"/>
      <c r="C422" s="2" t="n"/>
      <c r="D422" s="2" t="n"/>
      <c r="E422" s="165" t="n"/>
    </row>
    <row r="423" ht="15" customHeight="1">
      <c r="B423" s="2" t="n"/>
      <c r="C423" s="2" t="n"/>
      <c r="D423" s="2" t="n"/>
      <c r="E423" s="165" t="n"/>
    </row>
    <row r="424" ht="15" customHeight="1">
      <c r="B424" s="2" t="n"/>
      <c r="C424" s="2" t="n"/>
      <c r="D424" s="2" t="n"/>
      <c r="E424" s="165" t="n"/>
    </row>
    <row r="425" ht="15" customHeight="1">
      <c r="B425" s="2" t="n"/>
      <c r="C425" s="2" t="n"/>
      <c r="D425" s="2" t="n"/>
      <c r="E425" s="165" t="n"/>
    </row>
    <row r="426" ht="15" customHeight="1">
      <c r="B426" s="2" t="n"/>
      <c r="C426" s="2" t="n"/>
      <c r="D426" s="2" t="n"/>
      <c r="E426" s="165" t="n"/>
    </row>
    <row r="427" ht="15" customHeight="1">
      <c r="B427" s="2" t="n"/>
      <c r="C427" s="2" t="n"/>
      <c r="D427" s="2" t="n"/>
      <c r="E427" s="165" t="n"/>
    </row>
    <row r="428" ht="15" customHeight="1">
      <c r="B428" s="2" t="n"/>
      <c r="C428" s="2" t="n"/>
      <c r="D428" s="2" t="n"/>
      <c r="E428" s="165" t="n"/>
    </row>
    <row r="429" ht="15" customHeight="1">
      <c r="B429" s="2" t="n"/>
      <c r="C429" s="2" t="n"/>
      <c r="D429" s="2" t="n"/>
      <c r="E429" s="165" t="n"/>
    </row>
    <row r="430" ht="15" customHeight="1">
      <c r="B430" s="2" t="n"/>
      <c r="C430" s="2" t="n"/>
      <c r="D430" s="2" t="n"/>
      <c r="E430" s="165" t="n"/>
    </row>
    <row r="431" ht="15" customHeight="1">
      <c r="B431" s="2" t="n"/>
      <c r="C431" s="2" t="n"/>
      <c r="D431" s="2" t="n"/>
      <c r="E431" s="165" t="n"/>
    </row>
    <row r="432" ht="15" customHeight="1">
      <c r="B432" s="2" t="n"/>
      <c r="C432" s="2" t="n"/>
      <c r="D432" s="2" t="n"/>
      <c r="E432" s="165" t="n"/>
    </row>
    <row r="433" ht="15" customHeight="1">
      <c r="B433" s="2" t="n"/>
      <c r="C433" s="2" t="n"/>
      <c r="D433" s="2" t="n"/>
      <c r="E433" s="165" t="n"/>
    </row>
    <row r="434" ht="15" customHeight="1">
      <c r="B434" s="2" t="n"/>
      <c r="C434" s="2" t="n"/>
      <c r="D434" s="2" t="n"/>
      <c r="E434" s="165" t="n"/>
    </row>
    <row r="435" ht="15" customHeight="1">
      <c r="B435" s="2" t="n"/>
      <c r="C435" s="2" t="n"/>
      <c r="D435" s="2" t="n"/>
      <c r="E435" s="165" t="n"/>
    </row>
    <row r="436" ht="15" customHeight="1">
      <c r="B436" s="2" t="n"/>
      <c r="C436" s="2" t="n"/>
      <c r="D436" s="2" t="n"/>
      <c r="E436" s="165" t="n"/>
    </row>
    <row r="437" ht="15" customHeight="1">
      <c r="B437" s="2" t="n"/>
      <c r="C437" s="2" t="n"/>
      <c r="D437" s="2" t="n"/>
      <c r="E437" s="165" t="n"/>
    </row>
    <row r="438" ht="15" customHeight="1">
      <c r="B438" s="2" t="n"/>
      <c r="C438" s="2" t="n"/>
      <c r="D438" s="2" t="n"/>
      <c r="E438" s="165" t="n"/>
    </row>
    <row r="439" ht="15" customHeight="1">
      <c r="B439" s="2" t="n"/>
      <c r="C439" s="2" t="n"/>
      <c r="D439" s="2" t="n"/>
      <c r="E439" s="165" t="n"/>
    </row>
    <row r="440" ht="15" customHeight="1">
      <c r="B440" s="2" t="n"/>
      <c r="C440" s="2" t="n"/>
      <c r="D440" s="2" t="n"/>
      <c r="E440" s="165" t="n"/>
    </row>
    <row r="441" ht="15" customHeight="1">
      <c r="B441" s="2" t="n"/>
      <c r="C441" s="2" t="n"/>
      <c r="D441" s="2" t="n"/>
      <c r="E441" s="165" t="n"/>
    </row>
    <row r="442" ht="15" customHeight="1">
      <c r="B442" s="62" t="n"/>
      <c r="C442" s="62" t="n"/>
      <c r="D442" s="62" t="n"/>
      <c r="E442" s="62" t="n"/>
    </row>
    <row r="443" ht="15" customHeight="1" thickBot="1">
      <c r="B443" s="13" t="n"/>
      <c r="C443" s="12" t="n"/>
      <c r="D443" s="12" t="n"/>
      <c r="E443" s="61" t="inlineStr">
        <is>
          <t>Log FÍsico Das Interfaces - (WAN e LAN)</t>
        </is>
      </c>
    </row>
    <row r="444" ht="15" customHeight="1" thickBot="1">
      <c r="B444" s="88" t="inlineStr">
        <is>
          <t>Cole a Saída do Comando →</t>
        </is>
      </c>
      <c r="C444" s="2" t="n"/>
      <c r="D444" s="2" t="n"/>
      <c r="E444" s="73" t="inlineStr">
        <is>
          <t>get sys interface physical</t>
        </is>
      </c>
    </row>
    <row r="445" ht="15" customHeight="1">
      <c r="B445" s="2" t="n"/>
      <c r="C445" s="2" t="n"/>
      <c r="D445" s="2" t="n"/>
    </row>
    <row r="446" ht="15" customHeight="1">
      <c r="B446" s="2" t="n"/>
      <c r="C446" s="2" t="n"/>
      <c r="D446" s="2" t="n"/>
    </row>
    <row r="447" ht="15" customHeight="1">
      <c r="B447" s="2" t="n"/>
      <c r="C447" s="2" t="n"/>
      <c r="D447" s="2" t="n"/>
    </row>
    <row r="448" ht="15" customHeight="1">
      <c r="B448" s="2" t="n"/>
      <c r="C448" s="2" t="n"/>
      <c r="D448" s="2" t="n"/>
    </row>
    <row r="449" ht="15" customHeight="1">
      <c r="B449" s="2" t="n"/>
      <c r="C449" s="2" t="n"/>
      <c r="D449" s="2" t="n"/>
    </row>
    <row r="450" ht="15" customHeight="1">
      <c r="B450" s="2" t="n"/>
      <c r="C450" s="2" t="n"/>
      <c r="D450" s="2" t="n"/>
    </row>
    <row r="451" ht="15" customHeight="1">
      <c r="B451" s="2" t="n"/>
      <c r="C451" s="2" t="n"/>
      <c r="D451" s="2" t="n"/>
    </row>
    <row r="452" ht="15" customHeight="1">
      <c r="B452" s="2" t="n"/>
      <c r="C452" s="2" t="n"/>
      <c r="D452" s="2" t="n"/>
    </row>
    <row r="453" ht="15" customHeight="1">
      <c r="B453" s="2" t="n"/>
      <c r="C453" s="2" t="n"/>
      <c r="D453" s="2" t="n"/>
    </row>
    <row r="454" ht="15" customHeight="1">
      <c r="B454" s="2" t="n"/>
      <c r="C454" s="2" t="n"/>
      <c r="D454" s="2" t="n"/>
    </row>
    <row r="455" ht="15" customHeight="1">
      <c r="B455" s="2" t="n"/>
      <c r="C455" s="2" t="n"/>
      <c r="D455" s="2" t="n"/>
    </row>
    <row r="456" ht="15" customHeight="1">
      <c r="B456" s="2" t="n"/>
      <c r="C456" s="2" t="n"/>
      <c r="D456" s="2" t="n"/>
    </row>
    <row r="457" ht="15" customHeight="1">
      <c r="B457" s="2" t="n"/>
      <c r="C457" s="2" t="n"/>
      <c r="D457" s="2" t="n"/>
    </row>
    <row r="458" ht="15" customHeight="1">
      <c r="B458" s="2" t="n"/>
      <c r="C458" s="2" t="n"/>
      <c r="D458" s="2" t="n"/>
    </row>
    <row r="459" ht="15" customHeight="1">
      <c r="B459" s="2" t="n"/>
      <c r="C459" s="2" t="n"/>
      <c r="D459" s="2" t="n"/>
    </row>
    <row r="460" ht="15" customHeight="1">
      <c r="B460" s="2" t="n"/>
      <c r="C460" s="2" t="n"/>
      <c r="D460" s="2" t="n"/>
    </row>
    <row r="461" ht="15" customHeight="1">
      <c r="B461" s="2" t="n"/>
      <c r="C461" s="2" t="n"/>
      <c r="D461" s="2" t="n"/>
    </row>
    <row r="462" ht="15" customHeight="1">
      <c r="B462" s="2" t="n"/>
      <c r="C462" s="2" t="n"/>
      <c r="D462" s="2" t="n"/>
    </row>
    <row r="463" ht="15" customHeight="1">
      <c r="B463" s="2" t="n"/>
      <c r="C463" s="2" t="n"/>
      <c r="D463" s="2" t="n"/>
    </row>
    <row r="464" ht="15" customHeight="1">
      <c r="B464" s="2" t="n"/>
      <c r="C464" s="2" t="n"/>
      <c r="D464" s="2" t="n"/>
    </row>
    <row r="465" ht="15" customHeight="1">
      <c r="B465" s="2" t="n"/>
      <c r="C465" s="2" t="n"/>
      <c r="D465" s="2" t="n"/>
    </row>
    <row r="466" ht="15" customHeight="1">
      <c r="B466" s="2" t="n"/>
      <c r="C466" s="2" t="n"/>
      <c r="D466" s="2" t="n"/>
    </row>
    <row r="467" ht="15" customHeight="1">
      <c r="B467" s="2" t="n"/>
      <c r="C467" s="2" t="n"/>
      <c r="D467" s="2" t="n"/>
    </row>
    <row r="468" ht="15" customHeight="1">
      <c r="B468" s="2" t="n"/>
      <c r="C468" s="2" t="n"/>
      <c r="D468" s="2" t="n"/>
    </row>
    <row r="469" ht="15" customHeight="1">
      <c r="B469" s="2" t="n"/>
      <c r="C469" s="2" t="n"/>
      <c r="D469" s="2" t="n"/>
    </row>
    <row r="470" ht="15" customHeight="1">
      <c r="B470" s="2" t="n"/>
      <c r="C470" s="2" t="n"/>
      <c r="D470" s="2" t="n"/>
    </row>
    <row r="471" ht="15" customHeight="1">
      <c r="B471" s="2" t="n"/>
      <c r="C471" s="2" t="n"/>
      <c r="D471" s="2" t="n"/>
    </row>
    <row r="472" ht="15" customHeight="1">
      <c r="B472" s="2" t="n"/>
      <c r="C472" s="2" t="n"/>
      <c r="D472" s="2" t="n"/>
    </row>
    <row r="473" ht="15" customHeight="1">
      <c r="B473" s="2" t="n"/>
      <c r="C473" s="2" t="n"/>
      <c r="D473" s="2" t="n"/>
    </row>
    <row r="474" ht="15" customHeight="1">
      <c r="B474" s="2" t="n"/>
      <c r="C474" s="2" t="n"/>
      <c r="D474" s="2" t="n"/>
    </row>
    <row r="475" ht="15" customHeight="1">
      <c r="B475" s="2" t="n"/>
      <c r="C475" s="2" t="n"/>
      <c r="D475" s="2" t="n"/>
    </row>
    <row r="476" ht="15" customHeight="1">
      <c r="B476" s="2" t="n"/>
      <c r="C476" s="2" t="n"/>
      <c r="D476" s="2" t="n"/>
    </row>
    <row r="477" ht="15" customHeight="1">
      <c r="B477" s="2" t="n"/>
      <c r="C477" s="2" t="n"/>
      <c r="D477" s="2" t="n"/>
    </row>
    <row r="478" ht="15" customHeight="1">
      <c r="B478" s="2" t="n"/>
      <c r="C478" s="2" t="n"/>
      <c r="D478" s="2" t="n"/>
    </row>
    <row r="479" ht="15" customHeight="1">
      <c r="B479" s="2" t="n"/>
      <c r="C479" s="2" t="n"/>
      <c r="D479" s="2" t="n"/>
    </row>
    <row r="480" ht="15" customHeight="1">
      <c r="B480" s="2" t="n"/>
      <c r="C480" s="2" t="n"/>
      <c r="D480" s="2" t="n"/>
    </row>
    <row r="481" ht="15" customHeight="1">
      <c r="B481" s="2" t="n"/>
      <c r="C481" s="2" t="n"/>
      <c r="D481" s="2" t="n"/>
    </row>
    <row r="482" ht="15" customHeight="1">
      <c r="B482" s="2" t="n"/>
      <c r="C482" s="2" t="n"/>
      <c r="D482" s="2" t="n"/>
    </row>
    <row r="483" ht="15" customHeight="1">
      <c r="B483" s="2" t="n"/>
      <c r="C483" s="2" t="n"/>
      <c r="D483" s="2" t="n"/>
    </row>
    <row r="484" ht="15" customHeight="1">
      <c r="B484" s="2" t="n"/>
      <c r="C484" s="2" t="n"/>
      <c r="D484" s="2" t="n"/>
    </row>
    <row r="485" ht="15" customHeight="1">
      <c r="B485" s="2" t="n"/>
      <c r="C485" s="2" t="n"/>
      <c r="D485" s="2" t="n"/>
    </row>
    <row r="486" ht="15" customHeight="1">
      <c r="B486" s="2" t="n"/>
      <c r="C486" s="2" t="n"/>
      <c r="D486" s="2" t="n"/>
    </row>
    <row r="487" ht="15" customHeight="1">
      <c r="B487" s="2" t="n"/>
      <c r="C487" s="2" t="n"/>
      <c r="D487" s="2" t="n"/>
    </row>
    <row r="488" ht="15" customHeight="1">
      <c r="B488" s="2" t="n"/>
      <c r="C488" s="2" t="n"/>
      <c r="D488" s="2" t="n"/>
    </row>
    <row r="489" ht="15" customHeight="1">
      <c r="B489" s="2" t="n"/>
      <c r="C489" s="2" t="n"/>
      <c r="D489" s="2" t="n"/>
    </row>
    <row r="490" ht="15" customHeight="1">
      <c r="B490" s="2" t="n"/>
      <c r="C490" s="2" t="n"/>
      <c r="D490" s="2" t="n"/>
    </row>
    <row r="491" ht="15" customHeight="1">
      <c r="B491" s="2" t="n"/>
      <c r="C491" s="2" t="n"/>
      <c r="D491" s="2" t="n"/>
    </row>
    <row r="492" ht="15" customHeight="1">
      <c r="B492" s="2" t="n"/>
      <c r="C492" s="2" t="n"/>
      <c r="D492" s="2" t="n"/>
    </row>
    <row r="493" ht="15" customHeight="1">
      <c r="B493" s="2" t="n"/>
      <c r="C493" s="2" t="n"/>
      <c r="D493" s="2" t="n"/>
    </row>
    <row r="494" ht="15" customHeight="1">
      <c r="B494" s="2" t="n"/>
      <c r="C494" s="2" t="n"/>
      <c r="D494" s="2" t="n"/>
    </row>
    <row r="495" ht="15" customHeight="1">
      <c r="B495" s="2" t="n"/>
      <c r="C495" s="2" t="n"/>
      <c r="D495" s="2" t="n"/>
    </row>
    <row r="496" ht="15" customHeight="1">
      <c r="B496" s="2" t="n"/>
      <c r="C496" s="2" t="n"/>
      <c r="D496" s="2" t="n"/>
    </row>
    <row r="497" ht="15" customHeight="1">
      <c r="B497" s="2" t="n"/>
      <c r="C497" s="2" t="n"/>
      <c r="D497" s="2" t="n"/>
    </row>
    <row r="498" ht="15" customHeight="1">
      <c r="B498" s="2" t="n"/>
      <c r="C498" s="2" t="n"/>
      <c r="D498" s="2" t="n"/>
    </row>
    <row r="499" ht="15" customHeight="1">
      <c r="B499" s="2" t="n"/>
      <c r="C499" s="2" t="n"/>
      <c r="D499" s="2" t="n"/>
    </row>
    <row r="500" ht="15" customHeight="1">
      <c r="B500" s="2" t="n"/>
      <c r="C500" s="2" t="n"/>
      <c r="D500" s="2" t="n"/>
    </row>
    <row r="501" ht="15" customHeight="1">
      <c r="B501" s="2" t="n"/>
      <c r="C501" s="2" t="n"/>
      <c r="D501" s="2" t="n"/>
    </row>
    <row r="502" ht="15" customHeight="1">
      <c r="B502" s="2" t="n"/>
      <c r="C502" s="2" t="n"/>
      <c r="D502" s="2" t="n"/>
    </row>
    <row r="503" ht="15" customHeight="1">
      <c r="B503" s="2" t="n"/>
      <c r="C503" s="2" t="n"/>
      <c r="D503" s="2" t="n"/>
    </row>
    <row r="504" ht="15" customHeight="1">
      <c r="B504" s="2" t="n"/>
      <c r="C504" s="2" t="n"/>
      <c r="D504" s="2" t="n"/>
    </row>
    <row r="505" ht="15" customHeight="1">
      <c r="B505" s="2" t="n"/>
      <c r="C505" s="2" t="n"/>
      <c r="D505" s="2" t="n"/>
    </row>
    <row r="506" ht="15" customHeight="1">
      <c r="B506" s="2" t="n"/>
      <c r="C506" s="2" t="n"/>
      <c r="D506" s="2" t="n"/>
    </row>
    <row r="507" ht="15" customHeight="1">
      <c r="B507" s="2" t="n"/>
      <c r="C507" s="2" t="n"/>
      <c r="D507" s="2" t="n"/>
    </row>
    <row r="508" ht="15" customHeight="1">
      <c r="B508" s="2" t="n"/>
      <c r="C508" s="2" t="n"/>
      <c r="D508" s="2" t="n"/>
    </row>
    <row r="509" ht="15" customHeight="1">
      <c r="B509" s="2" t="n"/>
      <c r="C509" s="2" t="n"/>
      <c r="D509" s="2" t="n"/>
    </row>
    <row r="510" ht="15" customHeight="1">
      <c r="B510" s="2" t="n"/>
      <c r="C510" s="2" t="n"/>
      <c r="D510" s="2" t="n"/>
    </row>
    <row r="511" ht="15" customHeight="1">
      <c r="B511" s="2" t="n"/>
      <c r="C511" s="2" t="n"/>
      <c r="D511" s="2" t="n"/>
    </row>
    <row r="512" ht="15" customHeight="1">
      <c r="B512" s="2" t="n"/>
      <c r="C512" s="2" t="n"/>
      <c r="D512" s="2" t="n"/>
    </row>
    <row r="513" ht="15" customHeight="1">
      <c r="B513" s="2" t="n"/>
      <c r="C513" s="2" t="n"/>
      <c r="D513" s="2" t="n"/>
    </row>
    <row r="514" ht="15" customHeight="1">
      <c r="B514" s="2" t="n"/>
      <c r="C514" s="2" t="n"/>
      <c r="D514" s="2" t="n"/>
    </row>
    <row r="515" ht="15" customHeight="1">
      <c r="B515" s="2" t="n"/>
      <c r="C515" s="2" t="n"/>
      <c r="D515" s="2" t="n"/>
    </row>
    <row r="516" ht="15" customHeight="1">
      <c r="B516" s="2" t="n"/>
      <c r="C516" s="2" t="n"/>
      <c r="D516" s="2" t="n"/>
    </row>
    <row r="517" ht="15" customHeight="1">
      <c r="B517" s="2" t="n"/>
      <c r="C517" s="2" t="n"/>
      <c r="D517" s="2" t="n"/>
    </row>
    <row r="518" ht="15" customHeight="1">
      <c r="B518" s="2" t="n"/>
      <c r="C518" s="2" t="n"/>
      <c r="D518" s="2" t="n"/>
    </row>
    <row r="519" ht="15" customHeight="1">
      <c r="B519" s="2" t="n"/>
      <c r="C519" s="2" t="n"/>
      <c r="D519" s="2" t="n"/>
    </row>
    <row r="520" ht="15" customHeight="1">
      <c r="B520" s="2" t="n"/>
      <c r="C520" s="2" t="n"/>
      <c r="D520" s="2" t="n"/>
    </row>
    <row r="521" ht="15" customHeight="1">
      <c r="B521" s="2" t="n"/>
      <c r="C521" s="2" t="n"/>
      <c r="D521" s="2" t="n"/>
    </row>
    <row r="522" ht="15" customHeight="1">
      <c r="B522" s="2" t="n"/>
      <c r="C522" s="2" t="n"/>
      <c r="D522" s="2" t="n"/>
    </row>
    <row r="523" ht="15" customHeight="1">
      <c r="B523" s="2" t="n"/>
      <c r="C523" s="2" t="n"/>
      <c r="D523" s="2" t="n"/>
    </row>
    <row r="524" ht="15" customHeight="1">
      <c r="B524" s="2" t="n"/>
      <c r="C524" s="2" t="n"/>
      <c r="D524" s="2" t="n"/>
    </row>
    <row r="525" ht="15" customHeight="1">
      <c r="B525" s="2" t="n"/>
      <c r="C525" s="2" t="n"/>
      <c r="D525" s="2" t="n"/>
    </row>
    <row r="526" ht="15" customHeight="1">
      <c r="B526" s="2" t="n"/>
      <c r="C526" s="2" t="n"/>
      <c r="D526" s="2" t="n"/>
    </row>
    <row r="527" ht="15" customHeight="1">
      <c r="B527" s="2" t="n"/>
      <c r="C527" s="2" t="n"/>
      <c r="D527" s="2" t="n"/>
    </row>
    <row r="528" ht="15" customHeight="1">
      <c r="B528" s="2" t="n"/>
      <c r="C528" s="2" t="n"/>
      <c r="D528" s="2" t="n"/>
    </row>
    <row r="529" ht="15" customHeight="1">
      <c r="B529" s="2" t="n"/>
      <c r="C529" s="2" t="n"/>
      <c r="D529" s="2" t="n"/>
    </row>
    <row r="530" ht="15" customHeight="1">
      <c r="B530" s="2" t="n"/>
      <c r="C530" s="2" t="n"/>
      <c r="D530" s="2" t="n"/>
    </row>
    <row r="531" ht="15" customHeight="1">
      <c r="B531" s="2" t="n"/>
      <c r="C531" s="2" t="n"/>
      <c r="D531" s="2" t="n"/>
    </row>
    <row r="532" ht="15" customHeight="1">
      <c r="B532" s="2" t="n"/>
      <c r="C532" s="2" t="n"/>
      <c r="D532" s="2" t="n"/>
    </row>
    <row r="533" ht="15" customHeight="1">
      <c r="B533" s="2" t="n"/>
      <c r="C533" s="2" t="n"/>
      <c r="D533" s="2" t="n"/>
    </row>
    <row r="534" ht="15" customHeight="1">
      <c r="B534" s="2" t="n"/>
      <c r="C534" s="2" t="n"/>
      <c r="D534" s="2" t="n"/>
    </row>
    <row r="535" ht="15" customHeight="1">
      <c r="B535" s="2" t="n"/>
      <c r="C535" s="2" t="n"/>
      <c r="D535" s="2" t="n"/>
    </row>
    <row r="536" ht="15" customHeight="1">
      <c r="B536" s="2" t="n"/>
      <c r="C536" s="2" t="n"/>
      <c r="D536" s="2" t="n"/>
    </row>
    <row r="537" ht="15" customHeight="1">
      <c r="B537" s="2" t="n"/>
      <c r="C537" s="2" t="n"/>
      <c r="D537" s="2" t="n"/>
    </row>
    <row r="538" ht="15" customHeight="1">
      <c r="B538" s="2" t="n"/>
      <c r="C538" s="2" t="n"/>
      <c r="D538" s="2" t="n"/>
    </row>
    <row r="539" ht="15" customHeight="1">
      <c r="B539" s="2" t="n"/>
      <c r="C539" s="2" t="n"/>
      <c r="D539" s="2" t="n"/>
    </row>
    <row r="540" ht="15" customHeight="1">
      <c r="B540" s="2" t="n"/>
      <c r="C540" s="2" t="n"/>
      <c r="D540" s="2" t="n"/>
    </row>
    <row r="541" ht="15" customHeight="1">
      <c r="B541" s="2" t="n"/>
      <c r="C541" s="2" t="n"/>
      <c r="D541" s="2" t="n"/>
    </row>
    <row r="542" ht="15" customHeight="1">
      <c r="B542" s="2" t="n"/>
      <c r="C542" s="2" t="n"/>
      <c r="D542" s="2" t="n"/>
    </row>
    <row r="543" ht="15" customHeight="1">
      <c r="B543" s="2" t="n"/>
      <c r="C543" s="2" t="n"/>
      <c r="D543" s="2" t="n"/>
    </row>
    <row r="544" ht="15" customHeight="1">
      <c r="B544" s="2" t="n"/>
      <c r="C544" s="2" t="n"/>
      <c r="D544" s="2" t="n"/>
    </row>
    <row r="545" ht="15" customHeight="1">
      <c r="B545" s="2" t="n"/>
      <c r="C545" s="2" t="n"/>
      <c r="D545" s="2" t="n"/>
    </row>
    <row r="546" ht="15" customHeight="1">
      <c r="B546" s="2" t="n"/>
      <c r="C546" s="2" t="n"/>
      <c r="D546" s="2" t="n"/>
    </row>
    <row r="547" ht="15" customHeight="1">
      <c r="B547" s="2" t="n"/>
      <c r="C547" s="2" t="n"/>
      <c r="D547" s="2" t="n"/>
    </row>
    <row r="548" ht="15" customHeight="1">
      <c r="B548" s="2" t="n"/>
      <c r="C548" s="2" t="n"/>
      <c r="D548" s="2" t="n"/>
    </row>
    <row r="549" ht="15" customHeight="1">
      <c r="B549" s="2" t="n"/>
      <c r="C549" s="2" t="n"/>
      <c r="D549" s="2" t="n"/>
    </row>
    <row r="550" ht="15" customHeight="1">
      <c r="B550" s="2" t="n"/>
      <c r="C550" s="2" t="n"/>
      <c r="D550" s="2" t="n"/>
    </row>
    <row r="552" ht="15" customHeight="1" thickBot="1">
      <c r="B552" s="13" t="n"/>
      <c r="C552" s="12" t="n"/>
      <c r="D552" s="12" t="n"/>
      <c r="E552" s="61" t="inlineStr">
        <is>
          <t>Log de IP Dinamico - Escopo DHCP</t>
        </is>
      </c>
    </row>
    <row r="553" ht="15" customHeight="1" thickBot="1">
      <c r="B553" s="88" t="inlineStr">
        <is>
          <t>Cole a Saída do Comando →</t>
        </is>
      </c>
      <c r="C553" s="2" t="n"/>
      <c r="D553" s="2" t="n"/>
      <c r="E553" s="73" t="inlineStr">
        <is>
          <t>exec dhcp lease-list</t>
        </is>
      </c>
    </row>
    <row r="554" ht="15" customHeight="1">
      <c r="B554" s="2" t="n"/>
      <c r="C554" s="2" t="n"/>
      <c r="D554" s="2" t="n"/>
    </row>
    <row r="555" ht="15" customHeight="1">
      <c r="B555" s="2" t="n"/>
      <c r="C555" s="2" t="n"/>
      <c r="D555" s="2" t="n"/>
    </row>
    <row r="556" ht="15" customHeight="1">
      <c r="B556" s="2" t="n"/>
      <c r="C556" s="2" t="n"/>
      <c r="D556" s="2" t="n"/>
    </row>
    <row r="557" ht="15" customHeight="1">
      <c r="B557" s="2" t="n"/>
      <c r="C557" s="2" t="n"/>
      <c r="D557" s="2" t="n"/>
    </row>
    <row r="558" ht="15" customHeight="1">
      <c r="B558" s="2" t="n"/>
      <c r="C558" s="2" t="n"/>
      <c r="D558" s="2" t="n"/>
    </row>
    <row r="559" ht="15" customHeight="1">
      <c r="B559" s="2" t="n"/>
      <c r="C559" s="2" t="n"/>
      <c r="D559" s="2" t="n"/>
    </row>
    <row r="560" ht="15" customHeight="1">
      <c r="B560" s="2" t="n"/>
      <c r="C560" s="2" t="n"/>
      <c r="D560" s="2" t="n"/>
    </row>
    <row r="561" ht="15" customHeight="1">
      <c r="B561" s="2" t="n"/>
      <c r="C561" s="2" t="n"/>
      <c r="D561" s="2" t="n"/>
    </row>
    <row r="562" ht="15" customHeight="1">
      <c r="B562" s="2" t="n"/>
      <c r="C562" s="2" t="n"/>
      <c r="D562" s="2" t="n"/>
    </row>
    <row r="563" ht="15" customHeight="1">
      <c r="B563" s="2" t="n"/>
      <c r="C563" s="2" t="n"/>
      <c r="D563" s="2" t="n"/>
    </row>
    <row r="564" ht="15" customHeight="1">
      <c r="B564" s="2" t="n"/>
      <c r="C564" s="2" t="n"/>
      <c r="D564" s="2" t="n"/>
    </row>
    <row r="565" ht="15" customHeight="1">
      <c r="B565" s="2" t="n"/>
      <c r="C565" s="2" t="n"/>
      <c r="D565" s="2" t="n"/>
    </row>
    <row r="566" ht="15" customHeight="1">
      <c r="B566" s="2" t="n"/>
      <c r="C566" s="2" t="n"/>
      <c r="D566" s="2" t="n"/>
    </row>
    <row r="567" ht="15" customHeight="1">
      <c r="B567" s="2" t="n"/>
      <c r="C567" s="2" t="n"/>
      <c r="D567" s="2" t="n"/>
    </row>
    <row r="568" ht="15" customHeight="1">
      <c r="B568" s="2" t="n"/>
      <c r="C568" s="2" t="n"/>
      <c r="D568" s="2" t="n"/>
    </row>
    <row r="569" ht="15" customHeight="1">
      <c r="B569" s="2" t="n"/>
      <c r="C569" s="2" t="n"/>
      <c r="D569" s="2" t="n"/>
    </row>
    <row r="570" ht="15" customHeight="1">
      <c r="B570" s="2" t="n"/>
      <c r="C570" s="2" t="n"/>
      <c r="D570" s="2" t="n"/>
    </row>
    <row r="571" ht="15" customHeight="1">
      <c r="B571" s="2" t="n"/>
      <c r="C571" s="2" t="n"/>
      <c r="D571" s="2" t="n"/>
    </row>
    <row r="572" ht="15" customHeight="1">
      <c r="B572" s="2" t="n"/>
      <c r="C572" s="2" t="n"/>
      <c r="D572" s="2" t="n"/>
    </row>
    <row r="573" ht="15" customHeight="1">
      <c r="B573" s="2" t="n"/>
      <c r="C573" s="2" t="n"/>
      <c r="D573" s="2" t="n"/>
    </row>
    <row r="574" ht="15" customHeight="1">
      <c r="B574" s="2" t="n"/>
      <c r="C574" s="2" t="n"/>
      <c r="D574" s="2" t="n"/>
    </row>
    <row r="575" ht="15" customHeight="1">
      <c r="B575" s="2" t="n"/>
      <c r="C575" s="2" t="n"/>
      <c r="D575" s="2" t="n"/>
    </row>
    <row r="576" ht="15" customHeight="1">
      <c r="B576" s="2" t="n"/>
      <c r="C576" s="2" t="n"/>
      <c r="D576" s="2" t="n"/>
    </row>
    <row r="577" ht="15" customHeight="1">
      <c r="B577" s="2" t="n"/>
      <c r="C577" s="2" t="n"/>
      <c r="D577" s="2" t="n"/>
    </row>
    <row r="578" ht="15" customHeight="1">
      <c r="B578" s="2" t="n"/>
      <c r="C578" s="2" t="n"/>
      <c r="D578" s="2" t="n"/>
    </row>
    <row r="579" ht="15" customHeight="1">
      <c r="B579" s="2" t="n"/>
      <c r="C579" s="2" t="n"/>
      <c r="D579" s="2" t="n"/>
    </row>
    <row r="580" ht="15" customHeight="1">
      <c r="B580" s="2" t="n"/>
      <c r="C580" s="2" t="n"/>
      <c r="D580" s="2" t="n"/>
    </row>
    <row r="581" ht="15" customHeight="1">
      <c r="B581" s="2" t="n"/>
      <c r="C581" s="2" t="n"/>
      <c r="D581" s="2" t="n"/>
    </row>
    <row r="582" ht="15" customHeight="1">
      <c r="B582" s="2" t="n"/>
      <c r="C582" s="2" t="n"/>
      <c r="D582" s="2" t="n"/>
    </row>
    <row r="583" ht="15" customHeight="1">
      <c r="B583" s="2" t="n"/>
      <c r="C583" s="2" t="n"/>
      <c r="D583" s="2" t="n"/>
    </row>
    <row r="584" ht="15" customHeight="1">
      <c r="B584" s="2" t="n"/>
      <c r="C584" s="2" t="n"/>
      <c r="D584" s="2" t="n"/>
    </row>
    <row r="585" ht="15" customHeight="1">
      <c r="B585" s="2" t="n"/>
      <c r="C585" s="2" t="n"/>
      <c r="D585" s="2" t="n"/>
    </row>
    <row r="586" ht="15" customHeight="1">
      <c r="B586" s="2" t="n"/>
      <c r="C586" s="2" t="n"/>
      <c r="D586" s="2" t="n"/>
    </row>
    <row r="587" ht="15" customHeight="1">
      <c r="B587" s="2" t="n"/>
      <c r="C587" s="2" t="n"/>
      <c r="D587" s="2" t="n"/>
    </row>
    <row r="588" ht="15" customHeight="1">
      <c r="B588" s="2" t="n"/>
      <c r="C588" s="2" t="n"/>
      <c r="D588" s="2" t="n"/>
    </row>
    <row r="589" ht="15" customHeight="1">
      <c r="B589" s="2" t="n"/>
      <c r="C589" s="2" t="n"/>
      <c r="D589" s="2" t="n"/>
    </row>
    <row r="590" ht="15" customHeight="1">
      <c r="B590" s="2" t="n"/>
      <c r="C590" s="2" t="n"/>
      <c r="D590" s="2" t="n"/>
    </row>
    <row r="591" ht="15" customHeight="1">
      <c r="B591" s="2" t="n"/>
      <c r="C591" s="2" t="n"/>
      <c r="D591" s="2" t="n"/>
    </row>
    <row r="592" ht="15" customHeight="1">
      <c r="B592" s="2" t="n"/>
      <c r="C592" s="2" t="n"/>
      <c r="D592" s="2" t="n"/>
    </row>
    <row r="593" ht="15" customHeight="1">
      <c r="B593" s="2" t="n"/>
      <c r="C593" s="2" t="n"/>
      <c r="D593" s="2" t="n"/>
    </row>
    <row r="594" ht="15" customHeight="1">
      <c r="B594" s="2" t="n"/>
      <c r="C594" s="2" t="n"/>
      <c r="D594" s="2" t="n"/>
    </row>
    <row r="595" ht="15" customHeight="1">
      <c r="B595" s="2" t="n"/>
      <c r="C595" s="2" t="n"/>
      <c r="D595" s="2" t="n"/>
    </row>
    <row r="596" ht="15" customHeight="1">
      <c r="B596" s="2" t="n"/>
      <c r="C596" s="2" t="n"/>
      <c r="D596" s="2" t="n"/>
    </row>
    <row r="597" ht="15" customHeight="1">
      <c r="B597" s="2" t="n"/>
      <c r="C597" s="2" t="n"/>
      <c r="D597" s="2" t="n"/>
    </row>
    <row r="598" ht="15" customHeight="1">
      <c r="B598" s="2" t="n"/>
      <c r="C598" s="2" t="n"/>
      <c r="D598" s="2" t="n"/>
    </row>
    <row r="599" ht="15" customHeight="1">
      <c r="B599" s="2" t="n"/>
      <c r="C599" s="2" t="n"/>
      <c r="D599" s="2" t="n"/>
    </row>
    <row r="600" ht="15" customHeight="1">
      <c r="B600" s="2" t="n"/>
      <c r="C600" s="2" t="n"/>
      <c r="D600" s="2" t="n"/>
    </row>
    <row r="602" ht="15" customHeight="1" thickBot="1">
      <c r="B602" s="13" t="n"/>
      <c r="C602" s="12" t="n"/>
      <c r="D602" s="12" t="n"/>
      <c r="E602" s="61" t="inlineStr">
        <is>
          <t>Políticas de Firewall</t>
        </is>
      </c>
    </row>
    <row r="603" ht="15" customHeight="1" thickBot="1">
      <c r="B603" s="88" t="inlineStr">
        <is>
          <t>Cole a Saída do Comando →</t>
        </is>
      </c>
      <c r="C603" s="2" t="n"/>
      <c r="D603" s="2" t="n"/>
      <c r="E603" s="73" t="inlineStr">
        <is>
          <t>show firewall policy</t>
        </is>
      </c>
    </row>
    <row r="604" ht="15" customHeight="1">
      <c r="B604" s="2" t="n"/>
      <c r="C604" s="2" t="n"/>
      <c r="D604" s="2" t="n"/>
    </row>
    <row r="605" ht="15" customHeight="1">
      <c r="B605" s="2" t="n"/>
      <c r="C605" s="2" t="n"/>
      <c r="D605" s="2" t="n"/>
    </row>
    <row r="606" ht="15" customHeight="1">
      <c r="B606" s="2" t="n"/>
      <c r="C606" s="2" t="n"/>
      <c r="D606" s="2" t="n"/>
    </row>
    <row r="607" ht="15" customHeight="1">
      <c r="B607" s="2" t="n"/>
      <c r="C607" s="2" t="n"/>
      <c r="D607" s="2" t="n"/>
    </row>
    <row r="608" ht="15" customHeight="1">
      <c r="B608" s="2" t="n"/>
      <c r="C608" s="2" t="n"/>
      <c r="D608" s="2" t="n"/>
    </row>
    <row r="609" ht="15" customHeight="1">
      <c r="B609" s="2" t="n"/>
      <c r="C609" s="2" t="n"/>
      <c r="D609" s="2" t="n"/>
    </row>
    <row r="610" ht="15" customHeight="1">
      <c r="B610" s="2" t="n"/>
      <c r="C610" s="2" t="n"/>
      <c r="D610" s="2" t="n"/>
    </row>
    <row r="611" ht="15" customHeight="1">
      <c r="B611" s="2" t="n"/>
      <c r="C611" s="2" t="n"/>
      <c r="D611" s="2" t="n"/>
    </row>
    <row r="612" ht="15" customHeight="1">
      <c r="B612" s="2" t="n"/>
      <c r="C612" s="2" t="n"/>
      <c r="D612" s="2" t="n"/>
    </row>
    <row r="613" ht="15" customHeight="1">
      <c r="B613" s="2" t="n"/>
      <c r="C613" s="2" t="n"/>
      <c r="D613" s="2" t="n"/>
    </row>
    <row r="614" ht="15" customHeight="1">
      <c r="B614" s="2" t="n"/>
      <c r="C614" s="2" t="n"/>
      <c r="D614" s="2" t="n"/>
    </row>
    <row r="615" ht="15" customHeight="1">
      <c r="B615" s="2" t="n"/>
      <c r="C615" s="2" t="n"/>
      <c r="D615" s="2" t="n"/>
    </row>
    <row r="616" ht="15" customHeight="1">
      <c r="B616" s="2" t="n"/>
      <c r="C616" s="2" t="n"/>
      <c r="D616" s="2" t="n"/>
    </row>
    <row r="617" ht="15" customHeight="1">
      <c r="B617" s="2" t="n"/>
      <c r="C617" s="2" t="n"/>
      <c r="D617" s="2" t="n"/>
    </row>
    <row r="618" ht="15" customHeight="1">
      <c r="B618" s="2" t="n"/>
      <c r="C618" s="2" t="n"/>
      <c r="D618" s="2" t="n"/>
    </row>
    <row r="619" ht="15" customHeight="1">
      <c r="B619" s="2" t="n"/>
      <c r="C619" s="2" t="n"/>
      <c r="D619" s="2" t="n"/>
    </row>
    <row r="620" ht="15" customHeight="1">
      <c r="B620" s="2" t="n"/>
      <c r="C620" s="2" t="n"/>
      <c r="D620" s="2" t="n"/>
    </row>
    <row r="621" ht="15" customHeight="1">
      <c r="B621" s="2" t="n"/>
      <c r="C621" s="2" t="n"/>
      <c r="D621" s="2" t="n"/>
    </row>
    <row r="622" ht="15" customHeight="1">
      <c r="B622" s="2" t="n"/>
      <c r="C622" s="2" t="n"/>
      <c r="D622" s="2" t="n"/>
    </row>
    <row r="623" ht="15" customHeight="1">
      <c r="B623" s="2" t="n"/>
      <c r="C623" s="2" t="n"/>
      <c r="D623" s="2" t="n"/>
    </row>
    <row r="624" ht="15" customHeight="1">
      <c r="B624" s="2" t="n"/>
      <c r="C624" s="2" t="n"/>
      <c r="D624" s="2" t="n"/>
    </row>
    <row r="625" ht="15" customHeight="1">
      <c r="B625" s="2" t="n"/>
      <c r="C625" s="2" t="n"/>
      <c r="D625" s="2" t="n"/>
    </row>
    <row r="626" ht="15" customHeight="1">
      <c r="B626" s="2" t="n"/>
      <c r="C626" s="2" t="n"/>
      <c r="D626" s="2" t="n"/>
    </row>
    <row r="627" ht="15" customHeight="1">
      <c r="B627" s="2" t="n"/>
      <c r="C627" s="2" t="n"/>
      <c r="D627" s="2" t="n"/>
    </row>
    <row r="628" ht="15" customHeight="1">
      <c r="B628" s="2" t="n"/>
      <c r="C628" s="2" t="n"/>
      <c r="D628" s="2" t="n"/>
    </row>
    <row r="629" ht="15" customHeight="1">
      <c r="B629" s="2" t="n"/>
      <c r="C629" s="2" t="n"/>
      <c r="D629" s="2" t="n"/>
    </row>
    <row r="630" ht="15" customHeight="1">
      <c r="B630" s="2" t="n"/>
      <c r="C630" s="2" t="n"/>
      <c r="D630" s="2" t="n"/>
    </row>
    <row r="631" ht="15" customHeight="1">
      <c r="B631" s="2" t="n"/>
      <c r="C631" s="2" t="n"/>
      <c r="D631" s="2" t="n"/>
    </row>
    <row r="632" ht="15" customHeight="1">
      <c r="B632" s="2" t="n"/>
      <c r="C632" s="2" t="n"/>
      <c r="D632" s="2" t="n"/>
    </row>
    <row r="633" ht="15" customHeight="1">
      <c r="B633" s="2" t="n"/>
      <c r="C633" s="2" t="n"/>
      <c r="D633" s="2" t="n"/>
    </row>
    <row r="634" ht="15" customHeight="1">
      <c r="B634" s="2" t="n"/>
      <c r="C634" s="2" t="n"/>
      <c r="D634" s="2" t="n"/>
    </row>
    <row r="635" ht="15" customHeight="1">
      <c r="B635" s="2" t="n"/>
      <c r="C635" s="2" t="n"/>
      <c r="D635" s="2" t="n"/>
    </row>
    <row r="636" ht="15" customHeight="1">
      <c r="B636" s="2" t="n"/>
      <c r="C636" s="2" t="n"/>
      <c r="D636" s="2" t="n"/>
    </row>
    <row r="637" ht="15" customHeight="1">
      <c r="B637" s="2" t="n"/>
      <c r="C637" s="2" t="n"/>
      <c r="D637" s="2" t="n"/>
    </row>
    <row r="638" ht="15" customHeight="1">
      <c r="B638" s="2" t="n"/>
      <c r="C638" s="2" t="n"/>
      <c r="D638" s="2" t="n"/>
    </row>
    <row r="639" ht="15" customHeight="1">
      <c r="B639" s="2" t="n"/>
      <c r="C639" s="2" t="n"/>
      <c r="D639" s="2" t="n"/>
    </row>
    <row r="640" ht="15" customHeight="1">
      <c r="B640" s="2" t="n"/>
      <c r="C640" s="2" t="n"/>
      <c r="D640" s="2" t="n"/>
    </row>
    <row r="641" ht="15" customHeight="1">
      <c r="B641" s="2" t="n"/>
      <c r="C641" s="2" t="n"/>
      <c r="D641" s="2" t="n"/>
    </row>
    <row r="642" ht="15" customHeight="1">
      <c r="B642" s="2" t="n"/>
      <c r="C642" s="2" t="n"/>
      <c r="D642" s="2" t="n"/>
    </row>
    <row r="643" ht="15" customHeight="1">
      <c r="B643" s="2" t="n"/>
      <c r="C643" s="2" t="n"/>
      <c r="D643" s="2" t="n"/>
    </row>
    <row r="644" ht="15" customHeight="1">
      <c r="B644" s="2" t="n"/>
      <c r="C644" s="2" t="n"/>
      <c r="D644" s="2" t="n"/>
    </row>
    <row r="645" ht="15" customHeight="1">
      <c r="B645" s="2" t="n"/>
      <c r="C645" s="2" t="n"/>
      <c r="D645" s="2" t="n"/>
    </row>
    <row r="646" ht="15" customHeight="1">
      <c r="B646" s="2" t="n"/>
      <c r="C646" s="2" t="n"/>
      <c r="D646" s="2" t="n"/>
    </row>
    <row r="647" ht="15" customHeight="1">
      <c r="B647" s="2" t="n"/>
      <c r="C647" s="2" t="n"/>
      <c r="D647" s="2" t="n"/>
    </row>
    <row r="648" ht="15" customHeight="1">
      <c r="B648" s="2" t="n"/>
      <c r="C648" s="2" t="n"/>
      <c r="D648" s="2" t="n"/>
    </row>
    <row r="649" ht="15" customHeight="1">
      <c r="B649" s="2" t="n"/>
      <c r="C649" s="2" t="n"/>
      <c r="D649" s="2" t="n"/>
    </row>
    <row r="650" ht="15" customHeight="1">
      <c r="B650" s="2" t="n"/>
      <c r="C650" s="2" t="n"/>
      <c r="D650" s="2" t="n"/>
    </row>
    <row r="651" ht="15" customHeight="1">
      <c r="B651" s="2" t="n"/>
      <c r="C651" s="2" t="n"/>
      <c r="D651" s="2" t="n"/>
    </row>
    <row r="652" ht="15" customHeight="1">
      <c r="B652" s="2" t="n"/>
      <c r="C652" s="2" t="n"/>
      <c r="D652" s="2" t="n"/>
    </row>
    <row r="653" ht="15" customHeight="1">
      <c r="B653" s="2" t="n"/>
      <c r="C653" s="2" t="n"/>
      <c r="D653" s="2" t="n"/>
    </row>
    <row r="654" ht="15" customHeight="1">
      <c r="B654" s="2" t="n"/>
      <c r="C654" s="2" t="n"/>
      <c r="D654" s="2" t="n"/>
    </row>
    <row r="655" ht="15" customHeight="1">
      <c r="B655" s="2" t="n"/>
      <c r="C655" s="2" t="n"/>
      <c r="D655" s="2" t="n"/>
    </row>
    <row r="656" ht="15" customHeight="1">
      <c r="B656" s="2" t="n"/>
      <c r="C656" s="2" t="n"/>
      <c r="D656" s="2" t="n"/>
    </row>
    <row r="657" ht="15" customHeight="1">
      <c r="B657" s="2" t="n"/>
      <c r="C657" s="2" t="n"/>
      <c r="D657" s="2" t="n"/>
    </row>
    <row r="658" ht="15" customHeight="1">
      <c r="B658" s="2" t="n"/>
      <c r="C658" s="2" t="n"/>
      <c r="D658" s="2" t="n"/>
    </row>
    <row r="659" ht="15" customHeight="1">
      <c r="B659" s="2" t="n"/>
      <c r="C659" s="2" t="n"/>
      <c r="D659" s="2" t="n"/>
    </row>
    <row r="660" ht="15" customHeight="1">
      <c r="B660" s="2" t="n"/>
      <c r="C660" s="2" t="n"/>
      <c r="D660" s="2" t="n"/>
    </row>
    <row r="661" ht="15" customHeight="1">
      <c r="B661" s="2" t="n"/>
      <c r="C661" s="2" t="n"/>
      <c r="D661" s="2" t="n"/>
    </row>
    <row r="662" ht="15" customHeight="1">
      <c r="B662" s="2" t="n"/>
      <c r="C662" s="2" t="n"/>
      <c r="D662" s="2" t="n"/>
    </row>
    <row r="663" ht="15" customHeight="1">
      <c r="B663" s="2" t="n"/>
      <c r="C663" s="2" t="n"/>
      <c r="D663" s="2" t="n"/>
    </row>
    <row r="664" ht="15" customHeight="1">
      <c r="B664" s="2" t="n"/>
      <c r="C664" s="2" t="n"/>
      <c r="D664" s="2" t="n"/>
    </row>
    <row r="665" ht="15" customHeight="1">
      <c r="B665" s="2" t="n"/>
      <c r="C665" s="2" t="n"/>
      <c r="D665" s="2" t="n"/>
    </row>
    <row r="666" ht="15" customHeight="1">
      <c r="B666" s="2" t="n"/>
      <c r="C666" s="2" t="n"/>
      <c r="D666" s="2" t="n"/>
    </row>
    <row r="667" ht="15" customHeight="1">
      <c r="B667" s="2" t="n"/>
      <c r="C667" s="2" t="n"/>
      <c r="D667" s="2" t="n"/>
    </row>
    <row r="668" ht="15" customHeight="1">
      <c r="B668" s="2" t="n"/>
      <c r="C668" s="2" t="n"/>
      <c r="D668" s="2" t="n"/>
    </row>
    <row r="669" ht="15" customHeight="1">
      <c r="B669" s="2" t="n"/>
      <c r="C669" s="2" t="n"/>
      <c r="D669" s="2" t="n"/>
    </row>
    <row r="670" ht="15" customHeight="1">
      <c r="B670" s="2" t="n"/>
      <c r="C670" s="2" t="n"/>
      <c r="D670" s="2" t="n"/>
    </row>
    <row r="671" ht="15" customHeight="1">
      <c r="B671" s="2" t="n"/>
      <c r="C671" s="2" t="n"/>
      <c r="D671" s="2" t="n"/>
    </row>
    <row r="672" ht="15" customHeight="1">
      <c r="B672" s="2" t="n"/>
      <c r="C672" s="2" t="n"/>
      <c r="D672" s="2" t="n"/>
    </row>
    <row r="673" ht="15" customHeight="1">
      <c r="B673" s="2" t="n"/>
      <c r="C673" s="2" t="n"/>
      <c r="D673" s="2" t="n"/>
    </row>
    <row r="674" ht="15" customHeight="1">
      <c r="B674" s="2" t="n"/>
      <c r="C674" s="2" t="n"/>
      <c r="D674" s="2" t="n"/>
    </row>
    <row r="675" ht="15" customHeight="1">
      <c r="B675" s="2" t="n"/>
      <c r="C675" s="2" t="n"/>
      <c r="D675" s="2" t="n"/>
    </row>
    <row r="676" ht="15" customHeight="1">
      <c r="B676" s="2" t="n"/>
      <c r="C676" s="2" t="n"/>
      <c r="D676" s="2" t="n"/>
    </row>
    <row r="677" ht="15" customHeight="1">
      <c r="B677" s="2" t="n"/>
      <c r="C677" s="2" t="n"/>
      <c r="D677" s="2" t="n"/>
    </row>
    <row r="678" ht="15" customHeight="1">
      <c r="B678" s="2" t="n"/>
      <c r="C678" s="2" t="n"/>
      <c r="D678" s="2" t="n"/>
    </row>
    <row r="679" ht="15" customHeight="1">
      <c r="B679" s="2" t="n"/>
      <c r="C679" s="2" t="n"/>
      <c r="D679" s="2" t="n"/>
    </row>
    <row r="680" ht="15" customHeight="1">
      <c r="B680" s="2" t="n"/>
      <c r="C680" s="2" t="n"/>
      <c r="D680" s="2" t="n"/>
    </row>
    <row r="681" ht="15" customHeight="1">
      <c r="B681" s="2" t="n"/>
      <c r="C681" s="2" t="n"/>
      <c r="D681" s="2" t="n"/>
    </row>
    <row r="682" ht="15" customHeight="1">
      <c r="B682" s="2" t="n"/>
      <c r="C682" s="2" t="n"/>
      <c r="D682" s="2" t="n"/>
    </row>
    <row r="683" ht="15" customHeight="1">
      <c r="B683" s="2" t="n"/>
      <c r="C683" s="2" t="n"/>
      <c r="D683" s="2" t="n"/>
    </row>
    <row r="684" ht="15" customHeight="1">
      <c r="B684" s="2" t="n"/>
      <c r="C684" s="2" t="n"/>
      <c r="D684" s="2" t="n"/>
    </row>
    <row r="685" ht="15" customHeight="1">
      <c r="B685" s="2" t="n"/>
      <c r="C685" s="2" t="n"/>
      <c r="D685" s="2" t="n"/>
    </row>
    <row r="686" ht="15" customHeight="1">
      <c r="B686" s="2" t="n"/>
      <c r="C686" s="2" t="n"/>
      <c r="D686" s="2" t="n"/>
    </row>
    <row r="687" ht="15" customHeight="1">
      <c r="B687" s="2" t="n"/>
      <c r="C687" s="2" t="n"/>
      <c r="D687" s="2" t="n"/>
    </row>
    <row r="688" ht="15" customHeight="1">
      <c r="B688" s="2" t="n"/>
      <c r="C688" s="2" t="n"/>
      <c r="D688" s="2" t="n"/>
    </row>
    <row r="689" ht="15" customHeight="1">
      <c r="B689" s="2" t="n"/>
      <c r="C689" s="2" t="n"/>
      <c r="D689" s="2" t="n"/>
    </row>
    <row r="690" ht="15" customHeight="1">
      <c r="B690" s="2" t="n"/>
      <c r="C690" s="2" t="n"/>
      <c r="D690" s="2" t="n"/>
    </row>
    <row r="691" ht="15" customHeight="1">
      <c r="B691" s="2" t="n"/>
      <c r="C691" s="2" t="n"/>
      <c r="D691" s="2" t="n"/>
    </row>
    <row r="692" ht="15" customHeight="1">
      <c r="B692" s="2" t="n"/>
      <c r="C692" s="2" t="n"/>
      <c r="D692" s="2" t="n"/>
    </row>
    <row r="693" ht="15" customHeight="1">
      <c r="B693" s="2" t="n"/>
      <c r="C693" s="2" t="n"/>
      <c r="D693" s="2" t="n"/>
    </row>
    <row r="694" ht="15" customHeight="1">
      <c r="B694" s="2" t="n"/>
      <c r="C694" s="2" t="n"/>
      <c r="D694" s="2" t="n"/>
    </row>
    <row r="695" ht="15" customHeight="1">
      <c r="B695" s="2" t="n"/>
      <c r="C695" s="2" t="n"/>
      <c r="D695" s="2" t="n"/>
    </row>
    <row r="696" ht="15" customHeight="1">
      <c r="B696" s="2" t="n"/>
      <c r="C696" s="2" t="n"/>
      <c r="D696" s="2" t="n"/>
    </row>
    <row r="697" ht="15" customHeight="1">
      <c r="B697" s="2" t="n"/>
      <c r="C697" s="2" t="n"/>
      <c r="D697" s="2" t="n"/>
    </row>
    <row r="698" ht="15" customHeight="1">
      <c r="B698" s="2" t="n"/>
      <c r="C698" s="2" t="n"/>
      <c r="D698" s="2" t="n"/>
    </row>
    <row r="699" ht="15" customHeight="1">
      <c r="B699" s="2" t="n"/>
      <c r="C699" s="2" t="n"/>
      <c r="D699" s="2" t="n"/>
    </row>
    <row r="700" ht="15" customHeight="1">
      <c r="B700" s="2" t="n"/>
      <c r="C700" s="2" t="n"/>
      <c r="D700" s="2" t="n"/>
    </row>
    <row r="701" ht="15" customHeight="1">
      <c r="B701" s="2" t="n"/>
      <c r="C701" s="2" t="n"/>
      <c r="D701" s="2" t="n"/>
    </row>
    <row r="702" ht="15" customHeight="1">
      <c r="B702" s="2" t="n"/>
      <c r="C702" s="2" t="n"/>
      <c r="D702" s="2" t="n"/>
    </row>
    <row r="703" ht="15" customHeight="1">
      <c r="B703" s="2" t="n"/>
      <c r="C703" s="2" t="n"/>
      <c r="D703" s="2" t="n"/>
    </row>
    <row r="704" ht="15" customHeight="1">
      <c r="B704" s="2" t="n"/>
      <c r="C704" s="2" t="n"/>
      <c r="D704" s="2" t="n"/>
    </row>
    <row r="705" ht="15" customHeight="1">
      <c r="B705" s="2" t="n"/>
      <c r="C705" s="2" t="n"/>
      <c r="D705" s="2" t="n"/>
    </row>
    <row r="706" ht="15" customHeight="1">
      <c r="B706" s="2" t="n"/>
      <c r="C706" s="2" t="n"/>
      <c r="D706" s="2" t="n"/>
    </row>
    <row r="707" ht="15" customHeight="1">
      <c r="B707" s="2" t="n"/>
      <c r="C707" s="2" t="n"/>
      <c r="D707" s="2" t="n"/>
    </row>
    <row r="708" ht="15" customHeight="1">
      <c r="B708" s="2" t="n"/>
      <c r="C708" s="2" t="n"/>
      <c r="D708" s="2" t="n"/>
    </row>
    <row r="709" ht="15" customHeight="1">
      <c r="B709" s="2" t="n"/>
      <c r="C709" s="2" t="n"/>
      <c r="D709" s="2" t="n"/>
    </row>
    <row r="710" ht="15" customHeight="1">
      <c r="B710" s="2" t="n"/>
      <c r="C710" s="2" t="n"/>
      <c r="D710" s="2" t="n"/>
    </row>
    <row r="711" ht="15" customHeight="1">
      <c r="B711" s="2" t="n"/>
      <c r="C711" s="2" t="n"/>
      <c r="D711" s="2" t="n"/>
    </row>
    <row r="712" ht="15" customHeight="1">
      <c r="B712" s="2" t="n"/>
      <c r="C712" s="2" t="n"/>
      <c r="D712" s="2" t="n"/>
    </row>
    <row r="713" ht="15" customHeight="1">
      <c r="B713" s="2" t="n"/>
      <c r="C713" s="2" t="n"/>
      <c r="D713" s="2" t="n"/>
    </row>
    <row r="714" ht="15" customHeight="1">
      <c r="B714" s="2" t="n"/>
      <c r="C714" s="2" t="n"/>
      <c r="D714" s="2" t="n"/>
    </row>
    <row r="715" ht="15" customHeight="1">
      <c r="B715" s="2" t="n"/>
      <c r="C715" s="2" t="n"/>
      <c r="D715" s="2" t="n"/>
    </row>
    <row r="716" ht="15" customHeight="1">
      <c r="B716" s="2" t="n"/>
      <c r="C716" s="2" t="n"/>
      <c r="D716" s="2" t="n"/>
    </row>
    <row r="717" ht="15" customHeight="1">
      <c r="B717" s="2" t="n"/>
      <c r="C717" s="2" t="n"/>
      <c r="D717" s="2" t="n"/>
    </row>
    <row r="718" ht="15" customHeight="1">
      <c r="B718" s="2" t="n"/>
      <c r="C718" s="2" t="n"/>
      <c r="D718" s="2" t="n"/>
    </row>
    <row r="719" ht="15" customHeight="1">
      <c r="B719" s="2" t="n"/>
      <c r="C719" s="2" t="n"/>
      <c r="D719" s="2" t="n"/>
    </row>
    <row r="720" ht="15" customHeight="1">
      <c r="B720" s="2" t="n"/>
      <c r="C720" s="2" t="n"/>
      <c r="D720" s="2" t="n"/>
    </row>
    <row r="721" ht="15" customHeight="1">
      <c r="B721" s="2" t="n"/>
      <c r="C721" s="2" t="n"/>
      <c r="D721" s="2" t="n"/>
    </row>
    <row r="722" ht="15" customHeight="1">
      <c r="B722" s="2" t="n"/>
      <c r="C722" s="2" t="n"/>
      <c r="D722" s="2" t="n"/>
    </row>
    <row r="723" ht="15" customHeight="1">
      <c r="B723" s="2" t="n"/>
      <c r="C723" s="2" t="n"/>
      <c r="D723" s="2" t="n"/>
    </row>
    <row r="724" ht="15" customHeight="1">
      <c r="B724" s="2" t="n"/>
      <c r="C724" s="2" t="n"/>
      <c r="D724" s="2" t="n"/>
    </row>
    <row r="725" ht="15" customHeight="1">
      <c r="B725" s="2" t="n"/>
      <c r="C725" s="2" t="n"/>
      <c r="D725" s="2" t="n"/>
    </row>
    <row r="726" ht="15" customHeight="1">
      <c r="B726" s="2" t="n"/>
      <c r="C726" s="2" t="n"/>
      <c r="D726" s="2" t="n"/>
    </row>
    <row r="727" ht="15" customHeight="1">
      <c r="B727" s="2" t="n"/>
      <c r="C727" s="2" t="n"/>
      <c r="D727" s="2" t="n"/>
    </row>
    <row r="728" ht="15" customHeight="1">
      <c r="B728" s="2" t="n"/>
      <c r="C728" s="2" t="n"/>
      <c r="D728" s="2" t="n"/>
    </row>
    <row r="729" ht="15" customHeight="1">
      <c r="B729" s="2" t="n"/>
      <c r="C729" s="2" t="n"/>
      <c r="D729" s="2" t="n"/>
    </row>
    <row r="730" ht="15" customHeight="1">
      <c r="B730" s="2" t="n"/>
      <c r="C730" s="2" t="n"/>
      <c r="D730" s="2" t="n"/>
    </row>
    <row r="731" ht="15" customHeight="1">
      <c r="B731" s="2" t="n"/>
      <c r="C731" s="2" t="n"/>
      <c r="D731" s="2" t="n"/>
    </row>
    <row r="732" ht="15" customHeight="1">
      <c r="B732" s="2" t="n"/>
      <c r="C732" s="2" t="n"/>
      <c r="D732" s="2" t="n"/>
    </row>
    <row r="733" ht="15" customHeight="1">
      <c r="B733" s="2" t="n"/>
      <c r="C733" s="2" t="n"/>
      <c r="D733" s="2" t="n"/>
    </row>
    <row r="734" ht="15" customHeight="1">
      <c r="B734" s="2" t="n"/>
      <c r="C734" s="2" t="n"/>
      <c r="D734" s="2" t="n"/>
    </row>
    <row r="735" ht="15" customHeight="1">
      <c r="B735" s="2" t="n"/>
      <c r="C735" s="2" t="n"/>
      <c r="D735" s="2" t="n"/>
    </row>
    <row r="736" ht="15" customHeight="1">
      <c r="B736" s="2" t="n"/>
      <c r="C736" s="2" t="n"/>
      <c r="D736" s="2" t="n"/>
    </row>
    <row r="737" ht="15" customHeight="1">
      <c r="B737" s="2" t="n"/>
      <c r="C737" s="2" t="n"/>
      <c r="D737" s="2" t="n"/>
    </row>
    <row r="738" ht="15" customHeight="1">
      <c r="B738" s="2" t="n"/>
      <c r="C738" s="2" t="n"/>
      <c r="D738" s="2" t="n"/>
    </row>
    <row r="739" ht="15" customHeight="1">
      <c r="B739" s="2" t="n"/>
      <c r="C739" s="2" t="n"/>
      <c r="D739" s="2" t="n"/>
    </row>
    <row r="740" ht="15" customHeight="1">
      <c r="B740" s="2" t="n"/>
      <c r="C740" s="2" t="n"/>
      <c r="D740" s="2" t="n"/>
    </row>
    <row r="741" ht="15" customHeight="1">
      <c r="B741" s="2" t="n"/>
      <c r="C741" s="2" t="n"/>
      <c r="D741" s="2" t="n"/>
    </row>
    <row r="742" ht="15" customHeight="1">
      <c r="B742" s="2" t="n"/>
      <c r="C742" s="2" t="n"/>
      <c r="D742" s="2" t="n"/>
    </row>
    <row r="743" ht="15" customHeight="1">
      <c r="B743" s="2" t="n"/>
      <c r="C743" s="2" t="n"/>
      <c r="D743" s="2" t="n"/>
    </row>
    <row r="744" ht="15" customHeight="1">
      <c r="B744" s="2" t="n"/>
      <c r="C744" s="2" t="n"/>
      <c r="D744" s="2" t="n"/>
    </row>
    <row r="745" ht="15" customHeight="1">
      <c r="B745" s="2" t="n"/>
      <c r="C745" s="2" t="n"/>
      <c r="D745" s="2" t="n"/>
    </row>
    <row r="746" ht="15" customHeight="1">
      <c r="B746" s="2" t="n"/>
      <c r="C746" s="2" t="n"/>
      <c r="D746" s="2" t="n"/>
    </row>
    <row r="747" ht="15" customHeight="1">
      <c r="B747" s="2" t="n"/>
      <c r="C747" s="2" t="n"/>
      <c r="D747" s="2" t="n"/>
    </row>
    <row r="748" ht="15" customHeight="1">
      <c r="B748" s="2" t="n"/>
      <c r="C748" s="2" t="n"/>
      <c r="D748" s="2" t="n"/>
    </row>
    <row r="749" ht="15" customHeight="1">
      <c r="B749" s="2" t="n"/>
      <c r="C749" s="2" t="n"/>
      <c r="D749" s="2" t="n"/>
    </row>
    <row r="750" ht="15" customHeight="1">
      <c r="B750" s="2" t="n"/>
      <c r="C750" s="2" t="n"/>
      <c r="D750" s="2" t="n"/>
    </row>
    <row r="751" ht="15" customHeight="1">
      <c r="B751" s="2" t="n"/>
      <c r="C751" s="2" t="n"/>
      <c r="D751" s="2" t="n"/>
    </row>
    <row r="752" ht="15" customHeight="1">
      <c r="B752" s="2" t="n"/>
      <c r="C752" s="2" t="n"/>
      <c r="D752" s="2" t="n"/>
    </row>
    <row r="753" ht="15" customHeight="1">
      <c r="B753" s="2" t="n"/>
      <c r="C753" s="2" t="n"/>
      <c r="D753" s="2" t="n"/>
    </row>
    <row r="754" ht="15" customHeight="1">
      <c r="B754" s="2" t="n"/>
      <c r="C754" s="2" t="n"/>
      <c r="D754" s="2" t="n"/>
    </row>
    <row r="755" ht="15" customHeight="1">
      <c r="B755" s="2" t="n"/>
      <c r="C755" s="2" t="n"/>
      <c r="D755" s="2" t="n"/>
    </row>
    <row r="756" ht="15" customHeight="1">
      <c r="B756" s="2" t="n"/>
      <c r="C756" s="2" t="n"/>
      <c r="D756" s="2" t="n"/>
    </row>
    <row r="757" ht="15" customHeight="1">
      <c r="B757" s="2" t="n"/>
      <c r="C757" s="2" t="n"/>
      <c r="D757" s="2" t="n"/>
    </row>
    <row r="758" ht="15" customHeight="1">
      <c r="B758" s="2" t="n"/>
      <c r="C758" s="2" t="n"/>
      <c r="D758" s="2" t="n"/>
    </row>
    <row r="759" ht="15" customHeight="1">
      <c r="B759" s="2" t="n"/>
      <c r="C759" s="2" t="n"/>
      <c r="D759" s="2" t="n"/>
    </row>
    <row r="760" ht="15" customHeight="1">
      <c r="B760" s="2" t="n"/>
      <c r="C760" s="2" t="n"/>
      <c r="D760" s="2" t="n"/>
    </row>
    <row r="761" ht="15" customHeight="1">
      <c r="B761" s="2" t="n"/>
      <c r="C761" s="2" t="n"/>
      <c r="D761" s="2" t="n"/>
    </row>
    <row r="762" ht="15" customHeight="1">
      <c r="B762" s="2" t="n"/>
      <c r="C762" s="2" t="n"/>
      <c r="D762" s="2" t="n"/>
    </row>
    <row r="763" ht="15" customHeight="1">
      <c r="B763" s="2" t="n"/>
      <c r="C763" s="2" t="n"/>
      <c r="D763" s="2" t="n"/>
    </row>
    <row r="764" ht="15" customHeight="1">
      <c r="B764" s="2" t="n"/>
      <c r="C764" s="2" t="n"/>
      <c r="D764" s="2" t="n"/>
    </row>
    <row r="765" ht="15" customHeight="1">
      <c r="B765" s="2" t="n"/>
      <c r="C765" s="2" t="n"/>
      <c r="D765" s="2" t="n"/>
    </row>
    <row r="766" ht="15" customHeight="1">
      <c r="B766" s="2" t="n"/>
      <c r="C766" s="2" t="n"/>
      <c r="D766" s="2" t="n"/>
    </row>
    <row r="767" ht="15" customHeight="1">
      <c r="B767" s="2" t="n"/>
      <c r="C767" s="2" t="n"/>
      <c r="D767" s="2" t="n"/>
    </row>
    <row r="768" ht="15" customHeight="1">
      <c r="B768" s="2" t="n"/>
      <c r="C768" s="2" t="n"/>
      <c r="D768" s="2" t="n"/>
    </row>
    <row r="769" ht="15" customHeight="1">
      <c r="B769" s="2" t="n"/>
      <c r="C769" s="2" t="n"/>
      <c r="D769" s="2" t="n"/>
    </row>
    <row r="770" ht="15" customHeight="1">
      <c r="B770" s="2" t="n"/>
      <c r="C770" s="2" t="n"/>
      <c r="D770" s="2" t="n"/>
    </row>
    <row r="771" ht="15" customHeight="1">
      <c r="B771" s="2" t="n"/>
      <c r="C771" s="2" t="n"/>
      <c r="D771" s="2" t="n"/>
    </row>
    <row r="772" ht="15" customHeight="1">
      <c r="B772" s="2" t="n"/>
      <c r="C772" s="2" t="n"/>
      <c r="D772" s="2" t="n"/>
    </row>
    <row r="773" ht="15" customHeight="1">
      <c r="B773" s="2" t="n"/>
      <c r="C773" s="2" t="n"/>
      <c r="D773" s="2" t="n"/>
    </row>
    <row r="774" ht="15" customHeight="1">
      <c r="B774" s="2" t="n"/>
      <c r="C774" s="2" t="n"/>
      <c r="D774" s="2" t="n"/>
    </row>
    <row r="775" ht="15" customHeight="1">
      <c r="B775" s="2" t="n"/>
      <c r="C775" s="2" t="n"/>
      <c r="D775" s="2" t="n"/>
    </row>
    <row r="776" ht="15" customHeight="1">
      <c r="B776" s="2" t="n"/>
      <c r="C776" s="2" t="n"/>
      <c r="D776" s="2" t="n"/>
    </row>
    <row r="777" ht="15" customHeight="1">
      <c r="B777" s="2" t="n"/>
      <c r="C777" s="2" t="n"/>
      <c r="D777" s="2" t="n"/>
    </row>
    <row r="778" ht="15" customHeight="1">
      <c r="B778" s="2" t="n"/>
      <c r="C778" s="2" t="n"/>
      <c r="D778" s="2" t="n"/>
    </row>
    <row r="779" ht="15" customHeight="1">
      <c r="B779" s="2" t="n"/>
      <c r="C779" s="2" t="n"/>
      <c r="D779" s="2" t="n"/>
    </row>
    <row r="780" ht="15" customHeight="1">
      <c r="B780" s="2" t="n"/>
      <c r="C780" s="2" t="n"/>
      <c r="D780" s="2" t="n"/>
    </row>
    <row r="781" ht="15" customHeight="1">
      <c r="B781" s="2" t="n"/>
      <c r="C781" s="2" t="n"/>
      <c r="D781" s="2" t="n"/>
    </row>
    <row r="782" ht="15" customHeight="1">
      <c r="B782" s="2" t="n"/>
      <c r="C782" s="2" t="n"/>
      <c r="D782" s="2" t="n"/>
    </row>
    <row r="783" ht="15" customHeight="1">
      <c r="B783" s="2" t="n"/>
      <c r="C783" s="2" t="n"/>
      <c r="D783" s="2" t="n"/>
    </row>
    <row r="784" ht="15" customHeight="1">
      <c r="B784" s="2" t="n"/>
      <c r="C784" s="2" t="n"/>
      <c r="D784" s="2" t="n"/>
    </row>
    <row r="785" ht="15" customHeight="1">
      <c r="B785" s="2" t="n"/>
      <c r="C785" s="2" t="n"/>
      <c r="D785" s="2" t="n"/>
    </row>
    <row r="786" ht="15" customHeight="1">
      <c r="B786" s="2" t="n"/>
      <c r="C786" s="2" t="n"/>
      <c r="D786" s="2" t="n"/>
    </row>
    <row r="787" ht="15" customHeight="1">
      <c r="B787" s="2" t="n"/>
      <c r="C787" s="2" t="n"/>
      <c r="D787" s="2" t="n"/>
    </row>
    <row r="788" ht="15" customHeight="1">
      <c r="B788" s="2" t="n"/>
      <c r="C788" s="2" t="n"/>
      <c r="D788" s="2" t="n"/>
    </row>
    <row r="789" ht="15" customHeight="1">
      <c r="B789" s="2" t="n"/>
      <c r="C789" s="2" t="n"/>
      <c r="D789" s="2" t="n"/>
    </row>
    <row r="790" ht="15" customHeight="1">
      <c r="B790" s="2" t="n"/>
      <c r="C790" s="2" t="n"/>
      <c r="D790" s="2" t="n"/>
    </row>
    <row r="791" ht="15" customHeight="1">
      <c r="B791" s="2" t="n"/>
      <c r="C791" s="2" t="n"/>
      <c r="D791" s="2" t="n"/>
    </row>
    <row r="792" ht="15" customHeight="1">
      <c r="B792" s="2" t="n"/>
      <c r="C792" s="2" t="n"/>
      <c r="D792" s="2" t="n"/>
    </row>
    <row r="793" ht="15" customHeight="1">
      <c r="B793" s="2" t="n"/>
      <c r="C793" s="2" t="n"/>
      <c r="D793" s="2" t="n"/>
    </row>
    <row r="794" ht="15" customHeight="1">
      <c r="B794" s="2" t="n"/>
      <c r="C794" s="2" t="n"/>
      <c r="D794" s="2" t="n"/>
    </row>
    <row r="795" ht="15" customHeight="1">
      <c r="B795" s="2" t="n"/>
      <c r="C795" s="2" t="n"/>
      <c r="D795" s="2" t="n"/>
    </row>
    <row r="796" ht="15" customHeight="1">
      <c r="B796" s="2" t="n"/>
      <c r="C796" s="2" t="n"/>
      <c r="D796" s="2" t="n"/>
    </row>
    <row r="797" ht="15" customHeight="1">
      <c r="B797" s="2" t="n"/>
      <c r="C797" s="2" t="n"/>
      <c r="D797" s="2" t="n"/>
    </row>
    <row r="798" ht="15" customHeight="1">
      <c r="B798" s="2" t="n"/>
      <c r="C798" s="2" t="n"/>
      <c r="D798" s="2" t="n"/>
    </row>
    <row r="799" ht="15" customHeight="1">
      <c r="B799" s="2" t="n"/>
      <c r="C799" s="2" t="n"/>
      <c r="D799" s="2" t="n"/>
    </row>
    <row r="800" ht="15" customHeight="1">
      <c r="B800" s="2" t="n"/>
      <c r="C800" s="2" t="n"/>
      <c r="D800" s="2" t="n"/>
    </row>
    <row r="801" ht="15" customHeight="1">
      <c r="B801" s="2" t="n"/>
      <c r="C801" s="2" t="n"/>
      <c r="D801" s="2" t="n"/>
    </row>
    <row r="802" ht="15" customHeight="1">
      <c r="B802" s="2" t="n"/>
      <c r="C802" s="2" t="n"/>
      <c r="D802" s="2" t="n"/>
    </row>
    <row r="803" ht="15" customHeight="1">
      <c r="B803" s="2" t="n"/>
      <c r="C803" s="2" t="n"/>
      <c r="D803" s="2" t="n"/>
    </row>
    <row r="804" ht="15" customHeight="1">
      <c r="B804" s="2" t="n"/>
      <c r="C804" s="2" t="n"/>
      <c r="D804" s="2" t="n"/>
    </row>
    <row r="805" ht="15" customHeight="1">
      <c r="B805" s="2" t="n"/>
      <c r="C805" s="2" t="n"/>
      <c r="D805" s="2" t="n"/>
    </row>
    <row r="806" ht="15" customHeight="1">
      <c r="B806" s="2" t="n"/>
      <c r="C806" s="2" t="n"/>
      <c r="D806" s="2" t="n"/>
    </row>
    <row r="807" ht="15" customHeight="1">
      <c r="B807" s="2" t="n"/>
      <c r="C807" s="2" t="n"/>
      <c r="D807" s="2" t="n"/>
    </row>
    <row r="808" ht="15" customHeight="1">
      <c r="B808" s="2" t="n"/>
      <c r="C808" s="2" t="n"/>
      <c r="D808" s="2" t="n"/>
    </row>
    <row r="809" ht="15" customHeight="1">
      <c r="B809" s="2" t="n"/>
      <c r="C809" s="2" t="n"/>
      <c r="D809" s="2" t="n"/>
    </row>
    <row r="810" ht="15" customHeight="1">
      <c r="B810" s="2" t="n"/>
      <c r="C810" s="2" t="n"/>
      <c r="D810" s="2" t="n"/>
    </row>
    <row r="811" ht="15" customHeight="1">
      <c r="B811" s="2" t="n"/>
      <c r="C811" s="2" t="n"/>
      <c r="D811" s="2" t="n"/>
    </row>
    <row r="812" ht="15" customHeight="1">
      <c r="B812" s="2" t="n"/>
      <c r="C812" s="2" t="n"/>
      <c r="D812" s="2" t="n"/>
    </row>
    <row r="813" ht="15" customHeight="1">
      <c r="B813" s="2" t="n"/>
      <c r="C813" s="2" t="n"/>
      <c r="D813" s="2" t="n"/>
    </row>
    <row r="814" ht="15" customHeight="1">
      <c r="B814" s="2" t="n"/>
      <c r="C814" s="2" t="n"/>
      <c r="D814" s="2" t="n"/>
    </row>
    <row r="815" ht="15" customHeight="1">
      <c r="B815" s="2" t="n"/>
      <c r="C815" s="2" t="n"/>
      <c r="D815" s="2" t="n"/>
    </row>
    <row r="816" ht="15" customHeight="1">
      <c r="B816" s="2" t="n"/>
      <c r="C816" s="2" t="n"/>
      <c r="D816" s="2" t="n"/>
    </row>
    <row r="817" ht="15" customHeight="1">
      <c r="B817" s="2" t="n"/>
      <c r="C817" s="2" t="n"/>
      <c r="D817" s="2" t="n"/>
    </row>
    <row r="818" ht="15" customHeight="1">
      <c r="B818" s="2" t="n"/>
      <c r="C818" s="2" t="n"/>
      <c r="D818" s="2" t="n"/>
    </row>
    <row r="819" ht="15" customHeight="1">
      <c r="B819" s="2" t="n"/>
      <c r="C819" s="2" t="n"/>
      <c r="D819" s="2" t="n"/>
    </row>
    <row r="820" ht="15" customHeight="1">
      <c r="B820" s="2" t="n"/>
      <c r="C820" s="2" t="n"/>
      <c r="D820" s="2" t="n"/>
    </row>
    <row r="821" ht="15" customHeight="1">
      <c r="B821" s="2" t="n"/>
      <c r="C821" s="2" t="n"/>
      <c r="D821" s="2" t="n"/>
    </row>
    <row r="822" ht="15" customHeight="1">
      <c r="B822" s="2" t="n"/>
      <c r="C822" s="2" t="n"/>
      <c r="D822" s="2" t="n"/>
    </row>
    <row r="823" ht="15" customHeight="1">
      <c r="B823" s="2" t="n"/>
      <c r="C823" s="2" t="n"/>
      <c r="D823" s="2" t="n"/>
    </row>
    <row r="824" ht="15" customHeight="1">
      <c r="B824" s="2" t="n"/>
      <c r="C824" s="2" t="n"/>
      <c r="D824" s="2" t="n"/>
    </row>
    <row r="825" ht="15" customHeight="1">
      <c r="B825" s="2" t="n"/>
      <c r="C825" s="2" t="n"/>
      <c r="D825" s="2" t="n"/>
    </row>
    <row r="826" ht="15" customHeight="1">
      <c r="B826" s="2" t="n"/>
      <c r="C826" s="2" t="n"/>
      <c r="D826" s="2" t="n"/>
    </row>
    <row r="827" ht="15" customHeight="1">
      <c r="B827" s="2" t="n"/>
      <c r="C827" s="2" t="n"/>
      <c r="D827" s="2" t="n"/>
    </row>
    <row r="828" ht="15" customHeight="1">
      <c r="B828" s="2" t="n"/>
      <c r="C828" s="2" t="n"/>
      <c r="D828" s="2" t="n"/>
    </row>
    <row r="829" ht="15" customHeight="1">
      <c r="B829" s="2" t="n"/>
      <c r="C829" s="2" t="n"/>
      <c r="D829" s="2" t="n"/>
    </row>
    <row r="830" ht="15" customHeight="1">
      <c r="B830" s="2" t="n"/>
      <c r="C830" s="2" t="n"/>
      <c r="D830" s="2" t="n"/>
    </row>
    <row r="831" ht="15" customHeight="1">
      <c r="B831" s="2" t="n"/>
      <c r="C831" s="2" t="n"/>
      <c r="D831" s="2" t="n"/>
    </row>
    <row r="832" ht="15" customHeight="1">
      <c r="B832" s="2" t="n"/>
      <c r="C832" s="2" t="n"/>
      <c r="D832" s="2" t="n"/>
    </row>
    <row r="833" ht="15" customHeight="1">
      <c r="B833" s="2" t="n"/>
      <c r="C833" s="2" t="n"/>
      <c r="D833" s="2" t="n"/>
    </row>
    <row r="834" ht="15" customHeight="1">
      <c r="B834" s="2" t="n"/>
      <c r="C834" s="2" t="n"/>
      <c r="D834" s="2" t="n"/>
    </row>
    <row r="835" ht="15" customHeight="1">
      <c r="B835" s="2" t="n"/>
      <c r="C835" s="2" t="n"/>
      <c r="D835" s="2" t="n"/>
    </row>
    <row r="836" ht="15" customHeight="1">
      <c r="B836" s="2" t="n"/>
      <c r="C836" s="2" t="n"/>
      <c r="D836" s="2" t="n"/>
    </row>
    <row r="837" ht="15" customHeight="1">
      <c r="B837" s="2" t="n"/>
      <c r="C837" s="2" t="n"/>
      <c r="D837" s="2" t="n"/>
    </row>
    <row r="838" ht="15" customHeight="1">
      <c r="B838" s="2" t="n"/>
      <c r="C838" s="2" t="n"/>
      <c r="D838" s="2" t="n"/>
    </row>
    <row r="839" ht="15" customHeight="1">
      <c r="B839" s="2" t="n"/>
      <c r="C839" s="2" t="n"/>
      <c r="D839" s="2" t="n"/>
    </row>
    <row r="840" ht="15" customHeight="1">
      <c r="B840" s="2" t="n"/>
      <c r="C840" s="2" t="n"/>
      <c r="D840" s="2" t="n"/>
    </row>
    <row r="841" ht="15" customHeight="1">
      <c r="B841" s="2" t="n"/>
      <c r="C841" s="2" t="n"/>
      <c r="D841" s="2" t="n"/>
    </row>
    <row r="842" ht="15" customHeight="1">
      <c r="B842" s="2" t="n"/>
      <c r="C842" s="2" t="n"/>
      <c r="D842" s="2" t="n"/>
    </row>
    <row r="843" ht="15" customHeight="1">
      <c r="B843" s="2" t="n"/>
      <c r="C843" s="2" t="n"/>
      <c r="D843" s="2" t="n"/>
    </row>
    <row r="844" ht="15" customHeight="1">
      <c r="B844" s="2" t="n"/>
      <c r="C844" s="2" t="n"/>
      <c r="D844" s="2" t="n"/>
    </row>
    <row r="845" ht="15" customHeight="1">
      <c r="B845" s="2" t="n"/>
      <c r="C845" s="2" t="n"/>
      <c r="D845" s="2" t="n"/>
    </row>
    <row r="846" ht="15" customHeight="1">
      <c r="B846" s="2" t="n"/>
      <c r="C846" s="2" t="n"/>
      <c r="D846" s="2" t="n"/>
    </row>
    <row r="847" ht="15" customHeight="1">
      <c r="B847" s="2" t="n"/>
      <c r="C847" s="2" t="n"/>
      <c r="D847" s="2" t="n"/>
    </row>
    <row r="848" ht="15" customHeight="1">
      <c r="B848" s="2" t="n"/>
      <c r="C848" s="2" t="n"/>
      <c r="D848" s="2" t="n"/>
    </row>
    <row r="849" ht="15" customHeight="1">
      <c r="B849" s="2" t="n"/>
      <c r="C849" s="2" t="n"/>
      <c r="D849" s="2" t="n"/>
    </row>
    <row r="850" ht="15" customHeight="1">
      <c r="B850" s="2" t="n"/>
      <c r="C850" s="2" t="n"/>
      <c r="D850" s="2" t="n"/>
    </row>
    <row r="851" ht="15" customHeight="1">
      <c r="B851" s="2" t="n"/>
      <c r="C851" s="2" t="n"/>
      <c r="D851" s="2" t="n"/>
    </row>
    <row r="852" ht="15" customHeight="1">
      <c r="B852" s="2" t="n"/>
      <c r="C852" s="2" t="n"/>
      <c r="D852" s="2" t="n"/>
    </row>
    <row r="853" ht="15" customHeight="1">
      <c r="B853" s="2" t="n"/>
      <c r="C853" s="2" t="n"/>
      <c r="D853" s="2" t="n"/>
    </row>
    <row r="854" ht="15" customHeight="1">
      <c r="B854" s="2" t="n"/>
      <c r="C854" s="2" t="n"/>
      <c r="D854" s="2" t="n"/>
    </row>
    <row r="855" ht="15" customHeight="1">
      <c r="B855" s="2" t="n"/>
      <c r="C855" s="2" t="n"/>
      <c r="D855" s="2" t="n"/>
    </row>
    <row r="856" ht="15" customHeight="1">
      <c r="B856" s="2" t="n"/>
      <c r="C856" s="2" t="n"/>
      <c r="D856" s="2" t="n"/>
    </row>
    <row r="857" ht="15" customHeight="1">
      <c r="B857" s="2" t="n"/>
      <c r="C857" s="2" t="n"/>
      <c r="D857" s="2" t="n"/>
    </row>
    <row r="858" ht="15" customHeight="1">
      <c r="B858" s="2" t="n"/>
      <c r="C858" s="2" t="n"/>
      <c r="D858" s="2" t="n"/>
    </row>
    <row r="859" ht="15" customHeight="1">
      <c r="B859" s="2" t="n"/>
      <c r="C859" s="2" t="n"/>
      <c r="D859" s="2" t="n"/>
    </row>
    <row r="860" ht="15" customHeight="1">
      <c r="B860" s="2" t="n"/>
      <c r="C860" s="2" t="n"/>
      <c r="D860" s="2" t="n"/>
    </row>
    <row r="861" ht="15" customHeight="1">
      <c r="B861" s="2" t="n"/>
      <c r="C861" s="2" t="n"/>
      <c r="D861" s="2" t="n"/>
    </row>
    <row r="862" ht="15" customHeight="1">
      <c r="B862" s="2" t="n"/>
      <c r="C862" s="2" t="n"/>
      <c r="D862" s="2" t="n"/>
    </row>
    <row r="863" ht="15" customHeight="1">
      <c r="B863" s="2" t="n"/>
      <c r="C863" s="2" t="n"/>
      <c r="D863" s="2" t="n"/>
    </row>
    <row r="864" ht="15" customHeight="1">
      <c r="B864" s="2" t="n"/>
      <c r="C864" s="2" t="n"/>
      <c r="D864" s="2" t="n"/>
    </row>
    <row r="865" ht="15" customHeight="1">
      <c r="B865" s="2" t="n"/>
      <c r="C865" s="2" t="n"/>
      <c r="D865" s="2" t="n"/>
    </row>
    <row r="866" ht="15" customHeight="1">
      <c r="B866" s="2" t="n"/>
      <c r="C866" s="2" t="n"/>
      <c r="D866" s="2" t="n"/>
    </row>
    <row r="867" ht="15" customHeight="1">
      <c r="B867" s="2" t="n"/>
      <c r="C867" s="2" t="n"/>
      <c r="D867" s="2" t="n"/>
    </row>
    <row r="868" ht="15" customHeight="1">
      <c r="B868" s="2" t="n"/>
      <c r="C868" s="2" t="n"/>
      <c r="D868" s="2" t="n"/>
    </row>
    <row r="869" ht="15" customHeight="1">
      <c r="B869" s="2" t="n"/>
      <c r="C869" s="2" t="n"/>
      <c r="D869" s="2" t="n"/>
    </row>
    <row r="870" ht="15" customHeight="1">
      <c r="B870" s="2" t="n"/>
      <c r="C870" s="2" t="n"/>
      <c r="D870" s="2" t="n"/>
    </row>
    <row r="871" ht="15" customHeight="1">
      <c r="B871" s="2" t="n"/>
      <c r="C871" s="2" t="n"/>
      <c r="D871" s="2" t="n"/>
    </row>
    <row r="872" ht="15" customHeight="1">
      <c r="B872" s="2" t="n"/>
      <c r="C872" s="2" t="n"/>
      <c r="D872" s="2" t="n"/>
    </row>
    <row r="873" ht="15" customHeight="1">
      <c r="B873" s="2" t="n"/>
      <c r="C873" s="2" t="n"/>
      <c r="D873" s="2" t="n"/>
    </row>
    <row r="874" ht="15" customHeight="1">
      <c r="B874" s="2" t="n"/>
      <c r="C874" s="2" t="n"/>
      <c r="D874" s="2" t="n"/>
    </row>
    <row r="875" ht="15" customHeight="1">
      <c r="B875" s="2" t="n"/>
      <c r="C875" s="2" t="n"/>
      <c r="D875" s="2" t="n"/>
    </row>
    <row r="876" ht="15" customHeight="1">
      <c r="B876" s="2" t="n"/>
      <c r="C876" s="2" t="n"/>
      <c r="D876" s="2" t="n"/>
    </row>
    <row r="877" ht="15" customHeight="1">
      <c r="B877" s="2" t="n"/>
      <c r="C877" s="2" t="n"/>
      <c r="D877" s="2" t="n"/>
    </row>
    <row r="878" ht="15" customHeight="1">
      <c r="B878" s="2" t="n"/>
      <c r="C878" s="2" t="n"/>
      <c r="D878" s="2" t="n"/>
    </row>
    <row r="879" ht="15" customHeight="1">
      <c r="B879" s="2" t="n"/>
      <c r="C879" s="2" t="n"/>
      <c r="D879" s="2" t="n"/>
    </row>
    <row r="880" ht="15" customHeight="1">
      <c r="B880" s="2" t="n"/>
      <c r="C880" s="2" t="n"/>
      <c r="D880" s="2" t="n"/>
    </row>
    <row r="881" ht="15" customHeight="1">
      <c r="B881" s="2" t="n"/>
      <c r="C881" s="2" t="n"/>
      <c r="D881" s="2" t="n"/>
    </row>
    <row r="882" ht="15" customHeight="1">
      <c r="B882" s="2" t="n"/>
      <c r="C882" s="2" t="n"/>
      <c r="D882" s="2" t="n"/>
    </row>
    <row r="883" ht="15" customHeight="1">
      <c r="B883" s="2" t="n"/>
      <c r="C883" s="2" t="n"/>
      <c r="D883" s="2" t="n"/>
    </row>
    <row r="884" ht="15" customHeight="1">
      <c r="B884" s="2" t="n"/>
      <c r="C884" s="2" t="n"/>
      <c r="D884" s="2" t="n"/>
    </row>
    <row r="885" ht="15" customHeight="1">
      <c r="B885" s="2" t="n"/>
      <c r="C885" s="2" t="n"/>
      <c r="D885" s="2" t="n"/>
    </row>
    <row r="886" ht="15" customHeight="1">
      <c r="B886" s="2" t="n"/>
      <c r="C886" s="2" t="n"/>
      <c r="D886" s="2" t="n"/>
    </row>
    <row r="887" ht="15" customHeight="1">
      <c r="B887" s="2" t="n"/>
      <c r="C887" s="2" t="n"/>
      <c r="D887" s="2" t="n"/>
    </row>
    <row r="888" ht="15" customHeight="1">
      <c r="B888" s="2" t="n"/>
      <c r="C888" s="2" t="n"/>
      <c r="D888" s="2" t="n"/>
    </row>
    <row r="889" ht="15" customHeight="1">
      <c r="B889" s="2" t="n"/>
      <c r="C889" s="2" t="n"/>
      <c r="D889" s="2" t="n"/>
    </row>
    <row r="890" ht="15" customHeight="1">
      <c r="B890" s="2" t="n"/>
      <c r="C890" s="2" t="n"/>
      <c r="D890" s="2" t="n"/>
    </row>
    <row r="891" ht="15" customHeight="1">
      <c r="B891" s="2" t="n"/>
      <c r="C891" s="2" t="n"/>
      <c r="D891" s="2" t="n"/>
    </row>
    <row r="892" ht="15" customHeight="1">
      <c r="B892" s="2" t="n"/>
      <c r="C892" s="2" t="n"/>
      <c r="D892" s="2" t="n"/>
    </row>
    <row r="893" ht="15" customHeight="1">
      <c r="B893" s="2" t="n"/>
      <c r="C893" s="2" t="n"/>
      <c r="D893" s="2" t="n"/>
    </row>
    <row r="894" ht="15" customHeight="1">
      <c r="B894" s="2" t="n"/>
      <c r="C894" s="2" t="n"/>
      <c r="D894" s="2" t="n"/>
    </row>
    <row r="895" ht="15" customHeight="1">
      <c r="B895" s="2" t="n"/>
      <c r="C895" s="2" t="n"/>
      <c r="D895" s="2" t="n"/>
    </row>
    <row r="896" ht="15" customHeight="1">
      <c r="B896" s="2" t="n"/>
      <c r="C896" s="2" t="n"/>
      <c r="D896" s="2" t="n"/>
    </row>
    <row r="897" ht="15" customHeight="1">
      <c r="B897" s="2" t="n"/>
      <c r="C897" s="2" t="n"/>
      <c r="D897" s="2" t="n"/>
    </row>
    <row r="898" ht="15" customHeight="1">
      <c r="B898" s="2" t="n"/>
      <c r="C898" s="2" t="n"/>
      <c r="D898" s="2" t="n"/>
    </row>
    <row r="899" ht="15" customHeight="1">
      <c r="B899" s="2" t="n"/>
      <c r="C899" s="2" t="n"/>
      <c r="D899" s="2" t="n"/>
    </row>
    <row r="900" ht="15" customHeight="1">
      <c r="B900" s="2" t="n"/>
      <c r="C900" s="2" t="n"/>
      <c r="D900" s="2" t="n"/>
    </row>
    <row r="901" ht="15" customHeight="1">
      <c r="B901" s="2" t="n"/>
      <c r="C901" s="2" t="n"/>
      <c r="D901" s="2" t="n"/>
    </row>
    <row r="902" ht="15" customHeight="1">
      <c r="B902" s="2" t="n"/>
      <c r="C902" s="2" t="n"/>
      <c r="D902" s="2" t="n"/>
    </row>
    <row r="903" ht="15" customHeight="1">
      <c r="B903" s="2" t="n"/>
      <c r="C903" s="2" t="n"/>
      <c r="D903" s="2" t="n"/>
    </row>
    <row r="904" ht="15" customHeight="1">
      <c r="B904" s="2" t="n"/>
      <c r="C904" s="2" t="n"/>
      <c r="D904" s="2" t="n"/>
    </row>
    <row r="905" ht="15" customHeight="1">
      <c r="B905" s="2" t="n"/>
      <c r="C905" s="2" t="n"/>
      <c r="D905" s="2" t="n"/>
    </row>
    <row r="906" ht="15" customHeight="1">
      <c r="B906" s="2" t="n"/>
      <c r="C906" s="2" t="n"/>
      <c r="D906" s="2" t="n"/>
    </row>
    <row r="907" ht="15" customHeight="1">
      <c r="B907" s="2" t="n"/>
      <c r="C907" s="2" t="n"/>
      <c r="D907" s="2" t="n"/>
    </row>
    <row r="908" ht="15" customHeight="1">
      <c r="B908" s="2" t="n"/>
      <c r="C908" s="2" t="n"/>
      <c r="D908" s="2" t="n"/>
    </row>
    <row r="909" ht="15" customHeight="1">
      <c r="B909" s="2" t="n"/>
      <c r="C909" s="2" t="n"/>
      <c r="D909" s="2" t="n"/>
    </row>
    <row r="910" ht="15" customHeight="1">
      <c r="B910" s="2" t="n"/>
      <c r="C910" s="2" t="n"/>
      <c r="D910" s="2" t="n"/>
    </row>
    <row r="911" ht="15" customHeight="1">
      <c r="B911" s="2" t="n"/>
      <c r="C911" s="2" t="n"/>
      <c r="D911" s="2" t="n"/>
    </row>
    <row r="912" ht="15" customHeight="1">
      <c r="B912" s="2" t="n"/>
      <c r="C912" s="2" t="n"/>
      <c r="D912" s="2" t="n"/>
    </row>
    <row r="913" ht="15" customHeight="1">
      <c r="B913" s="2" t="n"/>
      <c r="C913" s="2" t="n"/>
      <c r="D913" s="2" t="n"/>
    </row>
    <row r="914" ht="15" customHeight="1">
      <c r="B914" s="2" t="n"/>
      <c r="C914" s="2" t="n"/>
      <c r="D914" s="2" t="n"/>
    </row>
    <row r="915" ht="15" customHeight="1">
      <c r="B915" s="2" t="n"/>
      <c r="C915" s="2" t="n"/>
      <c r="D915" s="2" t="n"/>
    </row>
    <row r="916" ht="15" customHeight="1">
      <c r="B916" s="2" t="n"/>
      <c r="C916" s="2" t="n"/>
      <c r="D916" s="2" t="n"/>
    </row>
    <row r="917" ht="15" customHeight="1">
      <c r="B917" s="2" t="n"/>
      <c r="C917" s="2" t="n"/>
      <c r="D917" s="2" t="n"/>
    </row>
    <row r="918" ht="15" customHeight="1">
      <c r="B918" s="2" t="n"/>
      <c r="C918" s="2" t="n"/>
      <c r="D918" s="2" t="n"/>
    </row>
    <row r="919" ht="15" customHeight="1">
      <c r="B919" s="2" t="n"/>
      <c r="C919" s="2" t="n"/>
      <c r="D919" s="2" t="n"/>
    </row>
    <row r="920" ht="15" customHeight="1">
      <c r="B920" s="2" t="n"/>
      <c r="C920" s="2" t="n"/>
      <c r="D920" s="2" t="n"/>
    </row>
    <row r="921" ht="15" customHeight="1">
      <c r="B921" s="2" t="n"/>
      <c r="C921" s="2" t="n"/>
      <c r="D921" s="2" t="n"/>
    </row>
    <row r="922" ht="15" customHeight="1">
      <c r="B922" s="2" t="n"/>
      <c r="C922" s="2" t="n"/>
      <c r="D922" s="2" t="n"/>
    </row>
    <row r="923" ht="15" customHeight="1">
      <c r="B923" s="2" t="n"/>
      <c r="C923" s="2" t="n"/>
      <c r="D923" s="2" t="n"/>
    </row>
    <row r="924" ht="15" customHeight="1">
      <c r="B924" s="2" t="n"/>
      <c r="C924" s="2" t="n"/>
      <c r="D924" s="2" t="n"/>
    </row>
    <row r="925" ht="15" customHeight="1">
      <c r="B925" s="2" t="n"/>
      <c r="C925" s="2" t="n"/>
      <c r="D925" s="2" t="n"/>
    </row>
    <row r="926" ht="15" customHeight="1">
      <c r="B926" s="2" t="n"/>
      <c r="C926" s="2" t="n"/>
      <c r="D926" s="2" t="n"/>
    </row>
    <row r="927" ht="15" customHeight="1">
      <c r="B927" s="2" t="n"/>
      <c r="C927" s="2" t="n"/>
      <c r="D927" s="2" t="n"/>
    </row>
    <row r="928" ht="15" customHeight="1">
      <c r="B928" s="2" t="n"/>
      <c r="C928" s="2" t="n"/>
      <c r="D928" s="2" t="n"/>
    </row>
    <row r="929" ht="15" customHeight="1">
      <c r="B929" s="2" t="n"/>
      <c r="C929" s="2" t="n"/>
      <c r="D929" s="2" t="n"/>
    </row>
    <row r="930" ht="15" customHeight="1">
      <c r="B930" s="2" t="n"/>
      <c r="C930" s="2" t="n"/>
      <c r="D930" s="2" t="n"/>
    </row>
    <row r="931" ht="15" customHeight="1">
      <c r="B931" s="2" t="n"/>
      <c r="C931" s="2" t="n"/>
      <c r="D931" s="2" t="n"/>
    </row>
    <row r="932" ht="15" customHeight="1">
      <c r="B932" s="2" t="n"/>
      <c r="C932" s="2" t="n"/>
      <c r="D932" s="2" t="n"/>
    </row>
    <row r="933" ht="15" customHeight="1">
      <c r="B933" s="2" t="n"/>
      <c r="C933" s="2" t="n"/>
      <c r="D933" s="2" t="n"/>
    </row>
    <row r="934" ht="15" customHeight="1">
      <c r="B934" s="2" t="n"/>
      <c r="C934" s="2" t="n"/>
      <c r="D934" s="2" t="n"/>
    </row>
    <row r="935" ht="15" customHeight="1">
      <c r="B935" s="2" t="n"/>
      <c r="C935" s="2" t="n"/>
      <c r="D935" s="2" t="n"/>
    </row>
    <row r="936" ht="15" customHeight="1">
      <c r="B936" s="2" t="n"/>
      <c r="C936" s="2" t="n"/>
      <c r="D936" s="2" t="n"/>
    </row>
    <row r="937" ht="15" customHeight="1">
      <c r="B937" s="2" t="n"/>
      <c r="C937" s="2" t="n"/>
      <c r="D937" s="2" t="n"/>
    </row>
    <row r="938" ht="15" customHeight="1">
      <c r="B938" s="2" t="n"/>
      <c r="C938" s="2" t="n"/>
      <c r="D938" s="2" t="n"/>
    </row>
    <row r="939" ht="15" customHeight="1">
      <c r="B939" s="2" t="n"/>
      <c r="C939" s="2" t="n"/>
      <c r="D939" s="2" t="n"/>
    </row>
    <row r="940" ht="15" customHeight="1">
      <c r="B940" s="2" t="n"/>
      <c r="C940" s="2" t="n"/>
      <c r="D940" s="2" t="n"/>
    </row>
    <row r="941" ht="15" customHeight="1">
      <c r="B941" s="2" t="n"/>
      <c r="C941" s="2" t="n"/>
      <c r="D941" s="2" t="n"/>
    </row>
    <row r="942" ht="15" customHeight="1">
      <c r="B942" s="2" t="n"/>
      <c r="C942" s="2" t="n"/>
      <c r="D942" s="2" t="n"/>
    </row>
    <row r="943" ht="15" customHeight="1">
      <c r="B943" s="2" t="n"/>
      <c r="C943" s="2" t="n"/>
      <c r="D943" s="2" t="n"/>
    </row>
    <row r="944" ht="15" customHeight="1">
      <c r="B944" s="2" t="n"/>
      <c r="C944" s="2" t="n"/>
      <c r="D944" s="2" t="n"/>
    </row>
    <row r="945" ht="15" customHeight="1">
      <c r="B945" s="2" t="n"/>
      <c r="C945" s="2" t="n"/>
      <c r="D945" s="2" t="n"/>
    </row>
    <row r="946" ht="15" customHeight="1">
      <c r="B946" s="2" t="n"/>
      <c r="C946" s="2" t="n"/>
      <c r="D946" s="2" t="n"/>
    </row>
    <row r="947" ht="15" customHeight="1">
      <c r="B947" s="2" t="n"/>
      <c r="C947" s="2" t="n"/>
      <c r="D947" s="2" t="n"/>
    </row>
    <row r="948" ht="15" customHeight="1">
      <c r="B948" s="2" t="n"/>
      <c r="C948" s="2" t="n"/>
      <c r="D948" s="2" t="n"/>
    </row>
    <row r="949" ht="15" customHeight="1">
      <c r="B949" s="2" t="n"/>
      <c r="C949" s="2" t="n"/>
      <c r="D949" s="2" t="n"/>
    </row>
    <row r="950" ht="15" customHeight="1">
      <c r="B950" s="2" t="n"/>
      <c r="C950" s="2" t="n"/>
      <c r="D950" s="2" t="n"/>
    </row>
    <row r="951" ht="15" customHeight="1">
      <c r="B951" s="2" t="n"/>
      <c r="C951" s="2" t="n"/>
      <c r="D951" s="2" t="n"/>
    </row>
    <row r="952" ht="15" customHeight="1">
      <c r="B952" s="2" t="n"/>
      <c r="C952" s="2" t="n"/>
      <c r="D952" s="2" t="n"/>
    </row>
    <row r="953" ht="15" customHeight="1">
      <c r="B953" s="2" t="n"/>
      <c r="C953" s="2" t="n"/>
      <c r="D953" s="2" t="n"/>
    </row>
    <row r="954" ht="15" customHeight="1">
      <c r="B954" s="2" t="n"/>
      <c r="C954" s="2" t="n"/>
      <c r="D954" s="2" t="n"/>
    </row>
    <row r="955" ht="15" customHeight="1">
      <c r="B955" s="2" t="n"/>
      <c r="C955" s="2" t="n"/>
      <c r="D955" s="2" t="n"/>
    </row>
    <row r="956" ht="15" customHeight="1">
      <c r="B956" s="2" t="n"/>
      <c r="C956" s="2" t="n"/>
      <c r="D956" s="2" t="n"/>
    </row>
    <row r="957" ht="15" customHeight="1">
      <c r="B957" s="2" t="n"/>
      <c r="C957" s="2" t="n"/>
      <c r="D957" s="2" t="n"/>
    </row>
    <row r="958" ht="15" customHeight="1">
      <c r="B958" s="2" t="n"/>
      <c r="C958" s="2" t="n"/>
      <c r="D958" s="2" t="n"/>
    </row>
    <row r="959" ht="15" customHeight="1">
      <c r="B959" s="2" t="n"/>
      <c r="C959" s="2" t="n"/>
      <c r="D959" s="2" t="n"/>
    </row>
    <row r="960" ht="15" customHeight="1">
      <c r="B960" s="2" t="n"/>
      <c r="C960" s="2" t="n"/>
      <c r="D960" s="2" t="n"/>
    </row>
    <row r="961" ht="15" customHeight="1">
      <c r="B961" s="2" t="n"/>
      <c r="C961" s="2" t="n"/>
      <c r="D961" s="2" t="n"/>
    </row>
    <row r="962" ht="15" customHeight="1">
      <c r="B962" s="2" t="n"/>
      <c r="C962" s="2" t="n"/>
      <c r="D962" s="2" t="n"/>
    </row>
    <row r="963" ht="15" customHeight="1">
      <c r="B963" s="2" t="n"/>
      <c r="C963" s="2" t="n"/>
      <c r="D963" s="2" t="n"/>
    </row>
    <row r="964" ht="15" customHeight="1">
      <c r="B964" s="2" t="n"/>
      <c r="C964" s="2" t="n"/>
      <c r="D964" s="2" t="n"/>
    </row>
    <row r="965" ht="15" customHeight="1">
      <c r="B965" s="2" t="n"/>
      <c r="C965" s="2" t="n"/>
      <c r="D965" s="2" t="n"/>
    </row>
    <row r="966" ht="15" customHeight="1">
      <c r="B966" s="2" t="n"/>
      <c r="C966" s="2" t="n"/>
      <c r="D966" s="2" t="n"/>
    </row>
    <row r="967" ht="15" customHeight="1">
      <c r="B967" s="2" t="n"/>
      <c r="C967" s="2" t="n"/>
      <c r="D967" s="2" t="n"/>
    </row>
    <row r="968" ht="15" customHeight="1">
      <c r="B968" s="2" t="n"/>
      <c r="C968" s="2" t="n"/>
      <c r="D968" s="2" t="n"/>
    </row>
    <row r="969" ht="15" customHeight="1">
      <c r="B969" s="2" t="n"/>
      <c r="C969" s="2" t="n"/>
      <c r="D969" s="2" t="n"/>
    </row>
    <row r="970" ht="15" customHeight="1">
      <c r="B970" s="2" t="n"/>
      <c r="C970" s="2" t="n"/>
      <c r="D970" s="2" t="n"/>
    </row>
    <row r="971" ht="15" customHeight="1">
      <c r="B971" s="2" t="n"/>
      <c r="C971" s="2" t="n"/>
      <c r="D971" s="2" t="n"/>
    </row>
    <row r="972" ht="15" customHeight="1">
      <c r="B972" s="2" t="n"/>
      <c r="C972" s="2" t="n"/>
      <c r="D972" s="2" t="n"/>
    </row>
    <row r="973" ht="15" customHeight="1">
      <c r="B973" s="2" t="n"/>
      <c r="C973" s="2" t="n"/>
      <c r="D973" s="2" t="n"/>
    </row>
    <row r="974" ht="15" customHeight="1">
      <c r="B974" s="2" t="n"/>
      <c r="C974" s="2" t="n"/>
      <c r="D974" s="2" t="n"/>
    </row>
    <row r="975" ht="15" customHeight="1">
      <c r="B975" s="2" t="n"/>
      <c r="C975" s="2" t="n"/>
      <c r="D975" s="2" t="n"/>
    </row>
    <row r="976" ht="15" customHeight="1">
      <c r="B976" s="2" t="n"/>
      <c r="C976" s="2" t="n"/>
      <c r="D976" s="2" t="n"/>
    </row>
    <row r="977" ht="15" customHeight="1">
      <c r="B977" s="2" t="n"/>
      <c r="C977" s="2" t="n"/>
      <c r="D977" s="2" t="n"/>
    </row>
    <row r="978" ht="15" customHeight="1">
      <c r="B978" s="2" t="n"/>
      <c r="C978" s="2" t="n"/>
      <c r="D978" s="2" t="n"/>
    </row>
    <row r="979" ht="15" customHeight="1">
      <c r="B979" s="2" t="n"/>
      <c r="C979" s="2" t="n"/>
      <c r="D979" s="2" t="n"/>
    </row>
    <row r="980" ht="15" customHeight="1">
      <c r="B980" s="2" t="n"/>
      <c r="C980" s="2" t="n"/>
      <c r="D980" s="2" t="n"/>
    </row>
    <row r="981" ht="15" customHeight="1">
      <c r="B981" s="2" t="n"/>
      <c r="C981" s="2" t="n"/>
      <c r="D981" s="2" t="n"/>
    </row>
    <row r="982" ht="15" customHeight="1">
      <c r="B982" s="2" t="n"/>
      <c r="C982" s="2" t="n"/>
      <c r="D982" s="2" t="n"/>
    </row>
    <row r="983" ht="15" customHeight="1">
      <c r="B983" s="2" t="n"/>
      <c r="C983" s="2" t="n"/>
      <c r="D983" s="2" t="n"/>
    </row>
    <row r="984" ht="15" customHeight="1">
      <c r="B984" s="2" t="n"/>
      <c r="C984" s="2" t="n"/>
      <c r="D984" s="2" t="n"/>
    </row>
    <row r="985" ht="15" customHeight="1">
      <c r="B985" s="2" t="n"/>
      <c r="C985" s="2" t="n"/>
      <c r="D985" s="2" t="n"/>
    </row>
    <row r="986" ht="15" customHeight="1">
      <c r="B986" s="2" t="n"/>
      <c r="C986" s="2" t="n"/>
      <c r="D986" s="2" t="n"/>
    </row>
    <row r="987" ht="15" customHeight="1">
      <c r="B987" s="2" t="n"/>
      <c r="C987" s="2" t="n"/>
      <c r="D987" s="2" t="n"/>
    </row>
    <row r="988" ht="15" customHeight="1">
      <c r="B988" s="2" t="n"/>
      <c r="C988" s="2" t="n"/>
      <c r="D988" s="2" t="n"/>
    </row>
    <row r="989" ht="15" customHeight="1">
      <c r="B989" s="2" t="n"/>
      <c r="C989" s="2" t="n"/>
      <c r="D989" s="2" t="n"/>
    </row>
    <row r="990" ht="15" customHeight="1">
      <c r="B990" s="2" t="n"/>
      <c r="C990" s="2" t="n"/>
      <c r="D990" s="2" t="n"/>
    </row>
    <row r="991" ht="15" customHeight="1">
      <c r="B991" s="2" t="n"/>
      <c r="C991" s="2" t="n"/>
      <c r="D991" s="2" t="n"/>
    </row>
    <row r="992" ht="15" customHeight="1">
      <c r="B992" s="2" t="n"/>
      <c r="C992" s="2" t="n"/>
      <c r="D992" s="2" t="n"/>
    </row>
    <row r="993" ht="15" customHeight="1">
      <c r="B993" s="2" t="n"/>
      <c r="C993" s="2" t="n"/>
      <c r="D993" s="2" t="n"/>
    </row>
    <row r="994" ht="15" customHeight="1">
      <c r="B994" s="2" t="n"/>
      <c r="C994" s="2" t="n"/>
      <c r="D994" s="2" t="n"/>
    </row>
    <row r="995" ht="15" customHeight="1">
      <c r="B995" s="2" t="n"/>
      <c r="C995" s="2" t="n"/>
      <c r="D995" s="2" t="n"/>
    </row>
    <row r="996" ht="15" customHeight="1">
      <c r="B996" s="2" t="n"/>
      <c r="C996" s="2" t="n"/>
      <c r="D996" s="2" t="n"/>
    </row>
    <row r="997" ht="15" customHeight="1">
      <c r="B997" s="2" t="n"/>
      <c r="C997" s="2" t="n"/>
      <c r="D997" s="2" t="n"/>
    </row>
    <row r="998" ht="15" customHeight="1">
      <c r="B998" s="2" t="n"/>
      <c r="C998" s="2" t="n"/>
      <c r="D998" s="2" t="n"/>
    </row>
    <row r="999" ht="15" customHeight="1">
      <c r="B999" s="2" t="n"/>
      <c r="C999" s="2" t="n"/>
      <c r="D999" s="2" t="n"/>
    </row>
    <row r="1000" ht="15" customHeight="1">
      <c r="B1000" s="2" t="n"/>
      <c r="C1000" s="2" t="n"/>
      <c r="D1000" s="2" t="n"/>
    </row>
    <row r="1001" ht="15" customHeight="1">
      <c r="B1001" s="2" t="n"/>
      <c r="C1001" s="2" t="n"/>
      <c r="D1001" s="2" t="n"/>
    </row>
    <row r="1002" ht="15" customHeight="1">
      <c r="B1002" s="2" t="n"/>
      <c r="C1002" s="2" t="n"/>
      <c r="D1002" s="2" t="n"/>
    </row>
    <row r="1003" ht="15" customHeight="1">
      <c r="B1003" s="2" t="n"/>
      <c r="C1003" s="2" t="n"/>
      <c r="D1003" s="2" t="n"/>
    </row>
    <row r="1004" ht="15" customHeight="1">
      <c r="B1004" s="2" t="n"/>
      <c r="C1004" s="2" t="n"/>
      <c r="D1004" s="2" t="n"/>
    </row>
    <row r="1005" ht="15" customHeight="1">
      <c r="B1005" s="2" t="n"/>
      <c r="C1005" s="2" t="n"/>
      <c r="D1005" s="2" t="n"/>
    </row>
    <row r="1006" ht="15" customHeight="1">
      <c r="B1006" s="2" t="n"/>
      <c r="C1006" s="2" t="n"/>
      <c r="D1006" s="2" t="n"/>
    </row>
    <row r="1007" ht="15" customHeight="1">
      <c r="B1007" s="2" t="n"/>
      <c r="C1007" s="2" t="n"/>
      <c r="D1007" s="2" t="n"/>
    </row>
    <row r="1008" ht="15" customHeight="1">
      <c r="B1008" s="2" t="n"/>
      <c r="C1008" s="2" t="n"/>
      <c r="D1008" s="2" t="n"/>
    </row>
    <row r="1009" ht="15" customHeight="1">
      <c r="B1009" s="2" t="n"/>
      <c r="C1009" s="2" t="n"/>
      <c r="D1009" s="2" t="n"/>
    </row>
    <row r="1010" ht="15" customHeight="1">
      <c r="B1010" s="2" t="n"/>
      <c r="C1010" s="2" t="n"/>
      <c r="D1010" s="2" t="n"/>
    </row>
    <row r="1011" ht="15" customHeight="1">
      <c r="B1011" s="2" t="n"/>
      <c r="C1011" s="2" t="n"/>
      <c r="D1011" s="2" t="n"/>
    </row>
    <row r="1012" ht="15" customHeight="1">
      <c r="B1012" s="2" t="n"/>
      <c r="C1012" s="2" t="n"/>
      <c r="D1012" s="2" t="n"/>
    </row>
    <row r="1013" ht="15" customHeight="1">
      <c r="B1013" s="2" t="n"/>
      <c r="C1013" s="2" t="n"/>
      <c r="D1013" s="2" t="n"/>
    </row>
    <row r="1014" ht="15" customHeight="1">
      <c r="B1014" s="2" t="n"/>
      <c r="C1014" s="2" t="n"/>
      <c r="D1014" s="2" t="n"/>
    </row>
    <row r="1015" ht="15" customHeight="1">
      <c r="B1015" s="2" t="n"/>
      <c r="C1015" s="2" t="n"/>
      <c r="D1015" s="2" t="n"/>
    </row>
    <row r="1016" ht="15" customHeight="1">
      <c r="B1016" s="2" t="n"/>
      <c r="C1016" s="2" t="n"/>
      <c r="D1016" s="2" t="n"/>
    </row>
    <row r="1017" ht="15" customHeight="1">
      <c r="B1017" s="2" t="n"/>
      <c r="C1017" s="2" t="n"/>
      <c r="D1017" s="2" t="n"/>
    </row>
    <row r="1018" ht="15" customHeight="1">
      <c r="B1018" s="2" t="n"/>
      <c r="C1018" s="2" t="n"/>
      <c r="D1018" s="2" t="n"/>
    </row>
    <row r="1019" ht="15" customHeight="1">
      <c r="B1019" s="2" t="n"/>
      <c r="C1019" s="2" t="n"/>
      <c r="D1019" s="2" t="n"/>
    </row>
    <row r="1020" ht="15" customHeight="1">
      <c r="B1020" s="2" t="n"/>
      <c r="C1020" s="2" t="n"/>
      <c r="D1020" s="2" t="n"/>
    </row>
    <row r="1021" ht="15" customHeight="1">
      <c r="B1021" s="2" t="n"/>
      <c r="C1021" s="2" t="n"/>
      <c r="D1021" s="2" t="n"/>
    </row>
    <row r="1022" ht="15" customHeight="1">
      <c r="B1022" s="2" t="n"/>
      <c r="C1022" s="2" t="n"/>
      <c r="D1022" s="2" t="n"/>
    </row>
    <row r="1023" ht="15" customHeight="1">
      <c r="B1023" s="2" t="n"/>
      <c r="C1023" s="2" t="n"/>
      <c r="D1023" s="2" t="n"/>
    </row>
    <row r="1024" ht="15" customHeight="1">
      <c r="B1024" s="2" t="n"/>
      <c r="C1024" s="2" t="n"/>
      <c r="D1024" s="2" t="n"/>
    </row>
    <row r="1025" ht="15" customHeight="1">
      <c r="B1025" s="2" t="n"/>
      <c r="C1025" s="2" t="n"/>
      <c r="D1025" s="2" t="n"/>
    </row>
    <row r="1026" ht="15" customHeight="1">
      <c r="B1026" s="2" t="n"/>
      <c r="C1026" s="2" t="n"/>
      <c r="D1026" s="2" t="n"/>
    </row>
    <row r="1027" ht="15" customHeight="1">
      <c r="B1027" s="2" t="n"/>
      <c r="C1027" s="2" t="n"/>
      <c r="D1027" s="2" t="n"/>
    </row>
    <row r="1028" ht="15" customHeight="1">
      <c r="B1028" s="2" t="n"/>
      <c r="C1028" s="2" t="n"/>
      <c r="D1028" s="2" t="n"/>
    </row>
    <row r="1029" ht="15" customHeight="1">
      <c r="B1029" s="2" t="n"/>
      <c r="C1029" s="2" t="n"/>
      <c r="D1029" s="2" t="n"/>
    </row>
    <row r="1030" ht="15" customHeight="1">
      <c r="B1030" s="2" t="n"/>
      <c r="C1030" s="2" t="n"/>
      <c r="D1030" s="2" t="n"/>
    </row>
    <row r="1031" ht="15" customHeight="1">
      <c r="B1031" s="2" t="n"/>
      <c r="C1031" s="2" t="n"/>
      <c r="D1031" s="2" t="n"/>
    </row>
    <row r="1032" ht="15" customHeight="1">
      <c r="B1032" s="2" t="n"/>
      <c r="C1032" s="2" t="n"/>
      <c r="D1032" s="2" t="n"/>
    </row>
    <row r="1033" ht="15" customHeight="1">
      <c r="B1033" s="2" t="n"/>
      <c r="C1033" s="2" t="n"/>
      <c r="D1033" s="2" t="n"/>
    </row>
    <row r="1034" ht="15" customHeight="1">
      <c r="B1034" s="2" t="n"/>
      <c r="C1034" s="2" t="n"/>
      <c r="D1034" s="2" t="n"/>
    </row>
    <row r="1035" ht="15" customHeight="1">
      <c r="B1035" s="2" t="n"/>
      <c r="C1035" s="2" t="n"/>
      <c r="D1035" s="2" t="n"/>
    </row>
    <row r="1036" ht="15" customHeight="1">
      <c r="B1036" s="2" t="n"/>
      <c r="C1036" s="2" t="n"/>
      <c r="D1036" s="2" t="n"/>
    </row>
    <row r="1037" ht="15" customHeight="1">
      <c r="B1037" s="2" t="n"/>
      <c r="C1037" s="2" t="n"/>
      <c r="D1037" s="2" t="n"/>
    </row>
    <row r="1038" ht="15" customHeight="1">
      <c r="B1038" s="2" t="n"/>
      <c r="C1038" s="2" t="n"/>
      <c r="D1038" s="2" t="n"/>
    </row>
    <row r="1039" ht="15" customHeight="1">
      <c r="B1039" s="2" t="n"/>
      <c r="C1039" s="2" t="n"/>
      <c r="D1039" s="2" t="n"/>
    </row>
    <row r="1040" ht="15" customHeight="1">
      <c r="B1040" s="2" t="n"/>
      <c r="C1040" s="2" t="n"/>
      <c r="D1040" s="2" t="n"/>
    </row>
    <row r="1041" ht="15" customHeight="1">
      <c r="B1041" s="2" t="n"/>
      <c r="C1041" s="2" t="n"/>
      <c r="D1041" s="2" t="n"/>
    </row>
    <row r="1042" ht="15" customHeight="1">
      <c r="B1042" s="2" t="n"/>
      <c r="C1042" s="2" t="n"/>
      <c r="D1042" s="2" t="n"/>
    </row>
    <row r="1043" ht="15" customHeight="1">
      <c r="B1043" s="2" t="n"/>
      <c r="C1043" s="2" t="n"/>
      <c r="D1043" s="2" t="n"/>
    </row>
    <row r="1044" ht="15" customHeight="1">
      <c r="B1044" s="2" t="n"/>
      <c r="C1044" s="2" t="n"/>
      <c r="D1044" s="2" t="n"/>
    </row>
    <row r="1045" ht="15" customHeight="1">
      <c r="B1045" s="2" t="n"/>
      <c r="C1045" s="2" t="n"/>
      <c r="D1045" s="2" t="n"/>
    </row>
    <row r="1046" ht="15" customHeight="1">
      <c r="B1046" s="2" t="n"/>
      <c r="C1046" s="2" t="n"/>
      <c r="D1046" s="2" t="n"/>
    </row>
    <row r="1047" ht="15" customHeight="1">
      <c r="B1047" s="2" t="n"/>
      <c r="C1047" s="2" t="n"/>
      <c r="D1047" s="2" t="n"/>
    </row>
    <row r="1048" ht="15" customHeight="1">
      <c r="B1048" s="2" t="n"/>
      <c r="C1048" s="2" t="n"/>
      <c r="D1048" s="2" t="n"/>
    </row>
    <row r="1049" ht="15" customHeight="1">
      <c r="B1049" s="2" t="n"/>
      <c r="C1049" s="2" t="n"/>
      <c r="D1049" s="2" t="n"/>
    </row>
    <row r="1050" ht="15" customHeight="1">
      <c r="B1050" s="2" t="n"/>
      <c r="C1050" s="2" t="n"/>
      <c r="D1050" s="2" t="n"/>
    </row>
    <row r="1051" ht="15" customHeight="1">
      <c r="B1051" s="2" t="n"/>
      <c r="C1051" s="2" t="n"/>
      <c r="D1051" s="2" t="n"/>
    </row>
    <row r="1052" ht="15" customHeight="1">
      <c r="B1052" s="2" t="n"/>
      <c r="C1052" s="2" t="n"/>
      <c r="D1052" s="2" t="n"/>
    </row>
    <row r="1053" ht="15" customHeight="1">
      <c r="B1053" s="2" t="n"/>
      <c r="C1053" s="2" t="n"/>
      <c r="D1053" s="2" t="n"/>
    </row>
    <row r="1054" ht="15" customHeight="1">
      <c r="B1054" s="2" t="n"/>
      <c r="C1054" s="2" t="n"/>
      <c r="D1054" s="2" t="n"/>
    </row>
    <row r="1055" ht="15" customHeight="1">
      <c r="B1055" s="2" t="n"/>
      <c r="C1055" s="2" t="n"/>
      <c r="D1055" s="2" t="n"/>
    </row>
    <row r="1056" ht="15" customHeight="1">
      <c r="B1056" s="2" t="n"/>
      <c r="C1056" s="2" t="n"/>
      <c r="D1056" s="2" t="n"/>
    </row>
    <row r="1057" ht="15" customHeight="1">
      <c r="B1057" s="2" t="n"/>
      <c r="C1057" s="2" t="n"/>
      <c r="D1057" s="2" t="n"/>
    </row>
    <row r="1058" ht="15" customHeight="1">
      <c r="B1058" s="2" t="n"/>
      <c r="C1058" s="2" t="n"/>
      <c r="D1058" s="2" t="n"/>
    </row>
    <row r="1059" ht="15" customHeight="1">
      <c r="B1059" s="2" t="n"/>
      <c r="C1059" s="2" t="n"/>
      <c r="D1059" s="2" t="n"/>
    </row>
    <row r="1060" ht="15" customHeight="1">
      <c r="B1060" s="2" t="n"/>
      <c r="C1060" s="2" t="n"/>
      <c r="D1060" s="2" t="n"/>
    </row>
    <row r="1061" ht="15" customHeight="1">
      <c r="B1061" s="2" t="n"/>
      <c r="C1061" s="2" t="n"/>
      <c r="D1061" s="2" t="n"/>
    </row>
    <row r="1062" ht="15" customHeight="1">
      <c r="B1062" s="2" t="n"/>
      <c r="C1062" s="2" t="n"/>
      <c r="D1062" s="2" t="n"/>
    </row>
    <row r="1063" ht="15" customHeight="1">
      <c r="B1063" s="2" t="n"/>
      <c r="C1063" s="2" t="n"/>
      <c r="D1063" s="2" t="n"/>
    </row>
    <row r="1064" ht="15" customHeight="1">
      <c r="B1064" s="2" t="n"/>
      <c r="C1064" s="2" t="n"/>
      <c r="D1064" s="2" t="n"/>
    </row>
    <row r="1065" ht="15" customHeight="1">
      <c r="B1065" s="2" t="n"/>
      <c r="C1065" s="2" t="n"/>
      <c r="D1065" s="2" t="n"/>
    </row>
    <row r="1066" ht="15" customHeight="1">
      <c r="B1066" s="2" t="n"/>
      <c r="C1066" s="2" t="n"/>
      <c r="D1066" s="2" t="n"/>
    </row>
    <row r="1067" ht="15" customHeight="1">
      <c r="B1067" s="2" t="n"/>
      <c r="C1067" s="2" t="n"/>
      <c r="D1067" s="2" t="n"/>
    </row>
    <row r="1068" ht="15" customHeight="1">
      <c r="B1068" s="2" t="n"/>
      <c r="C1068" s="2" t="n"/>
      <c r="D1068" s="2" t="n"/>
    </row>
    <row r="1069" ht="15" customHeight="1">
      <c r="B1069" s="2" t="n"/>
      <c r="C1069" s="2" t="n"/>
      <c r="D1069" s="2" t="n"/>
    </row>
    <row r="1070" ht="15" customHeight="1">
      <c r="B1070" s="2" t="n"/>
      <c r="C1070" s="2" t="n"/>
      <c r="D1070" s="2" t="n"/>
    </row>
    <row r="1071" ht="15" customHeight="1">
      <c r="B1071" s="2" t="n"/>
      <c r="C1071" s="2" t="n"/>
      <c r="D1071" s="2" t="n"/>
    </row>
    <row r="1072" ht="15" customHeight="1">
      <c r="B1072" s="2" t="n"/>
      <c r="C1072" s="2" t="n"/>
      <c r="D1072" s="2" t="n"/>
    </row>
    <row r="1073" ht="15" customHeight="1">
      <c r="B1073" s="2" t="n"/>
      <c r="C1073" s="2" t="n"/>
      <c r="D1073" s="2" t="n"/>
    </row>
    <row r="1074" ht="15" customHeight="1">
      <c r="B1074" s="2" t="n"/>
      <c r="C1074" s="2" t="n"/>
      <c r="D1074" s="2" t="n"/>
    </row>
    <row r="1075" ht="15" customHeight="1">
      <c r="B1075" s="2" t="n"/>
      <c r="C1075" s="2" t="n"/>
      <c r="D1075" s="2" t="n"/>
    </row>
    <row r="1076" ht="15" customHeight="1">
      <c r="B1076" s="2" t="n"/>
      <c r="C1076" s="2" t="n"/>
      <c r="D1076" s="2" t="n"/>
    </row>
    <row r="1077" ht="15" customHeight="1">
      <c r="B1077" s="2" t="n"/>
      <c r="C1077" s="2" t="n"/>
      <c r="D1077" s="2" t="n"/>
    </row>
    <row r="1078" ht="15" customHeight="1">
      <c r="B1078" s="2" t="n"/>
      <c r="C1078" s="2" t="n"/>
      <c r="D1078" s="2" t="n"/>
    </row>
    <row r="1079" ht="15" customHeight="1">
      <c r="B1079" s="2" t="n"/>
      <c r="C1079" s="2" t="n"/>
      <c r="D1079" s="2" t="n"/>
    </row>
    <row r="1080" ht="15" customHeight="1">
      <c r="B1080" s="2" t="n"/>
      <c r="C1080" s="2" t="n"/>
      <c r="D1080" s="2" t="n"/>
    </row>
    <row r="1081" ht="15" customHeight="1">
      <c r="B1081" s="2" t="n"/>
      <c r="C1081" s="2" t="n"/>
      <c r="D1081" s="2" t="n"/>
    </row>
    <row r="1082" ht="15" customHeight="1">
      <c r="B1082" s="2" t="n"/>
      <c r="C1082" s="2" t="n"/>
      <c r="D1082" s="2" t="n"/>
    </row>
    <row r="1083" ht="15" customHeight="1">
      <c r="B1083" s="2" t="n"/>
      <c r="C1083" s="2" t="n"/>
      <c r="D1083" s="2" t="n"/>
    </row>
    <row r="1084" ht="15" customHeight="1">
      <c r="B1084" s="2" t="n"/>
      <c r="C1084" s="2" t="n"/>
      <c r="D1084" s="2" t="n"/>
    </row>
    <row r="1085" ht="15" customHeight="1">
      <c r="B1085" s="2" t="n"/>
      <c r="C1085" s="2" t="n"/>
      <c r="D1085" s="2" t="n"/>
    </row>
    <row r="1086" ht="15" customHeight="1">
      <c r="B1086" s="2" t="n"/>
      <c r="C1086" s="2" t="n"/>
      <c r="D1086" s="2" t="n"/>
    </row>
    <row r="1087" ht="15" customHeight="1">
      <c r="B1087" s="2" t="n"/>
      <c r="C1087" s="2" t="n"/>
      <c r="D1087" s="2" t="n"/>
    </row>
    <row r="1088" ht="15" customHeight="1">
      <c r="B1088" s="2" t="n"/>
      <c r="C1088" s="2" t="n"/>
      <c r="D1088" s="2" t="n"/>
    </row>
    <row r="1089" ht="15" customHeight="1">
      <c r="B1089" s="2" t="n"/>
      <c r="C1089" s="2" t="n"/>
      <c r="D1089" s="2" t="n"/>
    </row>
    <row r="1090" ht="15" customHeight="1">
      <c r="B1090" s="2" t="n"/>
      <c r="C1090" s="2" t="n"/>
      <c r="D1090" s="2" t="n"/>
    </row>
    <row r="1091" ht="15" customHeight="1">
      <c r="B1091" s="2" t="n"/>
      <c r="C1091" s="2" t="n"/>
      <c r="D1091" s="2" t="n"/>
    </row>
    <row r="1092" ht="15" customHeight="1">
      <c r="B1092" s="2" t="n"/>
      <c r="C1092" s="2" t="n"/>
      <c r="D1092" s="2" t="n"/>
    </row>
    <row r="1093" ht="15" customHeight="1">
      <c r="B1093" s="2" t="n"/>
      <c r="C1093" s="2" t="n"/>
      <c r="D1093" s="2" t="n"/>
    </row>
    <row r="1094" ht="15" customHeight="1">
      <c r="B1094" s="2" t="n"/>
      <c r="C1094" s="2" t="n"/>
      <c r="D1094" s="2" t="n"/>
    </row>
    <row r="1095" ht="15" customHeight="1">
      <c r="B1095" s="2" t="n"/>
      <c r="C1095" s="2" t="n"/>
      <c r="D1095" s="2" t="n"/>
    </row>
    <row r="1096" ht="15" customHeight="1">
      <c r="B1096" s="2" t="n"/>
      <c r="C1096" s="2" t="n"/>
      <c r="D1096" s="2" t="n"/>
    </row>
    <row r="1097" ht="15" customHeight="1">
      <c r="B1097" s="2" t="n"/>
      <c r="C1097" s="2" t="n"/>
      <c r="D1097" s="2" t="n"/>
    </row>
    <row r="1098" ht="15" customHeight="1">
      <c r="B1098" s="2" t="n"/>
      <c r="C1098" s="2" t="n"/>
      <c r="D1098" s="2" t="n"/>
    </row>
    <row r="1099" ht="15" customHeight="1">
      <c r="B1099" s="2" t="n"/>
      <c r="C1099" s="2" t="n"/>
      <c r="D1099" s="2" t="n"/>
    </row>
    <row r="1100" ht="15" customHeight="1">
      <c r="B1100" s="2" t="n"/>
      <c r="C1100" s="2" t="n"/>
      <c r="D1100" s="2" t="n"/>
    </row>
    <row r="1101" ht="15" customHeight="1">
      <c r="B1101" s="2" t="n"/>
      <c r="C1101" s="2" t="n"/>
      <c r="D1101" s="2" t="n"/>
    </row>
    <row r="1102" ht="15" customHeight="1">
      <c r="B1102" s="2" t="n"/>
      <c r="C1102" s="2" t="n"/>
      <c r="D1102" s="2" t="n"/>
    </row>
    <row r="1103" ht="15" customHeight="1">
      <c r="B1103" s="2" t="n"/>
      <c r="C1103" s="2" t="n"/>
      <c r="D1103" s="2" t="n"/>
    </row>
    <row r="1104" ht="15" customHeight="1">
      <c r="B1104" s="2" t="n"/>
      <c r="C1104" s="2" t="n"/>
      <c r="D1104" s="2" t="n"/>
    </row>
    <row r="1105" ht="15" customHeight="1">
      <c r="B1105" s="2" t="n"/>
      <c r="C1105" s="2" t="n"/>
      <c r="D1105" s="2" t="n"/>
    </row>
    <row r="1106" ht="15" customHeight="1">
      <c r="B1106" s="2" t="n"/>
      <c r="C1106" s="2" t="n"/>
      <c r="D1106" s="2" t="n"/>
    </row>
    <row r="1107" ht="15" customHeight="1">
      <c r="B1107" s="2" t="n"/>
      <c r="C1107" s="2" t="n"/>
      <c r="D1107" s="2" t="n"/>
    </row>
    <row r="1108" ht="15" customHeight="1">
      <c r="B1108" s="2" t="n"/>
      <c r="C1108" s="2" t="n"/>
      <c r="D1108" s="2" t="n"/>
    </row>
    <row r="1109" ht="15" customHeight="1">
      <c r="B1109" s="2" t="n"/>
      <c r="C1109" s="2" t="n"/>
      <c r="D1109" s="2" t="n"/>
    </row>
    <row r="1110" ht="15" customHeight="1">
      <c r="B1110" s="2" t="n"/>
      <c r="C1110" s="2" t="n"/>
      <c r="D1110" s="2" t="n"/>
    </row>
    <row r="1111" ht="15" customHeight="1">
      <c r="B1111" s="2" t="n"/>
      <c r="C1111" s="2" t="n"/>
      <c r="D1111" s="2" t="n"/>
    </row>
    <row r="1112" ht="15" customHeight="1">
      <c r="B1112" s="2" t="n"/>
      <c r="C1112" s="2" t="n"/>
      <c r="D1112" s="2" t="n"/>
    </row>
    <row r="1113" ht="15" customHeight="1">
      <c r="B1113" s="2" t="n"/>
      <c r="C1113" s="2" t="n"/>
      <c r="D1113" s="2" t="n"/>
    </row>
    <row r="1114" ht="15" customHeight="1">
      <c r="B1114" s="2" t="n"/>
      <c r="C1114" s="2" t="n"/>
      <c r="D1114" s="2" t="n"/>
    </row>
    <row r="1115" ht="15" customHeight="1">
      <c r="B1115" s="2" t="n"/>
      <c r="C1115" s="2" t="n"/>
      <c r="D1115" s="2" t="n"/>
    </row>
    <row r="1116" ht="15" customHeight="1">
      <c r="B1116" s="2" t="n"/>
      <c r="C1116" s="2" t="n"/>
      <c r="D1116" s="2" t="n"/>
    </row>
    <row r="1117" ht="15" customHeight="1">
      <c r="B1117" s="2" t="n"/>
      <c r="C1117" s="2" t="n"/>
      <c r="D1117" s="2" t="n"/>
    </row>
    <row r="1118" ht="15" customHeight="1">
      <c r="B1118" s="2" t="n"/>
      <c r="C1118" s="2" t="n"/>
      <c r="D1118" s="2" t="n"/>
    </row>
    <row r="1119" ht="15" customHeight="1">
      <c r="B1119" s="2" t="n"/>
      <c r="C1119" s="2" t="n"/>
      <c r="D1119" s="2" t="n"/>
    </row>
    <row r="1120" ht="15" customHeight="1">
      <c r="B1120" s="2" t="n"/>
      <c r="C1120" s="2" t="n"/>
      <c r="D1120" s="2" t="n"/>
    </row>
    <row r="1121" ht="15" customHeight="1">
      <c r="B1121" s="2" t="n"/>
      <c r="C1121" s="2" t="n"/>
      <c r="D1121" s="2" t="n"/>
    </row>
    <row r="1122" ht="15" customHeight="1">
      <c r="B1122" s="2" t="n"/>
      <c r="C1122" s="2" t="n"/>
      <c r="D1122" s="2" t="n"/>
    </row>
    <row r="1123" ht="15" customHeight="1">
      <c r="B1123" s="2" t="n"/>
      <c r="C1123" s="2" t="n"/>
      <c r="D1123" s="2" t="n"/>
    </row>
    <row r="1124" ht="15" customHeight="1">
      <c r="B1124" s="2" t="n"/>
      <c r="C1124" s="2" t="n"/>
      <c r="D1124" s="2" t="n"/>
    </row>
    <row r="1125" ht="15" customHeight="1">
      <c r="B1125" s="2" t="n"/>
      <c r="C1125" s="2" t="n"/>
      <c r="D1125" s="2" t="n"/>
    </row>
    <row r="1126" ht="15" customHeight="1">
      <c r="B1126" s="2" t="n"/>
      <c r="C1126" s="2" t="n"/>
      <c r="D1126" s="2" t="n"/>
    </row>
    <row r="1127" ht="15" customHeight="1">
      <c r="B1127" s="2" t="n"/>
      <c r="C1127" s="2" t="n"/>
      <c r="D1127" s="2" t="n"/>
    </row>
    <row r="1128" ht="15" customHeight="1">
      <c r="B1128" s="2" t="n"/>
      <c r="C1128" s="2" t="n"/>
      <c r="D1128" s="2" t="n"/>
    </row>
    <row r="1129" ht="15" customHeight="1">
      <c r="B1129" s="2" t="n"/>
      <c r="C1129" s="2" t="n"/>
      <c r="D1129" s="2" t="n"/>
    </row>
    <row r="1130" ht="15" customHeight="1">
      <c r="B1130" s="2" t="n"/>
      <c r="C1130" s="2" t="n"/>
      <c r="D1130" s="2" t="n"/>
    </row>
    <row r="1131" ht="15" customHeight="1">
      <c r="B1131" s="2" t="n"/>
      <c r="C1131" s="2" t="n"/>
      <c r="D1131" s="2" t="n"/>
    </row>
    <row r="1132" ht="15" customHeight="1">
      <c r="B1132" s="2" t="n"/>
      <c r="C1132" s="2" t="n"/>
      <c r="D1132" s="2" t="n"/>
    </row>
    <row r="1133" ht="15" customHeight="1">
      <c r="B1133" s="2" t="n"/>
      <c r="C1133" s="2" t="n"/>
      <c r="D1133" s="2" t="n"/>
    </row>
    <row r="1134" ht="15" customHeight="1">
      <c r="B1134" s="2" t="n"/>
      <c r="C1134" s="2" t="n"/>
      <c r="D1134" s="2" t="n"/>
    </row>
    <row r="1135" ht="15" customHeight="1">
      <c r="B1135" s="2" t="n"/>
      <c r="C1135" s="2" t="n"/>
      <c r="D1135" s="2" t="n"/>
    </row>
    <row r="1136" ht="15" customHeight="1">
      <c r="B1136" s="2" t="n"/>
      <c r="C1136" s="2" t="n"/>
      <c r="D1136" s="2" t="n"/>
    </row>
    <row r="1137" ht="15" customHeight="1">
      <c r="B1137" s="2" t="n"/>
      <c r="C1137" s="2" t="n"/>
      <c r="D1137" s="2" t="n"/>
    </row>
    <row r="1138" ht="15" customHeight="1">
      <c r="B1138" s="2" t="n"/>
      <c r="C1138" s="2" t="n"/>
      <c r="D1138" s="2" t="n"/>
    </row>
    <row r="1139" ht="15" customHeight="1">
      <c r="B1139" s="2" t="n"/>
      <c r="C1139" s="2" t="n"/>
      <c r="D1139" s="2" t="n"/>
    </row>
    <row r="1140" ht="15" customHeight="1">
      <c r="B1140" s="2" t="n"/>
      <c r="C1140" s="2" t="n"/>
      <c r="D1140" s="2" t="n"/>
    </row>
    <row r="1141" ht="15" customHeight="1">
      <c r="B1141" s="2" t="n"/>
      <c r="C1141" s="2" t="n"/>
      <c r="D1141" s="2" t="n"/>
    </row>
    <row r="1142" ht="15" customHeight="1">
      <c r="B1142" s="2" t="n"/>
      <c r="C1142" s="2" t="n"/>
      <c r="D1142" s="2" t="n"/>
    </row>
    <row r="1143" ht="15" customHeight="1">
      <c r="B1143" s="2" t="n"/>
      <c r="C1143" s="2" t="n"/>
      <c r="D1143" s="2" t="n"/>
    </row>
    <row r="1144" ht="15" customHeight="1">
      <c r="B1144" s="2" t="n"/>
      <c r="C1144" s="2" t="n"/>
      <c r="D1144" s="2" t="n"/>
    </row>
    <row r="1145" ht="15" customHeight="1">
      <c r="B1145" s="2" t="n"/>
      <c r="C1145" s="2" t="n"/>
      <c r="D1145" s="2" t="n"/>
    </row>
    <row r="1146" ht="15" customHeight="1">
      <c r="B1146" s="2" t="n"/>
      <c r="C1146" s="2" t="n"/>
      <c r="D1146" s="2" t="n"/>
    </row>
    <row r="1147" ht="15" customHeight="1">
      <c r="B1147" s="2" t="n"/>
      <c r="C1147" s="2" t="n"/>
      <c r="D1147" s="2" t="n"/>
    </row>
    <row r="1148" ht="15" customHeight="1">
      <c r="B1148" s="2" t="n"/>
      <c r="C1148" s="2" t="n"/>
      <c r="D1148" s="2" t="n"/>
    </row>
    <row r="1149" ht="15" customHeight="1">
      <c r="B1149" s="2" t="n"/>
      <c r="C1149" s="2" t="n"/>
      <c r="D1149" s="2" t="n"/>
    </row>
    <row r="1150" ht="15" customHeight="1">
      <c r="B1150" s="2" t="n"/>
      <c r="C1150" s="2" t="n"/>
      <c r="D1150" s="2" t="n"/>
    </row>
    <row r="1151" ht="15" customHeight="1">
      <c r="B1151" s="2" t="n"/>
      <c r="C1151" s="2" t="n"/>
      <c r="D1151" s="2" t="n"/>
    </row>
    <row r="1152" ht="15" customHeight="1">
      <c r="B1152" s="2" t="n"/>
      <c r="C1152" s="2" t="n"/>
      <c r="D1152" s="2" t="n"/>
    </row>
    <row r="1153" ht="15" customHeight="1">
      <c r="B1153" s="2" t="n"/>
      <c r="C1153" s="2" t="n"/>
      <c r="D1153" s="2" t="n"/>
    </row>
    <row r="1154" ht="15" customHeight="1">
      <c r="B1154" s="2" t="n"/>
      <c r="C1154" s="2" t="n"/>
      <c r="D1154" s="2" t="n"/>
    </row>
    <row r="1155" ht="15" customHeight="1">
      <c r="B1155" s="2" t="n"/>
      <c r="C1155" s="2" t="n"/>
      <c r="D1155" s="2" t="n"/>
    </row>
    <row r="1156" ht="15" customHeight="1">
      <c r="B1156" s="2" t="n"/>
      <c r="C1156" s="2" t="n"/>
      <c r="D1156" s="2" t="n"/>
    </row>
    <row r="1157" ht="15" customHeight="1">
      <c r="B1157" s="2" t="n"/>
      <c r="C1157" s="2" t="n"/>
      <c r="D1157" s="2" t="n"/>
    </row>
    <row r="1158" ht="15" customHeight="1">
      <c r="B1158" s="2" t="n"/>
      <c r="C1158" s="2" t="n"/>
      <c r="D1158" s="2" t="n"/>
    </row>
    <row r="1159" ht="15" customHeight="1">
      <c r="B1159" s="2" t="n"/>
      <c r="C1159" s="2" t="n"/>
      <c r="D1159" s="2" t="n"/>
    </row>
    <row r="1160" ht="15" customHeight="1">
      <c r="B1160" s="2" t="n"/>
      <c r="C1160" s="2" t="n"/>
      <c r="D1160" s="2" t="n"/>
    </row>
    <row r="1161" ht="15" customHeight="1">
      <c r="B1161" s="2" t="n"/>
      <c r="C1161" s="2" t="n"/>
      <c r="D1161" s="2" t="n"/>
    </row>
    <row r="1162" ht="15" customHeight="1">
      <c r="B1162" s="2" t="n"/>
      <c r="C1162" s="2" t="n"/>
      <c r="D1162" s="2" t="n"/>
    </row>
    <row r="1163" ht="15" customHeight="1">
      <c r="B1163" s="2" t="n"/>
      <c r="C1163" s="2" t="n"/>
      <c r="D1163" s="2" t="n"/>
    </row>
    <row r="1164" ht="15" customHeight="1">
      <c r="B1164" s="2" t="n"/>
      <c r="C1164" s="2" t="n"/>
      <c r="D1164" s="2" t="n"/>
    </row>
    <row r="1165" ht="15" customHeight="1">
      <c r="B1165" s="2" t="n"/>
      <c r="C1165" s="2" t="n"/>
      <c r="D1165" s="2" t="n"/>
    </row>
    <row r="1166" ht="15" customHeight="1">
      <c r="B1166" s="2" t="n"/>
      <c r="C1166" s="2" t="n"/>
      <c r="D1166" s="2" t="n"/>
    </row>
    <row r="1167" ht="15" customHeight="1">
      <c r="B1167" s="2" t="n"/>
      <c r="C1167" s="2" t="n"/>
      <c r="D1167" s="2" t="n"/>
    </row>
    <row r="1168" ht="15" customHeight="1">
      <c r="B1168" s="2" t="n"/>
      <c r="C1168" s="2" t="n"/>
      <c r="D1168" s="2" t="n"/>
    </row>
    <row r="1169" ht="15" customHeight="1">
      <c r="B1169" s="2" t="n"/>
      <c r="C1169" s="2" t="n"/>
      <c r="D1169" s="2" t="n"/>
    </row>
    <row r="1170" ht="15" customHeight="1">
      <c r="B1170" s="2" t="n"/>
      <c r="C1170" s="2" t="n"/>
      <c r="D1170" s="2" t="n"/>
    </row>
    <row r="1171" ht="15" customHeight="1">
      <c r="B1171" s="2" t="n"/>
      <c r="C1171" s="2" t="n"/>
      <c r="D1171" s="2" t="n"/>
    </row>
    <row r="1172" ht="15" customHeight="1">
      <c r="B1172" s="2" t="n"/>
      <c r="C1172" s="2" t="n"/>
      <c r="D1172" s="2" t="n"/>
    </row>
    <row r="1173" ht="15" customHeight="1">
      <c r="B1173" s="2" t="n"/>
      <c r="C1173" s="2" t="n"/>
      <c r="D1173" s="2" t="n"/>
    </row>
    <row r="1174" ht="15" customHeight="1">
      <c r="B1174" s="2" t="n"/>
      <c r="C1174" s="2" t="n"/>
      <c r="D1174" s="2" t="n"/>
    </row>
    <row r="1175" ht="15" customHeight="1">
      <c r="B1175" s="2" t="n"/>
      <c r="C1175" s="2" t="n"/>
      <c r="D1175" s="2" t="n"/>
    </row>
    <row r="1176" ht="15" customHeight="1">
      <c r="B1176" s="2" t="n"/>
      <c r="C1176" s="2" t="n"/>
      <c r="D1176" s="2" t="n"/>
    </row>
    <row r="1177" ht="15" customHeight="1">
      <c r="B1177" s="2" t="n"/>
      <c r="C1177" s="2" t="n"/>
      <c r="D1177" s="2" t="n"/>
    </row>
    <row r="1178" ht="15" customHeight="1">
      <c r="B1178" s="2" t="n"/>
      <c r="C1178" s="2" t="n"/>
      <c r="D1178" s="2" t="n"/>
    </row>
    <row r="1179" ht="15" customHeight="1">
      <c r="B1179" s="2" t="n"/>
      <c r="C1179" s="2" t="n"/>
      <c r="D1179" s="2" t="n"/>
    </row>
    <row r="1180" ht="15" customHeight="1">
      <c r="B1180" s="2" t="n"/>
      <c r="C1180" s="2" t="n"/>
      <c r="D1180" s="2" t="n"/>
    </row>
    <row r="1181" ht="15" customHeight="1">
      <c r="B1181" s="2" t="n"/>
      <c r="C1181" s="2" t="n"/>
      <c r="D1181" s="2" t="n"/>
    </row>
    <row r="1182" ht="15" customHeight="1">
      <c r="B1182" s="2" t="n"/>
      <c r="C1182" s="2" t="n"/>
      <c r="D1182" s="2" t="n"/>
    </row>
    <row r="1183" ht="15" customHeight="1">
      <c r="B1183" s="2" t="n"/>
      <c r="C1183" s="2" t="n"/>
      <c r="D1183" s="2" t="n"/>
    </row>
    <row r="1184" ht="15" customHeight="1">
      <c r="B1184" s="2" t="n"/>
      <c r="C1184" s="2" t="n"/>
      <c r="D1184" s="2" t="n"/>
    </row>
    <row r="1185" ht="15" customHeight="1">
      <c r="B1185" s="2" t="n"/>
      <c r="C1185" s="2" t="n"/>
      <c r="D1185" s="2" t="n"/>
    </row>
    <row r="1186" ht="15" customHeight="1">
      <c r="B1186" s="2" t="n"/>
      <c r="C1186" s="2" t="n"/>
      <c r="D1186" s="2" t="n"/>
    </row>
    <row r="1187" ht="15" customHeight="1">
      <c r="B1187" s="2" t="n"/>
      <c r="C1187" s="2" t="n"/>
      <c r="D1187" s="2" t="n"/>
    </row>
    <row r="1188" ht="15" customHeight="1">
      <c r="B1188" s="2" t="n"/>
      <c r="C1188" s="2" t="n"/>
      <c r="D1188" s="2" t="n"/>
    </row>
    <row r="1189" ht="15" customHeight="1">
      <c r="B1189" s="2" t="n"/>
      <c r="C1189" s="2" t="n"/>
      <c r="D1189" s="2" t="n"/>
    </row>
    <row r="1190" ht="15" customHeight="1">
      <c r="B1190" s="2" t="n"/>
      <c r="C1190" s="2" t="n"/>
      <c r="D1190" s="2" t="n"/>
    </row>
    <row r="1191" ht="15" customHeight="1">
      <c r="B1191" s="2" t="n"/>
      <c r="C1191" s="2" t="n"/>
      <c r="D1191" s="2" t="n"/>
    </row>
    <row r="1192" ht="15" customHeight="1">
      <c r="B1192" s="2" t="n"/>
      <c r="C1192" s="2" t="n"/>
      <c r="D1192" s="2" t="n"/>
    </row>
    <row r="1193" ht="15" customHeight="1">
      <c r="B1193" s="2" t="n"/>
      <c r="C1193" s="2" t="n"/>
      <c r="D1193" s="2" t="n"/>
    </row>
    <row r="1194" ht="15" customHeight="1">
      <c r="B1194" s="2" t="n"/>
      <c r="C1194" s="2" t="n"/>
      <c r="D1194" s="2" t="n"/>
    </row>
    <row r="1195" ht="15" customHeight="1">
      <c r="B1195" s="2" t="n"/>
      <c r="C1195" s="2" t="n"/>
      <c r="D1195" s="2" t="n"/>
    </row>
    <row r="1196" ht="15" customHeight="1">
      <c r="B1196" s="2" t="n"/>
      <c r="C1196" s="2" t="n"/>
      <c r="D1196" s="2" t="n"/>
    </row>
    <row r="1197" ht="15" customHeight="1">
      <c r="B1197" s="2" t="n"/>
      <c r="C1197" s="2" t="n"/>
      <c r="D1197" s="2" t="n"/>
    </row>
    <row r="1198" ht="15" customHeight="1">
      <c r="B1198" s="2" t="n"/>
      <c r="C1198" s="2" t="n"/>
      <c r="D1198" s="2" t="n"/>
    </row>
    <row r="1199" ht="15" customHeight="1">
      <c r="B1199" s="2" t="n"/>
      <c r="C1199" s="2" t="n"/>
      <c r="D1199" s="2" t="n"/>
    </row>
    <row r="1200" ht="15" customHeight="1">
      <c r="B1200" s="2" t="n"/>
      <c r="C1200" s="2" t="n"/>
      <c r="D1200" s="2" t="n"/>
    </row>
    <row r="1201" ht="15" customHeight="1">
      <c r="B1201" s="2" t="n"/>
      <c r="C1201" s="2" t="n"/>
      <c r="D1201" s="2" t="n"/>
    </row>
    <row r="1202" ht="15" customHeight="1">
      <c r="B1202" s="2" t="n"/>
      <c r="C1202" s="2" t="n"/>
      <c r="D1202" s="2" t="n"/>
    </row>
    <row r="1203" ht="15" customHeight="1">
      <c r="B1203" s="2" t="n"/>
      <c r="C1203" s="2" t="n"/>
      <c r="D1203" s="2" t="n"/>
    </row>
    <row r="1204" ht="15" customHeight="1">
      <c r="B1204" s="2" t="n"/>
      <c r="C1204" s="2" t="n"/>
      <c r="D1204" s="2" t="n"/>
    </row>
    <row r="1205" ht="15" customHeight="1">
      <c r="B1205" s="2" t="n"/>
      <c r="C1205" s="2" t="n"/>
      <c r="D1205" s="2" t="n"/>
    </row>
    <row r="1206" ht="15" customHeight="1">
      <c r="B1206" s="2" t="n"/>
      <c r="C1206" s="2" t="n"/>
      <c r="D1206" s="2" t="n"/>
    </row>
    <row r="1207" ht="15" customHeight="1">
      <c r="B1207" s="2" t="n"/>
      <c r="C1207" s="2" t="n"/>
      <c r="D1207" s="2" t="n"/>
    </row>
    <row r="1208" ht="15" customHeight="1">
      <c r="B1208" s="2" t="n"/>
      <c r="C1208" s="2" t="n"/>
      <c r="D1208" s="2" t="n"/>
    </row>
    <row r="1209" ht="15" customHeight="1">
      <c r="B1209" s="2" t="n"/>
      <c r="C1209" s="2" t="n"/>
      <c r="D1209" s="2" t="n"/>
    </row>
    <row r="1210" ht="15" customHeight="1">
      <c r="B1210" s="2" t="n"/>
      <c r="C1210" s="2" t="n"/>
      <c r="D1210" s="2" t="n"/>
    </row>
    <row r="1211" ht="15" customHeight="1">
      <c r="B1211" s="2" t="n"/>
      <c r="C1211" s="2" t="n"/>
      <c r="D1211" s="2" t="n"/>
    </row>
    <row r="1212" ht="15" customHeight="1">
      <c r="B1212" s="2" t="n"/>
      <c r="C1212" s="2" t="n"/>
      <c r="D1212" s="2" t="n"/>
    </row>
    <row r="1213" ht="15" customHeight="1">
      <c r="B1213" s="2" t="n"/>
      <c r="C1213" s="2" t="n"/>
      <c r="D1213" s="2" t="n"/>
    </row>
    <row r="1214" ht="15" customHeight="1">
      <c r="B1214" s="2" t="n"/>
      <c r="C1214" s="2" t="n"/>
      <c r="D1214" s="2" t="n"/>
    </row>
    <row r="1215" ht="15" customHeight="1">
      <c r="B1215" s="2" t="n"/>
      <c r="C1215" s="2" t="n"/>
      <c r="D1215" s="2" t="n"/>
    </row>
    <row r="1216" ht="15" customHeight="1">
      <c r="B1216" s="2" t="n"/>
      <c r="C1216" s="2" t="n"/>
      <c r="D1216" s="2" t="n"/>
    </row>
    <row r="1217" ht="15" customHeight="1">
      <c r="B1217" s="2" t="n"/>
      <c r="C1217" s="2" t="n"/>
      <c r="D1217" s="2" t="n"/>
    </row>
    <row r="1218" ht="15" customHeight="1">
      <c r="B1218" s="2" t="n"/>
      <c r="C1218" s="2" t="n"/>
      <c r="D1218" s="2" t="n"/>
    </row>
    <row r="1219" ht="15" customHeight="1">
      <c r="B1219" s="2" t="n"/>
      <c r="C1219" s="2" t="n"/>
      <c r="D1219" s="2" t="n"/>
    </row>
    <row r="1220" ht="15" customHeight="1">
      <c r="B1220" s="2" t="n"/>
      <c r="C1220" s="2" t="n"/>
      <c r="D1220" s="2" t="n"/>
    </row>
    <row r="1221" ht="15" customHeight="1">
      <c r="B1221" s="2" t="n"/>
      <c r="C1221" s="2" t="n"/>
      <c r="D1221" s="2" t="n"/>
    </row>
    <row r="1222" ht="15" customHeight="1">
      <c r="B1222" s="2" t="n"/>
      <c r="C1222" s="2" t="n"/>
      <c r="D1222" s="2" t="n"/>
    </row>
    <row r="1223" ht="15" customHeight="1">
      <c r="B1223" s="2" t="n"/>
      <c r="C1223" s="2" t="n"/>
      <c r="D1223" s="2" t="n"/>
    </row>
    <row r="1224" ht="15" customHeight="1">
      <c r="B1224" s="2" t="n"/>
      <c r="C1224" s="2" t="n"/>
      <c r="D1224" s="2" t="n"/>
    </row>
    <row r="1225" ht="15" customHeight="1">
      <c r="B1225" s="2" t="n"/>
      <c r="C1225" s="2" t="n"/>
      <c r="D1225" s="2" t="n"/>
    </row>
    <row r="1226" ht="15" customHeight="1">
      <c r="B1226" s="2" t="n"/>
      <c r="C1226" s="2" t="n"/>
      <c r="D1226" s="2" t="n"/>
    </row>
    <row r="1227" ht="15" customHeight="1">
      <c r="B1227" s="2" t="n"/>
      <c r="C1227" s="2" t="n"/>
      <c r="D1227" s="2" t="n"/>
    </row>
    <row r="1228" ht="15" customHeight="1">
      <c r="B1228" s="2" t="n"/>
      <c r="C1228" s="2" t="n"/>
      <c r="D1228" s="2" t="n"/>
    </row>
    <row r="1229" ht="15" customHeight="1">
      <c r="B1229" s="2" t="n"/>
      <c r="C1229" s="2" t="n"/>
      <c r="D1229" s="2" t="n"/>
    </row>
    <row r="1230" ht="15" customHeight="1">
      <c r="B1230" s="2" t="n"/>
      <c r="C1230" s="2" t="n"/>
      <c r="D1230" s="2" t="n"/>
    </row>
    <row r="1231" ht="15" customHeight="1">
      <c r="B1231" s="2" t="n"/>
      <c r="C1231" s="2" t="n"/>
      <c r="D1231" s="2" t="n"/>
    </row>
    <row r="1232" ht="15" customHeight="1">
      <c r="B1232" s="2" t="n"/>
      <c r="C1232" s="2" t="n"/>
      <c r="D1232" s="2" t="n"/>
    </row>
    <row r="1233" ht="15" customHeight="1">
      <c r="B1233" s="2" t="n"/>
      <c r="C1233" s="2" t="n"/>
      <c r="D1233" s="2" t="n"/>
    </row>
    <row r="1234" ht="15" customHeight="1">
      <c r="B1234" s="2" t="n"/>
      <c r="C1234" s="2" t="n"/>
      <c r="D1234" s="2" t="n"/>
    </row>
    <row r="1235" ht="15" customHeight="1">
      <c r="B1235" s="2" t="n"/>
      <c r="C1235" s="2" t="n"/>
      <c r="D1235" s="2" t="n"/>
    </row>
    <row r="1236" ht="15" customHeight="1">
      <c r="B1236" s="2" t="n"/>
      <c r="C1236" s="2" t="n"/>
      <c r="D1236" s="2" t="n"/>
    </row>
    <row r="1237" ht="15" customHeight="1">
      <c r="B1237" s="2" t="n"/>
      <c r="C1237" s="2" t="n"/>
      <c r="D1237" s="2" t="n"/>
    </row>
    <row r="1238" ht="15" customHeight="1">
      <c r="B1238" s="2" t="n"/>
      <c r="C1238" s="2" t="n"/>
      <c r="D1238" s="2" t="n"/>
    </row>
    <row r="1239" ht="15" customHeight="1">
      <c r="B1239" s="2" t="n"/>
      <c r="C1239" s="2" t="n"/>
      <c r="D1239" s="2" t="n"/>
    </row>
    <row r="1240" ht="15" customHeight="1">
      <c r="B1240" s="2" t="n"/>
      <c r="C1240" s="2" t="n"/>
      <c r="D1240" s="2" t="n"/>
    </row>
    <row r="1241" ht="15" customHeight="1">
      <c r="B1241" s="2" t="n"/>
      <c r="C1241" s="2" t="n"/>
      <c r="D1241" s="2" t="n"/>
    </row>
    <row r="1242" ht="15" customHeight="1">
      <c r="B1242" s="2" t="n"/>
      <c r="C1242" s="2" t="n"/>
      <c r="D1242" s="2" t="n"/>
    </row>
    <row r="1243" ht="15" customHeight="1">
      <c r="B1243" s="2" t="n"/>
      <c r="C1243" s="2" t="n"/>
      <c r="D1243" s="2" t="n"/>
    </row>
    <row r="1244" ht="15" customHeight="1">
      <c r="B1244" s="2" t="n"/>
      <c r="C1244" s="2" t="n"/>
      <c r="D1244" s="2" t="n"/>
    </row>
    <row r="1245" ht="15" customHeight="1">
      <c r="B1245" s="2" t="n"/>
      <c r="C1245" s="2" t="n"/>
      <c r="D1245" s="2" t="n"/>
    </row>
    <row r="1246" ht="15" customHeight="1">
      <c r="B1246" s="2" t="n"/>
      <c r="C1246" s="2" t="n"/>
      <c r="D1246" s="2" t="n"/>
    </row>
    <row r="1247" ht="15" customHeight="1">
      <c r="B1247" s="2" t="n"/>
      <c r="C1247" s="2" t="n"/>
      <c r="D1247" s="2" t="n"/>
    </row>
    <row r="1248" ht="15" customHeight="1">
      <c r="B1248" s="2" t="n"/>
      <c r="C1248" s="2" t="n"/>
      <c r="D1248" s="2" t="n"/>
    </row>
    <row r="1249" ht="15" customHeight="1">
      <c r="B1249" s="2" t="n"/>
      <c r="C1249" s="2" t="n"/>
      <c r="D1249" s="2" t="n"/>
    </row>
    <row r="1250" ht="15" customHeight="1">
      <c r="B1250" s="2" t="n"/>
      <c r="C1250" s="2" t="n"/>
      <c r="D1250" s="2" t="n"/>
    </row>
    <row r="1251" ht="15" customHeight="1">
      <c r="B1251" s="2" t="n"/>
      <c r="C1251" s="2" t="n"/>
      <c r="D1251" s="2" t="n"/>
    </row>
    <row r="1252" ht="15" customHeight="1">
      <c r="B1252" s="2" t="n"/>
      <c r="C1252" s="2" t="n"/>
      <c r="D1252" s="2" t="n"/>
    </row>
    <row r="1253" ht="15" customHeight="1">
      <c r="B1253" s="2" t="n"/>
      <c r="C1253" s="2" t="n"/>
      <c r="D1253" s="2" t="n"/>
    </row>
    <row r="1254" ht="15" customHeight="1">
      <c r="B1254" s="2" t="n"/>
      <c r="C1254" s="2" t="n"/>
      <c r="D1254" s="2" t="n"/>
    </row>
    <row r="1255" ht="15" customHeight="1">
      <c r="B1255" s="2" t="n"/>
      <c r="C1255" s="2" t="n"/>
      <c r="D1255" s="2" t="n"/>
    </row>
    <row r="1256" ht="15" customHeight="1">
      <c r="B1256" s="2" t="n"/>
      <c r="C1256" s="2" t="n"/>
      <c r="D1256" s="2" t="n"/>
    </row>
    <row r="1257" ht="15" customHeight="1">
      <c r="B1257" s="2" t="n"/>
      <c r="C1257" s="2" t="n"/>
      <c r="D1257" s="2" t="n"/>
    </row>
    <row r="1258" ht="15" customHeight="1">
      <c r="B1258" s="2" t="n"/>
      <c r="C1258" s="2" t="n"/>
      <c r="D1258" s="2" t="n"/>
    </row>
    <row r="1259" ht="15" customHeight="1">
      <c r="B1259" s="2" t="n"/>
      <c r="C1259" s="2" t="n"/>
      <c r="D1259" s="2" t="n"/>
    </row>
    <row r="1260" ht="15" customHeight="1">
      <c r="B1260" s="2" t="n"/>
      <c r="C1260" s="2" t="n"/>
      <c r="D1260" s="2" t="n"/>
    </row>
    <row r="1261" ht="15" customHeight="1">
      <c r="B1261" s="2" t="n"/>
      <c r="C1261" s="2" t="n"/>
      <c r="D1261" s="2" t="n"/>
    </row>
    <row r="1262" ht="15" customHeight="1">
      <c r="B1262" s="2" t="n"/>
      <c r="C1262" s="2" t="n"/>
      <c r="D1262" s="2" t="n"/>
    </row>
    <row r="1263" ht="15" customHeight="1">
      <c r="B1263" s="2" t="n"/>
      <c r="C1263" s="2" t="n"/>
      <c r="D1263" s="2" t="n"/>
    </row>
    <row r="1264" ht="15" customHeight="1">
      <c r="B1264" s="2" t="n"/>
      <c r="C1264" s="2" t="n"/>
      <c r="D1264" s="2" t="n"/>
    </row>
    <row r="1265" ht="15" customHeight="1">
      <c r="B1265" s="2" t="n"/>
      <c r="C1265" s="2" t="n"/>
      <c r="D1265" s="2" t="n"/>
    </row>
    <row r="1266" ht="15" customHeight="1">
      <c r="B1266" s="2" t="n"/>
      <c r="C1266" s="2" t="n"/>
      <c r="D1266" s="2" t="n"/>
    </row>
    <row r="1267" ht="15" customHeight="1">
      <c r="B1267" s="2" t="n"/>
      <c r="C1267" s="2" t="n"/>
      <c r="D1267" s="2" t="n"/>
    </row>
    <row r="1268" ht="15" customHeight="1">
      <c r="B1268" s="2" t="n"/>
      <c r="C1268" s="2" t="n"/>
      <c r="D1268" s="2" t="n"/>
    </row>
    <row r="1269" ht="15" customHeight="1">
      <c r="B1269" s="2" t="n"/>
      <c r="C1269" s="2" t="n"/>
      <c r="D1269" s="2" t="n"/>
    </row>
    <row r="1270" ht="15" customHeight="1">
      <c r="B1270" s="2" t="n"/>
      <c r="C1270" s="2" t="n"/>
      <c r="D1270" s="2" t="n"/>
    </row>
    <row r="1271" ht="15" customHeight="1">
      <c r="B1271" s="2" t="n"/>
      <c r="C1271" s="2" t="n"/>
      <c r="D1271" s="2" t="n"/>
    </row>
    <row r="1272" ht="15" customHeight="1">
      <c r="B1272" s="2" t="n"/>
      <c r="C1272" s="2" t="n"/>
      <c r="D1272" s="2" t="n"/>
    </row>
    <row r="1273" ht="15" customHeight="1">
      <c r="B1273" s="2" t="n"/>
      <c r="C1273" s="2" t="n"/>
      <c r="D1273" s="2" t="n"/>
    </row>
    <row r="1274" ht="15" customHeight="1">
      <c r="B1274" s="2" t="n"/>
      <c r="C1274" s="2" t="n"/>
      <c r="D1274" s="2" t="n"/>
    </row>
    <row r="1275" ht="15" customHeight="1">
      <c r="B1275" s="2" t="n"/>
      <c r="C1275" s="2" t="n"/>
      <c r="D1275" s="2" t="n"/>
    </row>
    <row r="1276" ht="15" customHeight="1">
      <c r="B1276" s="2" t="n"/>
      <c r="C1276" s="2" t="n"/>
      <c r="D1276" s="2" t="n"/>
    </row>
    <row r="1277" ht="15" customHeight="1">
      <c r="B1277" s="2" t="n"/>
      <c r="C1277" s="2" t="n"/>
      <c r="D1277" s="2" t="n"/>
    </row>
    <row r="1278" ht="15" customHeight="1">
      <c r="B1278" s="2" t="n"/>
      <c r="C1278" s="2" t="n"/>
      <c r="D1278" s="2" t="n"/>
    </row>
    <row r="1279" ht="15" customHeight="1">
      <c r="B1279" s="2" t="n"/>
      <c r="C1279" s="2" t="n"/>
      <c r="D1279" s="2" t="n"/>
    </row>
    <row r="1280" ht="15" customHeight="1">
      <c r="B1280" s="2" t="n"/>
      <c r="C1280" s="2" t="n"/>
      <c r="D1280" s="2" t="n"/>
    </row>
    <row r="1281" ht="15" customHeight="1">
      <c r="B1281" s="2" t="n"/>
      <c r="C1281" s="2" t="n"/>
      <c r="D1281" s="2" t="n"/>
    </row>
    <row r="1282" ht="15" customHeight="1">
      <c r="B1282" s="2" t="n"/>
      <c r="C1282" s="2" t="n"/>
      <c r="D1282" s="2" t="n"/>
    </row>
    <row r="1283" ht="15" customHeight="1">
      <c r="B1283" s="2" t="n"/>
      <c r="C1283" s="2" t="n"/>
      <c r="D1283" s="2" t="n"/>
    </row>
    <row r="1284" ht="15" customHeight="1">
      <c r="B1284" s="2" t="n"/>
      <c r="C1284" s="2" t="n"/>
      <c r="D1284" s="2" t="n"/>
    </row>
    <row r="1285" ht="15" customHeight="1">
      <c r="B1285" s="2" t="n"/>
      <c r="C1285" s="2" t="n"/>
      <c r="D1285" s="2" t="n"/>
    </row>
    <row r="1286" ht="15" customHeight="1">
      <c r="B1286" s="2" t="n"/>
      <c r="C1286" s="2" t="n"/>
      <c r="D1286" s="2" t="n"/>
    </row>
    <row r="1287" ht="15" customHeight="1">
      <c r="B1287" s="2" t="n"/>
      <c r="C1287" s="2" t="n"/>
      <c r="D1287" s="2" t="n"/>
    </row>
    <row r="1288" ht="15" customHeight="1">
      <c r="B1288" s="2" t="n"/>
      <c r="C1288" s="2" t="n"/>
      <c r="D1288" s="2" t="n"/>
    </row>
    <row r="1289" ht="15" customHeight="1">
      <c r="B1289" s="2" t="n"/>
      <c r="C1289" s="2" t="n"/>
      <c r="D1289" s="2" t="n"/>
    </row>
    <row r="1290" ht="15" customHeight="1">
      <c r="B1290" s="2" t="n"/>
      <c r="C1290" s="2" t="n"/>
      <c r="D1290" s="2" t="n"/>
    </row>
    <row r="1291" ht="15" customHeight="1">
      <c r="B1291" s="2" t="n"/>
      <c r="C1291" s="2" t="n"/>
      <c r="D1291" s="2" t="n"/>
    </row>
    <row r="1292" ht="15" customHeight="1">
      <c r="B1292" s="2" t="n"/>
      <c r="C1292" s="2" t="n"/>
      <c r="D1292" s="2" t="n"/>
    </row>
    <row r="1293" ht="15" customHeight="1">
      <c r="B1293" s="2" t="n"/>
      <c r="C1293" s="2" t="n"/>
      <c r="D1293" s="2" t="n"/>
    </row>
    <row r="1294" ht="15" customHeight="1">
      <c r="B1294" s="2" t="n"/>
      <c r="C1294" s="2" t="n"/>
      <c r="D1294" s="2" t="n"/>
    </row>
    <row r="1295" ht="15" customHeight="1">
      <c r="B1295" s="2" t="n"/>
      <c r="C1295" s="2" t="n"/>
      <c r="D1295" s="2" t="n"/>
    </row>
    <row r="1296" ht="15" customHeight="1">
      <c r="B1296" s="2" t="n"/>
      <c r="C1296" s="2" t="n"/>
      <c r="D1296" s="2" t="n"/>
    </row>
    <row r="1297" ht="15" customHeight="1">
      <c r="B1297" s="2" t="n"/>
      <c r="C1297" s="2" t="n"/>
      <c r="D1297" s="2" t="n"/>
    </row>
    <row r="1298" ht="15" customHeight="1">
      <c r="B1298" s="2" t="n"/>
      <c r="C1298" s="2" t="n"/>
      <c r="D1298" s="2" t="n"/>
    </row>
    <row r="1299" ht="15" customHeight="1">
      <c r="B1299" s="2" t="n"/>
      <c r="C1299" s="2" t="n"/>
      <c r="D1299" s="2" t="n"/>
    </row>
    <row r="1300" ht="15" customHeight="1">
      <c r="B1300" s="2" t="n"/>
      <c r="C1300" s="2" t="n"/>
      <c r="D1300" s="2" t="n"/>
    </row>
    <row r="1301" ht="15" customHeight="1">
      <c r="B1301" s="2" t="n"/>
      <c r="C1301" s="2" t="n"/>
      <c r="D1301" s="2" t="n"/>
    </row>
    <row r="1302" ht="15" customHeight="1">
      <c r="B1302" s="2" t="n"/>
      <c r="C1302" s="2" t="n"/>
      <c r="D1302" s="2" t="n"/>
    </row>
    <row r="1303" ht="15" customHeight="1">
      <c r="B1303" s="2" t="n"/>
      <c r="C1303" s="2" t="n"/>
      <c r="D1303" s="2" t="n"/>
    </row>
    <row r="1304" ht="15" customHeight="1">
      <c r="B1304" s="2" t="n"/>
      <c r="C1304" s="2" t="n"/>
      <c r="D1304" s="2" t="n"/>
    </row>
    <row r="1305" ht="15" customHeight="1">
      <c r="B1305" s="2" t="n"/>
      <c r="C1305" s="2" t="n"/>
      <c r="D1305" s="2" t="n"/>
    </row>
    <row r="1306" ht="15" customHeight="1">
      <c r="B1306" s="2" t="n"/>
      <c r="C1306" s="2" t="n"/>
      <c r="D1306" s="2" t="n"/>
    </row>
    <row r="1307" ht="15" customHeight="1">
      <c r="B1307" s="2" t="n"/>
      <c r="C1307" s="2" t="n"/>
      <c r="D1307" s="2" t="n"/>
    </row>
    <row r="1308" ht="15" customHeight="1">
      <c r="B1308" s="2" t="n"/>
      <c r="C1308" s="2" t="n"/>
      <c r="D1308" s="2" t="n"/>
    </row>
    <row r="1309" ht="15" customHeight="1">
      <c r="B1309" s="2" t="n"/>
      <c r="C1309" s="2" t="n"/>
      <c r="D1309" s="2" t="n"/>
    </row>
    <row r="1310" ht="15" customHeight="1">
      <c r="B1310" s="2" t="n"/>
      <c r="C1310" s="2" t="n"/>
      <c r="D1310" s="2" t="n"/>
    </row>
    <row r="1311" ht="15" customHeight="1">
      <c r="B1311" s="2" t="n"/>
      <c r="C1311" s="2" t="n"/>
      <c r="D1311" s="2" t="n"/>
    </row>
    <row r="1312" ht="15" customHeight="1">
      <c r="B1312" s="2" t="n"/>
      <c r="C1312" s="2" t="n"/>
      <c r="D1312" s="2" t="n"/>
    </row>
    <row r="1313" ht="15" customHeight="1">
      <c r="B1313" s="2" t="n"/>
      <c r="C1313" s="2" t="n"/>
      <c r="D1313" s="2" t="n"/>
    </row>
    <row r="1314" ht="15" customHeight="1">
      <c r="B1314" s="2" t="n"/>
      <c r="C1314" s="2" t="n"/>
      <c r="D1314" s="2" t="n"/>
    </row>
    <row r="1315" ht="15" customHeight="1">
      <c r="B1315" s="2" t="n"/>
      <c r="C1315" s="2" t="n"/>
      <c r="D1315" s="2" t="n"/>
    </row>
    <row r="1316" ht="15" customHeight="1">
      <c r="B1316" s="2" t="n"/>
      <c r="C1316" s="2" t="n"/>
      <c r="D1316" s="2" t="n"/>
    </row>
    <row r="1317" ht="15" customHeight="1">
      <c r="B1317" s="2" t="n"/>
      <c r="C1317" s="2" t="n"/>
      <c r="D1317" s="2" t="n"/>
    </row>
    <row r="1318" ht="15" customHeight="1">
      <c r="B1318" s="2" t="n"/>
      <c r="C1318" s="2" t="n"/>
      <c r="D1318" s="2" t="n"/>
    </row>
    <row r="1319" ht="15" customHeight="1">
      <c r="B1319" s="2" t="n"/>
      <c r="C1319" s="2" t="n"/>
      <c r="D1319" s="2" t="n"/>
    </row>
    <row r="1320" ht="15" customHeight="1">
      <c r="B1320" s="2" t="n"/>
      <c r="C1320" s="2" t="n"/>
      <c r="D1320" s="2" t="n"/>
    </row>
    <row r="1321" ht="15" customHeight="1">
      <c r="B1321" s="2" t="n"/>
      <c r="C1321" s="2" t="n"/>
      <c r="D1321" s="2" t="n"/>
    </row>
    <row r="1322" ht="15" customHeight="1">
      <c r="B1322" s="2" t="n"/>
      <c r="C1322" s="2" t="n"/>
      <c r="D1322" s="2" t="n"/>
    </row>
    <row r="1323" ht="15" customHeight="1">
      <c r="B1323" s="2" t="n"/>
      <c r="C1323" s="2" t="n"/>
      <c r="D1323" s="2" t="n"/>
    </row>
    <row r="1324" ht="15" customHeight="1">
      <c r="B1324" s="2" t="n"/>
      <c r="C1324" s="2" t="n"/>
      <c r="D1324" s="2" t="n"/>
    </row>
    <row r="1325" ht="15" customHeight="1">
      <c r="B1325" s="2" t="n"/>
      <c r="C1325" s="2" t="n"/>
      <c r="D1325" s="2" t="n"/>
    </row>
    <row r="1326" ht="15" customHeight="1">
      <c r="B1326" s="2" t="n"/>
      <c r="C1326" s="2" t="n"/>
      <c r="D1326" s="2" t="n"/>
    </row>
    <row r="1327" ht="15" customHeight="1">
      <c r="B1327" s="2" t="n"/>
      <c r="C1327" s="2" t="n"/>
      <c r="D1327" s="2" t="n"/>
    </row>
    <row r="1328" ht="15" customHeight="1">
      <c r="B1328" s="2" t="n"/>
      <c r="C1328" s="2" t="n"/>
      <c r="D1328" s="2" t="n"/>
    </row>
    <row r="1329" ht="15" customHeight="1">
      <c r="B1329" s="2" t="n"/>
      <c r="C1329" s="2" t="n"/>
      <c r="D1329" s="2" t="n"/>
    </row>
    <row r="1330" ht="15" customHeight="1">
      <c r="B1330" s="2" t="n"/>
      <c r="C1330" s="2" t="n"/>
      <c r="D1330" s="2" t="n"/>
    </row>
    <row r="1331" ht="15" customHeight="1">
      <c r="B1331" s="2" t="n"/>
      <c r="C1331" s="2" t="n"/>
      <c r="D1331" s="2" t="n"/>
    </row>
    <row r="1332" ht="15" customHeight="1">
      <c r="B1332" s="2" t="n"/>
      <c r="C1332" s="2" t="n"/>
      <c r="D1332" s="2" t="n"/>
    </row>
    <row r="1333" ht="15" customHeight="1">
      <c r="B1333" s="2" t="n"/>
      <c r="C1333" s="2" t="n"/>
      <c r="D1333" s="2" t="n"/>
    </row>
    <row r="1334" ht="15" customHeight="1">
      <c r="B1334" s="2" t="n"/>
      <c r="C1334" s="2" t="n"/>
      <c r="D1334" s="2" t="n"/>
    </row>
    <row r="1336" ht="15" customHeight="1" thickBot="1">
      <c r="B1336" s="13" t="n"/>
      <c r="C1336" s="12" t="n"/>
      <c r="D1336" s="12" t="n"/>
      <c r="E1336" s="61" t="inlineStr">
        <is>
          <t>Log de Conectividade - Lan</t>
        </is>
      </c>
    </row>
    <row r="1337" ht="15" customHeight="1" thickBot="1">
      <c r="B1337" s="88" t="inlineStr">
        <is>
          <t>Cole a Saída do Comando →</t>
        </is>
      </c>
      <c r="C1337" s="2" t="n"/>
      <c r="D1337" s="2" t="n"/>
      <c r="E1337" s="73" t="inlineStr">
        <is>
          <t>get sys arp</t>
        </is>
      </c>
    </row>
    <row r="1338" ht="15" customHeight="1">
      <c r="B1338" s="2" t="n"/>
      <c r="C1338" s="2" t="n"/>
      <c r="D1338" s="2" t="n"/>
    </row>
    <row r="1339" ht="15" customHeight="1">
      <c r="B1339" s="2" t="n"/>
      <c r="C1339" s="2" t="n"/>
      <c r="D1339" s="2" t="n"/>
    </row>
    <row r="1340" ht="15" customHeight="1">
      <c r="B1340" s="2" t="n"/>
      <c r="C1340" s="2" t="n"/>
      <c r="D1340" s="2" t="n"/>
    </row>
    <row r="1341" ht="15" customHeight="1">
      <c r="B1341" s="2" t="n"/>
      <c r="C1341" s="2" t="n"/>
      <c r="D1341" s="2" t="n"/>
    </row>
    <row r="1342" ht="15" customHeight="1">
      <c r="B1342" s="2" t="n"/>
      <c r="C1342" s="2" t="n"/>
      <c r="D1342" s="2" t="n"/>
    </row>
    <row r="1343" ht="15" customHeight="1">
      <c r="B1343" s="2" t="n"/>
      <c r="C1343" s="2" t="n"/>
      <c r="D1343" s="2" t="n"/>
    </row>
    <row r="1344" ht="15" customHeight="1">
      <c r="B1344" s="2" t="n"/>
      <c r="C1344" s="2" t="n"/>
      <c r="D1344" s="2" t="n"/>
    </row>
    <row r="1345" ht="15" customHeight="1">
      <c r="B1345" s="2" t="n"/>
      <c r="C1345" s="2" t="n"/>
      <c r="D1345" s="2" t="n"/>
    </row>
    <row r="1346" ht="15" customHeight="1">
      <c r="B1346" s="2" t="n"/>
      <c r="C1346" s="2" t="n"/>
      <c r="D1346" s="2" t="n"/>
    </row>
    <row r="1347" ht="15" customHeight="1">
      <c r="B1347" s="2" t="n"/>
      <c r="C1347" s="2" t="n"/>
      <c r="D1347" s="2" t="n"/>
    </row>
    <row r="1348" ht="15" customHeight="1">
      <c r="B1348" s="2" t="n"/>
      <c r="C1348" s="2" t="n"/>
      <c r="D1348" s="2" t="n"/>
    </row>
    <row r="1349" ht="15" customHeight="1">
      <c r="B1349" s="2" t="n"/>
      <c r="C1349" s="2" t="n"/>
      <c r="D1349" s="2" t="n"/>
    </row>
    <row r="1350" ht="15" customHeight="1">
      <c r="B1350" s="2" t="n"/>
      <c r="C1350" s="2" t="n"/>
      <c r="D1350" s="2" t="n"/>
    </row>
    <row r="1351" ht="15" customHeight="1">
      <c r="B1351" s="2" t="n"/>
      <c r="C1351" s="2" t="n"/>
      <c r="D1351" s="2" t="n"/>
    </row>
    <row r="1352" ht="15" customHeight="1">
      <c r="B1352" s="2" t="n"/>
      <c r="C1352" s="2" t="n"/>
      <c r="D1352" s="2" t="n"/>
    </row>
    <row r="1353" ht="15" customHeight="1">
      <c r="B1353" s="2" t="n"/>
      <c r="C1353" s="2" t="n"/>
      <c r="D1353" s="2" t="n"/>
    </row>
    <row r="1354" ht="15" customHeight="1">
      <c r="B1354" s="2" t="n"/>
      <c r="C1354" s="2" t="n"/>
      <c r="D1354" s="2" t="n"/>
    </row>
    <row r="1355" ht="15" customHeight="1">
      <c r="B1355" s="2" t="n"/>
      <c r="C1355" s="2" t="n"/>
      <c r="D1355" s="2" t="n"/>
    </row>
    <row r="1356" ht="15" customHeight="1">
      <c r="B1356" s="2" t="n"/>
      <c r="C1356" s="2" t="n"/>
      <c r="D1356" s="2" t="n"/>
    </row>
    <row r="1357" ht="15" customHeight="1">
      <c r="B1357" s="2" t="n"/>
      <c r="C1357" s="2" t="n"/>
      <c r="D1357" s="2" t="n"/>
    </row>
    <row r="1358" ht="15" customHeight="1">
      <c r="B1358" s="2" t="n"/>
      <c r="C1358" s="2" t="n"/>
      <c r="D1358" s="2" t="n"/>
    </row>
    <row r="1359" ht="15" customHeight="1">
      <c r="B1359" s="2" t="n"/>
      <c r="C1359" s="2" t="n"/>
      <c r="D1359" s="2" t="n"/>
    </row>
    <row r="1360" ht="15" customHeight="1">
      <c r="B1360" s="2" t="n"/>
      <c r="C1360" s="2" t="n"/>
      <c r="D1360" s="2" t="n"/>
    </row>
    <row r="1361" ht="15" customHeight="1">
      <c r="B1361" s="2" t="n"/>
      <c r="C1361" s="2" t="n"/>
      <c r="D1361" s="2" t="n"/>
    </row>
    <row r="1362" ht="15" customHeight="1">
      <c r="B1362" s="2" t="n"/>
      <c r="C1362" s="2" t="n"/>
      <c r="D1362" s="2" t="n"/>
    </row>
    <row r="1363" ht="15" customHeight="1">
      <c r="B1363" s="2" t="n"/>
      <c r="C1363" s="2" t="n"/>
      <c r="D1363" s="2" t="n"/>
    </row>
    <row r="1364" ht="15" customHeight="1">
      <c r="B1364" s="2" t="n"/>
      <c r="C1364" s="2" t="n"/>
      <c r="D1364" s="2" t="n"/>
    </row>
    <row r="1365" ht="15" customHeight="1">
      <c r="B1365" s="2" t="n"/>
      <c r="C1365" s="2" t="n"/>
      <c r="D1365" s="2" t="n"/>
    </row>
    <row r="1366" ht="15" customHeight="1">
      <c r="B1366" s="2" t="n"/>
      <c r="C1366" s="2" t="n"/>
      <c r="D1366" s="2" t="n"/>
    </row>
    <row r="1367" ht="15" customHeight="1">
      <c r="B1367" s="2" t="n"/>
      <c r="C1367" s="2" t="n"/>
      <c r="D1367" s="2" t="n"/>
    </row>
    <row r="1368" ht="15" customHeight="1">
      <c r="B1368" s="2" t="n"/>
      <c r="C1368" s="2" t="n"/>
      <c r="D1368" s="2" t="n"/>
    </row>
    <row r="1369" ht="15" customHeight="1">
      <c r="B1369" s="2" t="n"/>
      <c r="C1369" s="2" t="n"/>
      <c r="D1369" s="2" t="n"/>
    </row>
    <row r="1370" ht="15" customHeight="1">
      <c r="B1370" s="2" t="n"/>
      <c r="C1370" s="2" t="n"/>
      <c r="D1370" s="2" t="n"/>
    </row>
    <row r="1371" ht="15" customHeight="1">
      <c r="B1371" s="2" t="n"/>
      <c r="C1371" s="2" t="n"/>
      <c r="D1371" s="2" t="n"/>
    </row>
    <row r="1372" ht="15" customHeight="1">
      <c r="B1372" s="2" t="n"/>
      <c r="C1372" s="2" t="n"/>
      <c r="D1372" s="2" t="n"/>
    </row>
    <row r="1373" ht="15" customHeight="1">
      <c r="B1373" s="2" t="n"/>
      <c r="C1373" s="2" t="n"/>
      <c r="D1373" s="2" t="n"/>
    </row>
    <row r="1374" ht="15" customHeight="1">
      <c r="B1374" s="2" t="n"/>
      <c r="C1374" s="2" t="n"/>
      <c r="D1374" s="2" t="n"/>
    </row>
    <row r="1375" ht="15" customHeight="1">
      <c r="B1375" s="2" t="n"/>
      <c r="C1375" s="2" t="n"/>
      <c r="D1375" s="2" t="n"/>
    </row>
    <row r="1376" ht="15" customHeight="1">
      <c r="B1376" s="2" t="n"/>
      <c r="C1376" s="2" t="n"/>
      <c r="D1376" s="2" t="n"/>
    </row>
    <row r="1377" ht="15" customHeight="1">
      <c r="B1377" s="2" t="n"/>
      <c r="C1377" s="2" t="n"/>
      <c r="D1377" s="2" t="n"/>
    </row>
    <row r="1378" ht="15" customHeight="1">
      <c r="B1378" s="2" t="n"/>
      <c r="C1378" s="2" t="n"/>
      <c r="D1378" s="2" t="n"/>
    </row>
    <row r="1379" ht="15" customHeight="1">
      <c r="B1379" s="2" t="n"/>
      <c r="C1379" s="2" t="n"/>
      <c r="D1379" s="2" t="n"/>
    </row>
    <row r="1380" ht="15" customHeight="1">
      <c r="B1380" s="2" t="n"/>
      <c r="C1380" s="2" t="n"/>
      <c r="D1380" s="2" t="n"/>
    </row>
    <row r="1381" ht="15" customHeight="1">
      <c r="B1381" s="2" t="n"/>
      <c r="C1381" s="2" t="n"/>
      <c r="D1381" s="2" t="n"/>
    </row>
    <row r="1382" ht="15" customHeight="1">
      <c r="B1382" s="2" t="n"/>
      <c r="C1382" s="2" t="n"/>
      <c r="D1382" s="2" t="n"/>
    </row>
    <row r="1383" ht="15" customHeight="1">
      <c r="B1383" s="2" t="n"/>
      <c r="C1383" s="2" t="n"/>
      <c r="D1383" s="2" t="n"/>
    </row>
    <row r="1384" ht="15" customHeight="1">
      <c r="B1384" s="2" t="n"/>
      <c r="C1384" s="2" t="n"/>
      <c r="D1384" s="2" t="n"/>
    </row>
    <row r="1385" ht="15" customHeight="1">
      <c r="B1385" s="2" t="n"/>
      <c r="C1385" s="2" t="n"/>
      <c r="D1385" s="2" t="n"/>
    </row>
    <row r="1386" ht="15" customHeight="1">
      <c r="B1386" s="2" t="n"/>
      <c r="C1386" s="2" t="n"/>
      <c r="D1386" s="2" t="n"/>
    </row>
    <row r="1387" ht="15" customHeight="1">
      <c r="B1387" s="2" t="n"/>
      <c r="C1387" s="2" t="n"/>
      <c r="D1387" s="2" t="n"/>
    </row>
    <row r="1388" ht="15" customHeight="1">
      <c r="B1388" s="2" t="n"/>
      <c r="C1388" s="2" t="n"/>
      <c r="D1388" s="2" t="n"/>
    </row>
    <row r="1389" ht="15" customHeight="1">
      <c r="B1389" s="2" t="n"/>
      <c r="C1389" s="2" t="n"/>
      <c r="D1389" s="2" t="n"/>
    </row>
    <row r="1390" ht="15" customHeight="1">
      <c r="B1390" s="2" t="n"/>
      <c r="C1390" s="2" t="n"/>
      <c r="D1390" s="2" t="n"/>
    </row>
    <row r="1391" ht="15" customHeight="1">
      <c r="B1391" s="2" t="n"/>
      <c r="C1391" s="2" t="n"/>
      <c r="D1391" s="2" t="n"/>
    </row>
    <row r="1392" ht="15" customHeight="1">
      <c r="B1392" s="2" t="n"/>
      <c r="C1392" s="2" t="n"/>
      <c r="D1392" s="2" t="n"/>
    </row>
    <row r="1393" ht="15" customHeight="1">
      <c r="B1393" s="2" t="n"/>
      <c r="C1393" s="2" t="n"/>
      <c r="D1393" s="2" t="n"/>
    </row>
    <row r="1394" ht="15" customHeight="1">
      <c r="B1394" s="2" t="n"/>
      <c r="C1394" s="2" t="n"/>
      <c r="D1394" s="2" t="n"/>
    </row>
    <row r="1395" ht="15" customHeight="1">
      <c r="B1395" s="2" t="n"/>
      <c r="C1395" s="2" t="n"/>
      <c r="D1395" s="2" t="n"/>
    </row>
    <row r="1396" ht="15" customHeight="1">
      <c r="B1396" s="2" t="n"/>
      <c r="C1396" s="2" t="n"/>
      <c r="D1396" s="2" t="n"/>
    </row>
    <row r="1397" ht="15" customHeight="1">
      <c r="B1397" s="2" t="n"/>
      <c r="C1397" s="2" t="n"/>
      <c r="D1397" s="2" t="n"/>
    </row>
    <row r="1398" ht="15" customHeight="1">
      <c r="B1398" s="2" t="n"/>
      <c r="C1398" s="2" t="n"/>
      <c r="D1398" s="2" t="n"/>
    </row>
    <row r="1399" ht="15" customHeight="1">
      <c r="B1399" s="2" t="n"/>
      <c r="C1399" s="2" t="n"/>
      <c r="D1399" s="2" t="n"/>
    </row>
    <row r="1400" ht="15" customHeight="1">
      <c r="B1400" s="2" t="n"/>
      <c r="C1400" s="2" t="n"/>
      <c r="D1400" s="2" t="n"/>
    </row>
    <row r="1401" ht="15" customHeight="1">
      <c r="B1401" s="2" t="n"/>
      <c r="C1401" s="2" t="n"/>
      <c r="D1401" s="2" t="n"/>
    </row>
    <row r="1402" ht="15" customHeight="1">
      <c r="B1402" s="2" t="n"/>
      <c r="C1402" s="2" t="n"/>
      <c r="D1402" s="2" t="n"/>
    </row>
    <row r="1403" ht="15" customHeight="1">
      <c r="B1403" s="2" t="n"/>
      <c r="C1403" s="2" t="n"/>
      <c r="D1403" s="2" t="n"/>
    </row>
    <row r="1404" ht="15" customHeight="1">
      <c r="B1404" s="2" t="n"/>
      <c r="C1404" s="2" t="n"/>
      <c r="D1404" s="2" t="n"/>
    </row>
    <row r="1405" ht="15" customHeight="1">
      <c r="B1405" s="2" t="n"/>
      <c r="C1405" s="2" t="n"/>
      <c r="D1405" s="2" t="n"/>
    </row>
    <row r="1406" ht="15" customHeight="1">
      <c r="B1406" s="2" t="n"/>
      <c r="C1406" s="2" t="n"/>
      <c r="D1406" s="2" t="n"/>
    </row>
    <row r="1407" ht="15" customHeight="1">
      <c r="B1407" s="2" t="n"/>
      <c r="C1407" s="2" t="n"/>
      <c r="D1407" s="2" t="n"/>
    </row>
    <row r="1408" ht="15" customHeight="1">
      <c r="B1408" s="2" t="n"/>
      <c r="C1408" s="2" t="n"/>
      <c r="D1408" s="2" t="n"/>
    </row>
    <row r="1409" ht="15" customHeight="1">
      <c r="B1409" s="2" t="n"/>
      <c r="C1409" s="2" t="n"/>
      <c r="D1409" s="2" t="n"/>
    </row>
    <row r="1410" ht="15" customHeight="1">
      <c r="B1410" s="2" t="n"/>
      <c r="C1410" s="2" t="n"/>
      <c r="D1410" s="2" t="n"/>
    </row>
    <row r="1411" ht="15" customHeight="1">
      <c r="B1411" s="2" t="n"/>
      <c r="C1411" s="2" t="n"/>
      <c r="D1411" s="2" t="n"/>
    </row>
    <row r="1412" ht="15" customHeight="1">
      <c r="B1412" s="2" t="n"/>
      <c r="C1412" s="2" t="n"/>
      <c r="D1412" s="2" t="n"/>
    </row>
    <row r="1413" ht="15" customHeight="1">
      <c r="B1413" s="2" t="n"/>
      <c r="C1413" s="2" t="n"/>
      <c r="D1413" s="2" t="n"/>
    </row>
    <row r="1414" ht="15" customHeight="1">
      <c r="B1414" s="2" t="n"/>
      <c r="C1414" s="2" t="n"/>
      <c r="D1414" s="2" t="n"/>
    </row>
    <row r="1415" ht="15" customHeight="1">
      <c r="B1415" s="2" t="n"/>
      <c r="C1415" s="2" t="n"/>
      <c r="D1415" s="2" t="n"/>
    </row>
  </sheetData>
  <mergeCells count="16">
    <mergeCell ref="B28:B59"/>
    <mergeCell ref="B603:D1334"/>
    <mergeCell ref="B365:D392"/>
    <mergeCell ref="B444:D550"/>
    <mergeCell ref="B92:D115"/>
    <mergeCell ref="B181:D198"/>
    <mergeCell ref="B335:D362"/>
    <mergeCell ref="B167:D178"/>
    <mergeCell ref="B62:D89"/>
    <mergeCell ref="B153:D164"/>
    <mergeCell ref="B7:B26"/>
    <mergeCell ref="B553:D600"/>
    <mergeCell ref="B201:D332"/>
    <mergeCell ref="B1337:D1415"/>
    <mergeCell ref="B395:D441"/>
    <mergeCell ref="B117:D150"/>
  </mergeCells>
  <pageMargins left="0.7" right="0.7" top="0.75" bottom="0.75" header="0.3" footer="0.3"/>
  <pageSetup orientation="portrait" paperSize="9"/>
  <headerFooter>
    <oddHeader/>
    <oddFooter>&amp;L&amp;"Arial"&amp;7 &amp;K000000_x000d_# ***Este documento está clasificado como PUBLICO por TELEFÓNICA._x000a_***This document is classified as PUBLIC by TELEFÓNICA.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7:O40"/>
  <sheetViews>
    <sheetView showGridLines="0" zoomScaleNormal="100" workbookViewId="0">
      <selection activeCell="B7" sqref="B7"/>
    </sheetView>
  </sheetViews>
  <sheetFormatPr baseColWidth="8" defaultRowHeight="15"/>
  <cols>
    <col width="33.5703125" bestFit="1" customWidth="1" min="2" max="2"/>
  </cols>
  <sheetData>
    <row r="7">
      <c r="A7" s="77" t="inlineStr">
        <is>
          <t>SITE:</t>
        </is>
      </c>
      <c r="B7" s="78" t="inlineStr">
        <is>
          <t>https://www.brasilbandalarga.com.br/</t>
        </is>
      </c>
      <c r="C7" s="79" t="n"/>
    </row>
    <row r="13">
      <c r="A13" s="80" t="n"/>
      <c r="B13" s="81" t="n"/>
      <c r="C13" s="81" t="n"/>
      <c r="D13" s="81" t="n"/>
      <c r="E13" s="81" t="n"/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2" t="n"/>
    </row>
    <row r="14">
      <c r="A14" s="83" t="n"/>
      <c r="O14" s="84" t="n"/>
    </row>
    <row r="15">
      <c r="A15" s="83" t="n"/>
      <c r="O15" s="84" t="n"/>
    </row>
    <row r="16">
      <c r="A16" s="83" t="n"/>
      <c r="O16" s="84" t="n"/>
    </row>
    <row r="17">
      <c r="A17" s="83" t="n"/>
      <c r="O17" s="84" t="n"/>
    </row>
    <row r="18">
      <c r="A18" s="83" t="n"/>
      <c r="O18" s="84" t="n"/>
    </row>
    <row r="19">
      <c r="A19" s="83" t="n"/>
      <c r="O19" s="84" t="n"/>
    </row>
    <row r="20">
      <c r="A20" s="83" t="n"/>
      <c r="O20" s="84" t="n"/>
    </row>
    <row r="21">
      <c r="A21" s="83" t="n"/>
      <c r="O21" s="84" t="n"/>
    </row>
    <row r="22">
      <c r="A22" s="83" t="n"/>
      <c r="O22" s="84" t="n"/>
    </row>
    <row r="23">
      <c r="A23" s="83" t="n"/>
      <c r="O23" s="84" t="n"/>
    </row>
    <row r="24">
      <c r="A24" s="83" t="n"/>
      <c r="O24" s="84" t="n"/>
    </row>
    <row r="25">
      <c r="A25" s="83" t="n"/>
      <c r="O25" s="84" t="n"/>
    </row>
    <row r="26">
      <c r="A26" s="83" t="n"/>
      <c r="O26" s="84" t="n"/>
    </row>
    <row r="27">
      <c r="A27" s="83" t="n"/>
      <c r="O27" s="84" t="n"/>
    </row>
    <row r="28">
      <c r="A28" s="83" t="n"/>
      <c r="O28" s="84" t="n"/>
    </row>
    <row r="29">
      <c r="A29" s="83" t="n"/>
      <c r="O29" s="84" t="n"/>
    </row>
    <row r="30">
      <c r="A30" s="83" t="n"/>
      <c r="O30" s="84" t="n"/>
    </row>
    <row r="31">
      <c r="A31" s="83" t="n"/>
      <c r="O31" s="84" t="n"/>
    </row>
    <row r="32">
      <c r="A32" s="83" t="n"/>
      <c r="O32" s="84" t="n"/>
    </row>
    <row r="33">
      <c r="A33" s="83" t="n"/>
      <c r="O33" s="84" t="n"/>
    </row>
    <row r="34">
      <c r="A34" s="83" t="n"/>
      <c r="O34" s="84" t="n"/>
    </row>
    <row r="35">
      <c r="A35" s="83" t="n"/>
      <c r="O35" s="84" t="n"/>
    </row>
    <row r="36">
      <c r="A36" s="83" t="n"/>
      <c r="O36" s="84" t="n"/>
    </row>
    <row r="37">
      <c r="A37" s="83" t="n"/>
      <c r="O37" s="84" t="n"/>
    </row>
    <row r="38">
      <c r="A38" s="83" t="n"/>
      <c r="O38" s="84" t="n"/>
    </row>
    <row r="39">
      <c r="A39" s="83" t="n"/>
      <c r="O39" s="84" t="n"/>
    </row>
    <row r="40">
      <c r="A40" s="85" t="n"/>
      <c r="B40" s="86" t="n"/>
      <c r="C40" s="86" t="n"/>
      <c r="D40" s="86" t="n"/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86" t="n"/>
      <c r="O40" s="87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Planilha2">
    <outlinePr summaryBelow="1" summaryRight="1"/>
    <pageSetUpPr/>
  </sheetPr>
  <dimension ref="A1:P44"/>
  <sheetViews>
    <sheetView showGridLines="0" topLeftCell="A9" zoomScale="80" zoomScaleNormal="80" workbookViewId="0">
      <selection activeCell="F27" sqref="F27"/>
    </sheetView>
  </sheetViews>
  <sheetFormatPr baseColWidth="8" defaultRowHeight="15"/>
  <cols>
    <col width="13.7109375" customWidth="1" min="1" max="1"/>
    <col width="24" customWidth="1" min="3" max="3"/>
    <col width="21.28515625" customWidth="1" min="5" max="5"/>
    <col width="20.5703125" bestFit="1" customWidth="1" min="6" max="6"/>
    <col width="26" bestFit="1" customWidth="1" min="7" max="7"/>
    <col width="24.7109375" bestFit="1" customWidth="1" min="8" max="8"/>
    <col width="31.28515625" bestFit="1" customWidth="1" min="9" max="9"/>
    <col width="22.7109375" bestFit="1" customWidth="1" min="10" max="10"/>
    <col width="23" bestFit="1" customWidth="1" min="12" max="12"/>
    <col width="25.5703125" bestFit="1" customWidth="1" min="14" max="14"/>
    <col width="25.5703125" bestFit="1" customWidth="1" min="16" max="16"/>
  </cols>
  <sheetData>
    <row r="1" ht="18.75" customHeight="1">
      <c r="A1" s="139" t="inlineStr">
        <is>
          <t>STATUS</t>
        </is>
      </c>
      <c r="C1" s="139" t="inlineStr">
        <is>
          <t>RESPOSÁVEL</t>
        </is>
      </c>
      <c r="E1" s="139" t="inlineStr">
        <is>
          <t>Status</t>
        </is>
      </c>
      <c r="F1" s="139" t="inlineStr">
        <is>
          <t>Responsável</t>
        </is>
      </c>
      <c r="G1" s="139" t="inlineStr">
        <is>
          <t>Criticidade</t>
        </is>
      </c>
      <c r="H1" s="139" t="inlineStr">
        <is>
          <t>Categoria da Mudança</t>
        </is>
      </c>
      <c r="I1" s="139" t="inlineStr">
        <is>
          <t>IMPACTO</t>
        </is>
      </c>
      <c r="L1" s="139" t="inlineStr">
        <is>
          <t>INTERFACE</t>
        </is>
      </c>
      <c r="N1" s="139" t="inlineStr">
        <is>
          <t>TECNOLOGIA DE LINK</t>
        </is>
      </c>
      <c r="P1" s="139" t="inlineStr">
        <is>
          <t>TECNOLOGIA DE LINK</t>
        </is>
      </c>
    </row>
    <row r="2">
      <c r="C2" s="1" t="inlineStr">
        <is>
          <t>Vivo Vita</t>
        </is>
      </c>
      <c r="E2" s="1" t="inlineStr">
        <is>
          <t>✔ Concluído</t>
        </is>
      </c>
      <c r="F2" s="1" t="inlineStr">
        <is>
          <t>VITA-IMP</t>
        </is>
      </c>
      <c r="G2" t="inlineStr">
        <is>
          <t>Baixa</t>
        </is>
      </c>
      <c r="H2" t="inlineStr">
        <is>
          <t>Programada</t>
        </is>
      </c>
      <c r="I2" s="1" t="inlineStr">
        <is>
          <t>BAIXO</t>
        </is>
      </c>
      <c r="J2" s="1" t="n">
        <v>5</v>
      </c>
      <c r="L2" s="1" t="inlineStr">
        <is>
          <t>lan1</t>
        </is>
      </c>
      <c r="N2" s="1" t="inlineStr">
        <is>
          <t>SCM</t>
        </is>
      </c>
      <c r="P2" s="1" t="inlineStr">
        <is>
          <t>INET1</t>
        </is>
      </c>
    </row>
    <row r="3">
      <c r="A3" t="inlineStr">
        <is>
          <t>⚠️Pendente</t>
        </is>
      </c>
      <c r="C3" s="1" t="inlineStr">
        <is>
          <t>Cliente</t>
        </is>
      </c>
      <c r="E3" s="1" t="inlineStr">
        <is>
          <t>⚠ Pendente</t>
        </is>
      </c>
      <c r="F3" s="1" t="inlineStr">
        <is>
          <t>CLIENTE</t>
        </is>
      </c>
      <c r="G3" t="inlineStr">
        <is>
          <t>Média</t>
        </is>
      </c>
      <c r="H3" t="inlineStr">
        <is>
          <t>Emergêncial</t>
        </is>
      </c>
      <c r="I3" s="1" t="inlineStr">
        <is>
          <t>MÉDIO</t>
        </is>
      </c>
      <c r="J3" s="1" t="n">
        <v>10</v>
      </c>
      <c r="L3" s="1" t="inlineStr">
        <is>
          <t>lan2</t>
        </is>
      </c>
      <c r="N3" s="1" t="inlineStr">
        <is>
          <t>SAI-BL</t>
        </is>
      </c>
      <c r="P3" s="1" t="inlineStr">
        <is>
          <t>INET2</t>
        </is>
      </c>
    </row>
    <row r="4">
      <c r="A4" t="inlineStr">
        <is>
          <t>✔️ Concluido</t>
        </is>
      </c>
      <c r="E4" s="1" t="inlineStr">
        <is>
          <t>❌ Cancelado</t>
        </is>
      </c>
      <c r="F4" s="1" t="inlineStr">
        <is>
          <t>VIVO-REGIONAL</t>
        </is>
      </c>
      <c r="G4" t="inlineStr">
        <is>
          <t>Alta</t>
        </is>
      </c>
      <c r="H4" t="inlineStr">
        <is>
          <t>Não Programada</t>
        </is>
      </c>
      <c r="I4" s="1" t="inlineStr">
        <is>
          <t>ALTO</t>
        </is>
      </c>
      <c r="J4" s="1" t="n">
        <v>15</v>
      </c>
      <c r="L4" s="1" t="inlineStr">
        <is>
          <t>lan3</t>
        </is>
      </c>
      <c r="N4" s="1" t="inlineStr">
        <is>
          <t>SAI-BLI</t>
        </is>
      </c>
      <c r="P4" s="1" t="inlineStr">
        <is>
          <t>MPLS1</t>
        </is>
      </c>
    </row>
    <row r="5">
      <c r="A5" t="inlineStr">
        <is>
          <t>❌ Falhou</t>
        </is>
      </c>
      <c r="F5" s="1" t="inlineStr">
        <is>
          <t>VIVO-ATIVADO</t>
        </is>
      </c>
      <c r="L5" s="1" t="inlineStr">
        <is>
          <t>lan4</t>
        </is>
      </c>
      <c r="N5" s="1" t="inlineStr">
        <is>
          <t>N/A</t>
        </is>
      </c>
      <c r="P5" s="1" t="inlineStr">
        <is>
          <t>MPLS2</t>
        </is>
      </c>
    </row>
    <row r="6">
      <c r="A6" t="inlineStr">
        <is>
          <t>ℹ️ N/A</t>
        </is>
      </c>
      <c r="F6" s="1" t="inlineStr">
        <is>
          <t>VITA-FIELD</t>
        </is>
      </c>
      <c r="L6" s="1" t="inlineStr">
        <is>
          <t>port1</t>
        </is>
      </c>
      <c r="N6" s="1" t="n"/>
    </row>
    <row r="7">
      <c r="F7" s="1" t="inlineStr">
        <is>
          <t>VITA-NOC</t>
        </is>
      </c>
      <c r="L7" s="1" t="inlineStr">
        <is>
          <t>port2</t>
        </is>
      </c>
      <c r="N7" s="1" t="n"/>
    </row>
    <row r="8">
      <c r="L8" s="1" t="inlineStr">
        <is>
          <t>port3</t>
        </is>
      </c>
      <c r="N8" s="1" t="n"/>
    </row>
    <row r="9">
      <c r="L9" s="1" t="inlineStr">
        <is>
          <t>port4</t>
        </is>
      </c>
    </row>
    <row r="10">
      <c r="L10" s="1" t="inlineStr">
        <is>
          <t>port5</t>
        </is>
      </c>
    </row>
    <row r="11">
      <c r="L11" s="1" t="inlineStr">
        <is>
          <t>port6</t>
        </is>
      </c>
    </row>
    <row r="12">
      <c r="L12" s="1" t="inlineStr">
        <is>
          <t>port7</t>
        </is>
      </c>
    </row>
    <row r="13">
      <c r="L13" s="1" t="inlineStr">
        <is>
          <t>port8</t>
        </is>
      </c>
    </row>
    <row r="14">
      <c r="L14" s="1" t="inlineStr">
        <is>
          <t>port9</t>
        </is>
      </c>
    </row>
    <row r="15" ht="18.75" customHeight="1">
      <c r="E15" s="139" t="inlineStr">
        <is>
          <t>TOPOLOGIA:</t>
        </is>
      </c>
      <c r="F15" s="139" t="inlineStr">
        <is>
          <t>PRODUTO:</t>
        </is>
      </c>
      <c r="G15" s="139" t="inlineStr">
        <is>
          <t>MODELO DE SOLUÇÃO:</t>
        </is>
      </c>
      <c r="H15" s="139" t="inlineStr">
        <is>
          <t>FORNECEDOR:</t>
        </is>
      </c>
      <c r="I15" s="139" t="inlineStr">
        <is>
          <t>MODELO DE EQUIPAMENTO:</t>
        </is>
      </c>
      <c r="J15" s="139" t="inlineStr">
        <is>
          <t>REDUNDANCIA (HA)</t>
        </is>
      </c>
      <c r="L15" s="1" t="inlineStr">
        <is>
          <t>port10</t>
        </is>
      </c>
    </row>
    <row r="16">
      <c r="E16" s="1" t="inlineStr">
        <is>
          <t>HUB</t>
        </is>
      </c>
      <c r="F16" t="inlineStr">
        <is>
          <t>SOLO</t>
        </is>
      </c>
      <c r="G16" t="inlineStr">
        <is>
          <t>P</t>
        </is>
      </c>
      <c r="H16" t="inlineStr">
        <is>
          <t>FORTINET</t>
        </is>
      </c>
      <c r="I16" t="inlineStr">
        <is>
          <t>FGT-40/41F</t>
        </is>
      </c>
      <c r="J16" t="inlineStr">
        <is>
          <t>SIM - PRINCIPAL</t>
        </is>
      </c>
      <c r="L16" s="1" t="inlineStr">
        <is>
          <t>port11</t>
        </is>
      </c>
    </row>
    <row r="17">
      <c r="E17" s="1" t="inlineStr">
        <is>
          <t>SPK</t>
        </is>
      </c>
      <c r="F17" t="inlineStr">
        <is>
          <t>COMBO</t>
        </is>
      </c>
      <c r="G17" t="inlineStr">
        <is>
          <t>M</t>
        </is>
      </c>
      <c r="H17" t="inlineStr">
        <is>
          <t>CISCO</t>
        </is>
      </c>
      <c r="I17" t="inlineStr">
        <is>
          <t>FGT-60/61F</t>
        </is>
      </c>
      <c r="J17" t="inlineStr">
        <is>
          <t>SIM - SECUNDÁRIO</t>
        </is>
      </c>
      <c r="L17" s="1" t="inlineStr">
        <is>
          <t>port12</t>
        </is>
      </c>
    </row>
    <row r="18">
      <c r="G18" t="inlineStr">
        <is>
          <t>G</t>
        </is>
      </c>
      <c r="H18" t="inlineStr">
        <is>
          <t>ARUBA</t>
        </is>
      </c>
      <c r="I18" t="inlineStr">
        <is>
          <t>FGT-70/71F</t>
        </is>
      </c>
      <c r="J18" t="inlineStr">
        <is>
          <t>NÃO</t>
        </is>
      </c>
      <c r="L18" s="1" t="inlineStr">
        <is>
          <t>port13</t>
        </is>
      </c>
    </row>
    <row r="19">
      <c r="H19" t="inlineStr">
        <is>
          <t>HUAWEI</t>
        </is>
      </c>
      <c r="I19" t="inlineStr">
        <is>
          <t>FGT-80/81F</t>
        </is>
      </c>
      <c r="L19" s="1" t="inlineStr">
        <is>
          <t>port14</t>
        </is>
      </c>
    </row>
    <row r="20">
      <c r="I20" t="inlineStr">
        <is>
          <t>FGT-100/101F</t>
        </is>
      </c>
      <c r="L20" s="1" t="inlineStr">
        <is>
          <t>port15</t>
        </is>
      </c>
    </row>
    <row r="21">
      <c r="I21" t="inlineStr">
        <is>
          <t>FGT-200/201F</t>
        </is>
      </c>
      <c r="L21" s="1" t="inlineStr">
        <is>
          <t>port16</t>
        </is>
      </c>
    </row>
    <row r="22">
      <c r="L22" s="1" t="inlineStr">
        <is>
          <t>port17</t>
        </is>
      </c>
    </row>
    <row r="23">
      <c r="L23" s="1" t="inlineStr">
        <is>
          <t>port18</t>
        </is>
      </c>
    </row>
    <row r="24">
      <c r="L24" s="1" t="inlineStr">
        <is>
          <t>port19</t>
        </is>
      </c>
    </row>
    <row r="25">
      <c r="L25" s="1" t="inlineStr">
        <is>
          <t>port20</t>
        </is>
      </c>
    </row>
    <row r="26" ht="18.75" customHeight="1">
      <c r="E26" s="139" t="inlineStr">
        <is>
          <t>DHCP - RESPOSTA</t>
        </is>
      </c>
      <c r="F26" s="139" t="inlineStr">
        <is>
          <t>VOIP  - RESPOSTA</t>
        </is>
      </c>
      <c r="L26" s="1" t="inlineStr">
        <is>
          <t>internal1</t>
        </is>
      </c>
    </row>
    <row r="27">
      <c r="E27" s="1" t="inlineStr">
        <is>
          <t>Sim</t>
        </is>
      </c>
      <c r="L27" s="1" t="inlineStr">
        <is>
          <t>internal2</t>
        </is>
      </c>
    </row>
    <row r="28">
      <c r="E28" s="1" t="inlineStr">
        <is>
          <t>Não</t>
        </is>
      </c>
      <c r="F28" s="1" t="inlineStr">
        <is>
          <t>CPE</t>
        </is>
      </c>
      <c r="L28" s="1" t="inlineStr">
        <is>
          <t>internal3</t>
        </is>
      </c>
    </row>
    <row r="29">
      <c r="F29" s="1" t="inlineStr">
        <is>
          <t>FGT</t>
        </is>
      </c>
      <c r="L29" s="1" t="inlineStr">
        <is>
          <t>internal4</t>
        </is>
      </c>
    </row>
    <row r="30">
      <c r="F30" s="1" t="inlineStr">
        <is>
          <t>Não Possui Voip</t>
        </is>
      </c>
      <c r="L30" s="1" t="inlineStr">
        <is>
          <t>internal5</t>
        </is>
      </c>
    </row>
    <row r="31">
      <c r="L31" s="1" t="inlineStr">
        <is>
          <t>internal6</t>
        </is>
      </c>
    </row>
    <row r="32">
      <c r="L32" s="1" t="inlineStr">
        <is>
          <t>internal7</t>
        </is>
      </c>
    </row>
    <row r="33">
      <c r="L33" s="1" t="inlineStr">
        <is>
          <t>internal8</t>
        </is>
      </c>
    </row>
    <row r="34">
      <c r="L34" s="1" t="inlineStr">
        <is>
          <t>internal9</t>
        </is>
      </c>
    </row>
    <row r="35">
      <c r="L35" s="1" t="inlineStr">
        <is>
          <t>internal10</t>
        </is>
      </c>
    </row>
    <row r="36">
      <c r="L36" s="1" t="inlineStr">
        <is>
          <t>wan</t>
        </is>
      </c>
    </row>
    <row r="37">
      <c r="L37" s="1" t="inlineStr">
        <is>
          <t>wan1</t>
        </is>
      </c>
    </row>
    <row r="38">
      <c r="L38" s="1" t="inlineStr">
        <is>
          <t>wan2</t>
        </is>
      </c>
    </row>
    <row r="39">
      <c r="L39" s="1" t="inlineStr">
        <is>
          <t>dmz</t>
        </is>
      </c>
    </row>
    <row r="40">
      <c r="L40" s="1" t="inlineStr">
        <is>
          <t>ha1</t>
        </is>
      </c>
    </row>
    <row r="41">
      <c r="L41" s="1" t="inlineStr">
        <is>
          <t>ha2</t>
        </is>
      </c>
    </row>
    <row r="42">
      <c r="L42" s="1" t="inlineStr">
        <is>
          <t>mgmt</t>
        </is>
      </c>
    </row>
    <row r="43">
      <c r="L43" s="1" t="inlineStr">
        <is>
          <t>a</t>
        </is>
      </c>
    </row>
    <row r="44">
      <c r="L44" s="1" t="inlineStr">
        <is>
          <t>b</t>
        </is>
      </c>
    </row>
  </sheetData>
  <mergeCells count="1">
    <mergeCell ref="I1:J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Souza Begnami</dc:creator>
  <dcterms:created xsi:type="dcterms:W3CDTF">2024-12-05T18:39:16Z</dcterms:created>
  <dcterms:modified xsi:type="dcterms:W3CDTF">2026-10-23T21:09:35Z</dcterms:modified>
  <cp:lastModifiedBy>Gustavo Chiapesan Serra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0x01010042A1FD8B1E54BB42AF88DC5261162FCE</vt:lpwstr>
  </property>
  <property name="MediaServiceImageTags" fmtid="{D5CDD505-2E9C-101B-9397-08002B2CF9AE}" pid="3">
    <vt:lpwstr/>
  </property>
</Properties>
</file>